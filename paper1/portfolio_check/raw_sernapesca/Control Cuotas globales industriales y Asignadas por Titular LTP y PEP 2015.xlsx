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emf" ContentType="image/x-emf"/>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mbeddings/oleObject1.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5" yWindow="-15" windowWidth="19575" windowHeight="11910" tabRatio="758" activeTab="2"/>
  </bookViews>
  <sheets>
    <sheet name="Resumen LTP" sheetId="6" r:id="rId1"/>
    <sheet name="Pelagicos LTP " sheetId="1" r:id="rId2"/>
    <sheet name="Demersales LTP " sheetId="3" r:id="rId3"/>
    <sheet name="Crustaceos  LTP" sheetId="2" r:id="rId4"/>
    <sheet name="Cuotas Regionales Crustaceos" sheetId="4" r:id="rId5"/>
    <sheet name="Cuotas Licitadas " sheetId="10" r:id="rId6"/>
    <sheet name="Cuotas Globales " sheetId="5" r:id="rId7"/>
    <sheet name="PI" sheetId="11" r:id="rId8"/>
    <sheet name="Hoja1" sheetId="12" r:id="rId9"/>
  </sheets>
  <definedNames>
    <definedName name="_xlnm._FilterDatabase" localSheetId="1" hidden="1">'Pelagicos LTP '!$A$5:$J$11</definedName>
  </definedNames>
  <calcPr calcId="125725"/>
</workbook>
</file>

<file path=xl/calcChain.xml><?xml version="1.0" encoding="utf-8"?>
<calcChain xmlns="http://schemas.openxmlformats.org/spreadsheetml/2006/main">
  <c r="N40" i="1"/>
  <c r="F226" l="1"/>
  <c r="F195"/>
  <c r="F212"/>
  <c r="F211"/>
  <c r="F230"/>
  <c r="F229"/>
  <c r="F225"/>
  <c r="F165"/>
  <c r="F166"/>
  <c r="M91" i="10"/>
  <c r="N91"/>
  <c r="L91"/>
  <c r="L72"/>
  <c r="L87"/>
  <c r="N208" i="3" l="1"/>
  <c r="M208"/>
  <c r="E208"/>
  <c r="I39" i="5"/>
  <c r="I38"/>
  <c r="I37"/>
  <c r="I36"/>
  <c r="I35"/>
  <c r="I34"/>
  <c r="I33"/>
  <c r="I32"/>
  <c r="I31"/>
  <c r="I30"/>
  <c r="I29"/>
  <c r="I28"/>
  <c r="I27"/>
  <c r="I26"/>
  <c r="I25"/>
  <c r="I24"/>
  <c r="I23"/>
  <c r="I22"/>
  <c r="I21"/>
  <c r="I20"/>
  <c r="I19"/>
  <c r="I17"/>
  <c r="I15"/>
  <c r="I13"/>
  <c r="I11"/>
  <c r="I9"/>
  <c r="I8"/>
  <c r="P39" i="3"/>
  <c r="O39"/>
  <c r="P31"/>
  <c r="F216" i="1"/>
  <c r="F215"/>
  <c r="F214"/>
  <c r="F213"/>
  <c r="F210"/>
  <c r="F209"/>
  <c r="K354"/>
  <c r="F77" i="3" l="1"/>
  <c r="F186" i="1" l="1"/>
  <c r="F185"/>
  <c r="F224" l="1"/>
  <c r="F223"/>
  <c r="C15" i="6"/>
  <c r="D15"/>
  <c r="F15"/>
  <c r="C16"/>
  <c r="E16" s="1"/>
  <c r="D16"/>
  <c r="F16"/>
  <c r="F232" i="1"/>
  <c r="F231"/>
  <c r="F76" i="3"/>
  <c r="F31"/>
  <c r="E15" i="6" l="1"/>
  <c r="H15" s="1"/>
  <c r="I16"/>
  <c r="H16"/>
  <c r="I15" l="1"/>
  <c r="F32" i="2"/>
  <c r="D3" i="12"/>
  <c r="D2"/>
  <c r="G6" i="2"/>
  <c r="X23"/>
  <c r="X17"/>
  <c r="H91" i="10" l="1"/>
  <c r="I91"/>
  <c r="F296" i="1"/>
  <c r="F295"/>
  <c r="F294"/>
  <c r="F64"/>
  <c r="N71" i="2"/>
  <c r="G25" i="4"/>
  <c r="G23"/>
  <c r="F153" i="3"/>
  <c r="F167"/>
  <c r="F166"/>
  <c r="F124"/>
  <c r="F122"/>
  <c r="F101"/>
  <c r="F67"/>
  <c r="F128"/>
  <c r="K127" s="1"/>
  <c r="F116"/>
  <c r="F115"/>
  <c r="G127"/>
  <c r="J127" s="1"/>
  <c r="N127"/>
  <c r="F134" i="1"/>
  <c r="F204"/>
  <c r="F302"/>
  <c r="F46" i="3"/>
  <c r="G67" i="5"/>
  <c r="F178" i="1"/>
  <c r="F122"/>
  <c r="F233"/>
  <c r="F236"/>
  <c r="F235"/>
  <c r="F260"/>
  <c r="F45"/>
  <c r="R12" i="2"/>
  <c r="F98" i="1"/>
  <c r="AB16" i="2"/>
  <c r="F293" i="1"/>
  <c r="F292"/>
  <c r="F291"/>
  <c r="F284"/>
  <c r="F143" i="3"/>
  <c r="F149"/>
  <c r="G256" i="1"/>
  <c r="G255"/>
  <c r="F256"/>
  <c r="F257"/>
  <c r="F255"/>
  <c r="F11"/>
  <c r="F270"/>
  <c r="F266"/>
  <c r="F290"/>
  <c r="F289"/>
  <c r="F288"/>
  <c r="F33" i="3"/>
  <c r="H54" i="1"/>
  <c r="F264"/>
  <c r="F314"/>
  <c r="F313"/>
  <c r="F312"/>
  <c r="F283"/>
  <c r="F282"/>
  <c r="H69" i="5"/>
  <c r="AN14" i="2"/>
  <c r="T143" i="3"/>
  <c r="I127" l="1"/>
  <c r="G128" s="1"/>
  <c r="J91" i="10"/>
  <c r="I128" i="3"/>
  <c r="J128"/>
  <c r="O127"/>
  <c r="M127"/>
  <c r="P127" s="1"/>
  <c r="F130" i="1"/>
  <c r="AV11" i="2"/>
  <c r="F171" i="3"/>
  <c r="F170"/>
  <c r="F41" i="1"/>
  <c r="F40"/>
  <c r="F163" i="3"/>
  <c r="F162"/>
  <c r="F145"/>
  <c r="BB48" i="2"/>
  <c r="AX49"/>
  <c r="AV49"/>
  <c r="AU49"/>
  <c r="BD48"/>
  <c r="AX48"/>
  <c r="AU48"/>
  <c r="BA48" s="1"/>
  <c r="AT48"/>
  <c r="AQ48"/>
  <c r="AS48" s="1"/>
  <c r="AQ49" s="1"/>
  <c r="AS49" s="1"/>
  <c r="AN48"/>
  <c r="AK48"/>
  <c r="AM48" s="1"/>
  <c r="AK49" s="1"/>
  <c r="AM49" s="1"/>
  <c r="AH48"/>
  <c r="AG48"/>
  <c r="AE49" s="1"/>
  <c r="AG49" s="1"/>
  <c r="AE48"/>
  <c r="AB48"/>
  <c r="AA48"/>
  <c r="Y49" s="1"/>
  <c r="AA49" s="1"/>
  <c r="Y48"/>
  <c r="X48"/>
  <c r="V48"/>
  <c r="U48"/>
  <c r="S49" s="1"/>
  <c r="U49" s="1"/>
  <c r="S48"/>
  <c r="P48"/>
  <c r="M48"/>
  <c r="O48" s="1"/>
  <c r="M49" s="1"/>
  <c r="O49" s="1"/>
  <c r="I48"/>
  <c r="G49" s="1"/>
  <c r="I49" s="1"/>
  <c r="G48"/>
  <c r="F152" i="3"/>
  <c r="F140"/>
  <c r="F141"/>
  <c r="F317" i="1"/>
  <c r="F315"/>
  <c r="F251"/>
  <c r="F308"/>
  <c r="K85" i="10"/>
  <c r="K86"/>
  <c r="R31" i="2"/>
  <c r="F275" i="1"/>
  <c r="L206" i="3"/>
  <c r="F206"/>
  <c r="N206"/>
  <c r="K206"/>
  <c r="M206" s="1"/>
  <c r="K172"/>
  <c r="F173"/>
  <c r="F172"/>
  <c r="L172" s="1"/>
  <c r="M172" s="1"/>
  <c r="R77" i="2"/>
  <c r="L69"/>
  <c r="L76"/>
  <c r="R76" s="1"/>
  <c r="T77"/>
  <c r="Q77"/>
  <c r="T76"/>
  <c r="Q76"/>
  <c r="W76" s="1"/>
  <c r="J76"/>
  <c r="G76"/>
  <c r="I76" s="1"/>
  <c r="G77" s="1"/>
  <c r="I77" s="1"/>
  <c r="X97"/>
  <c r="R94"/>
  <c r="Z97"/>
  <c r="W97"/>
  <c r="Z96"/>
  <c r="AF96" s="1"/>
  <c r="X96"/>
  <c r="Y96" s="1"/>
  <c r="W96"/>
  <c r="V96"/>
  <c r="S96"/>
  <c r="U96" s="1"/>
  <c r="S97" s="1"/>
  <c r="U97" s="1"/>
  <c r="P96"/>
  <c r="M96"/>
  <c r="O96" s="1"/>
  <c r="M97" s="1"/>
  <c r="O97" s="1"/>
  <c r="J96"/>
  <c r="G96"/>
  <c r="I96" s="1"/>
  <c r="G97" s="1"/>
  <c r="I97" s="1"/>
  <c r="L59" i="5"/>
  <c r="F142" i="3"/>
  <c r="F205"/>
  <c r="F204"/>
  <c r="F135"/>
  <c r="F134"/>
  <c r="F139"/>
  <c r="G152"/>
  <c r="N204"/>
  <c r="K204"/>
  <c r="G204"/>
  <c r="I204" s="1"/>
  <c r="G205" s="1"/>
  <c r="F305" i="1"/>
  <c r="R35" i="2"/>
  <c r="F217" i="1"/>
  <c r="F129"/>
  <c r="F159"/>
  <c r="L204" i="3" l="1"/>
  <c r="M204" s="1"/>
  <c r="O204" s="1"/>
  <c r="BC48" i="2"/>
  <c r="BE48" s="1"/>
  <c r="BF48"/>
  <c r="AW48"/>
  <c r="P76"/>
  <c r="AC96"/>
  <c r="AE96" s="1"/>
  <c r="AG96" s="1"/>
  <c r="Z76"/>
  <c r="O206" i="3"/>
  <c r="G206"/>
  <c r="M76" i="2"/>
  <c r="O76" s="1"/>
  <c r="M77" s="1"/>
  <c r="O77" s="1"/>
  <c r="X76"/>
  <c r="Y76" s="1"/>
  <c r="AA96"/>
  <c r="Y97" s="1"/>
  <c r="AA97" s="1"/>
  <c r="AD96"/>
  <c r="AB96"/>
  <c r="J204" i="3"/>
  <c r="J205"/>
  <c r="I205"/>
  <c r="P204"/>
  <c r="F267" i="1"/>
  <c r="F304"/>
  <c r="F303"/>
  <c r="F281"/>
  <c r="F280"/>
  <c r="F279"/>
  <c r="F254"/>
  <c r="F253"/>
  <c r="F252"/>
  <c r="F278"/>
  <c r="F277"/>
  <c r="F276"/>
  <c r="N303"/>
  <c r="AY48" i="2" l="1"/>
  <c r="AW49" s="1"/>
  <c r="AZ48"/>
  <c r="P206" i="3"/>
  <c r="I206"/>
  <c r="G207" s="1"/>
  <c r="J206"/>
  <c r="AA76" i="2"/>
  <c r="AB76"/>
  <c r="S76"/>
  <c r="AB97"/>
  <c r="AH96"/>
  <c r="P381" i="1"/>
  <c r="O381"/>
  <c r="N396"/>
  <c r="N390"/>
  <c r="N381"/>
  <c r="N375"/>
  <c r="N372"/>
  <c r="N369"/>
  <c r="N357"/>
  <c r="M381"/>
  <c r="M393"/>
  <c r="L393"/>
  <c r="L381"/>
  <c r="K384"/>
  <c r="K396"/>
  <c r="K393"/>
  <c r="K390"/>
  <c r="K387"/>
  <c r="K381"/>
  <c r="K378"/>
  <c r="K375"/>
  <c r="K372"/>
  <c r="K369"/>
  <c r="K366"/>
  <c r="J58" i="5"/>
  <c r="L58"/>
  <c r="H54"/>
  <c r="J59"/>
  <c r="N142" i="3"/>
  <c r="K142"/>
  <c r="F120"/>
  <c r="N202"/>
  <c r="N194"/>
  <c r="N192"/>
  <c r="N172"/>
  <c r="N104"/>
  <c r="N102"/>
  <c r="N100"/>
  <c r="G83" i="5"/>
  <c r="G7" i="11"/>
  <c r="G8"/>
  <c r="G9"/>
  <c r="G10"/>
  <c r="G11"/>
  <c r="G6"/>
  <c r="F180" i="1"/>
  <c r="F179"/>
  <c r="F151"/>
  <c r="F152"/>
  <c r="AY49" i="2" l="1"/>
  <c r="AZ49"/>
  <c r="J207" i="3"/>
  <c r="I207"/>
  <c r="U76" i="2"/>
  <c r="S77" s="1"/>
  <c r="V76"/>
  <c r="S24"/>
  <c r="S20"/>
  <c r="U77" l="1"/>
  <c r="V77"/>
  <c r="F39" i="3"/>
  <c r="G39"/>
  <c r="J39" s="1"/>
  <c r="N39"/>
  <c r="L39"/>
  <c r="K39"/>
  <c r="F37"/>
  <c r="F17" i="1"/>
  <c r="F16"/>
  <c r="AP14" i="2"/>
  <c r="AJ14"/>
  <c r="AP11"/>
  <c r="AP10"/>
  <c r="AJ11"/>
  <c r="AJ10"/>
  <c r="G74" i="5"/>
  <c r="G35"/>
  <c r="H35" s="1"/>
  <c r="G34"/>
  <c r="H34" s="1"/>
  <c r="F48" i="3"/>
  <c r="I39" l="1"/>
  <c r="G40" s="1"/>
  <c r="J40" s="1"/>
  <c r="M39"/>
  <c r="R82" i="2"/>
  <c r="I40" i="3" l="1"/>
  <c r="F153" i="1"/>
  <c r="F30" i="3"/>
  <c r="F29"/>
  <c r="F43"/>
  <c r="F42"/>
  <c r="F258" i="1"/>
  <c r="F43"/>
  <c r="F125"/>
  <c r="F250"/>
  <c r="F105" i="3"/>
  <c r="F104"/>
  <c r="F103"/>
  <c r="F102"/>
  <c r="F89"/>
  <c r="F88"/>
  <c r="F69"/>
  <c r="F68"/>
  <c r="F66"/>
  <c r="F100"/>
  <c r="F118"/>
  <c r="F117"/>
  <c r="F64"/>
  <c r="F65"/>
  <c r="F238" i="1"/>
  <c r="F237"/>
  <c r="F138" i="3"/>
  <c r="G11" i="5" l="1"/>
  <c r="F95" i="3"/>
  <c r="F94"/>
  <c r="G29" i="5"/>
  <c r="G30"/>
  <c r="G28"/>
  <c r="G38"/>
  <c r="G39"/>
  <c r="G37"/>
  <c r="H21"/>
  <c r="G21"/>
  <c r="G20"/>
  <c r="G19"/>
  <c r="B103"/>
  <c r="F121" i="1"/>
  <c r="F273"/>
  <c r="F167"/>
  <c r="F168"/>
  <c r="F19"/>
  <c r="G23" i="5"/>
  <c r="F13" i="6"/>
  <c r="H13" s="1"/>
  <c r="F70" i="1" l="1"/>
  <c r="F88"/>
  <c r="F35"/>
  <c r="F56"/>
  <c r="F274"/>
  <c r="F173"/>
  <c r="F174"/>
  <c r="F182"/>
  <c r="F181"/>
  <c r="F133"/>
  <c r="F107"/>
  <c r="F169"/>
  <c r="R92" i="2"/>
  <c r="R84"/>
  <c r="L60"/>
  <c r="L58"/>
  <c r="F146" i="3"/>
  <c r="F202"/>
  <c r="J85" i="5" l="1"/>
  <c r="K71"/>
  <c r="K74"/>
  <c r="N101" i="1"/>
  <c r="F99" i="3"/>
  <c r="F98"/>
  <c r="F75"/>
  <c r="F74"/>
  <c r="F85"/>
  <c r="F84"/>
  <c r="F91"/>
  <c r="F90"/>
  <c r="F123"/>
  <c r="F177" i="1"/>
  <c r="F7"/>
  <c r="F6"/>
  <c r="F169" i="3"/>
  <c r="F168"/>
  <c r="F249" i="1" l="1"/>
  <c r="I74" i="5"/>
  <c r="G8"/>
  <c r="F150" i="1"/>
  <c r="F149"/>
  <c r="F172"/>
  <c r="F171"/>
  <c r="F158"/>
  <c r="F157"/>
  <c r="F176"/>
  <c r="F175"/>
  <c r="F156"/>
  <c r="F155"/>
  <c r="F154"/>
  <c r="F148"/>
  <c r="F147"/>
  <c r="F144"/>
  <c r="F143"/>
  <c r="F142"/>
  <c r="F141"/>
  <c r="F140"/>
  <c r="F139"/>
  <c r="T142" i="3"/>
  <c r="F123" i="1"/>
  <c r="F109"/>
  <c r="F135"/>
  <c r="F136"/>
  <c r="F18"/>
  <c r="F55"/>
  <c r="F269"/>
  <c r="F268"/>
  <c r="F262"/>
  <c r="F263"/>
  <c r="F261"/>
  <c r="F34"/>
  <c r="F111"/>
  <c r="F51" l="1"/>
  <c r="F50"/>
  <c r="F49"/>
  <c r="F200"/>
  <c r="F199"/>
  <c r="F220"/>
  <c r="F219"/>
  <c r="F162"/>
  <c r="F161"/>
  <c r="F164"/>
  <c r="F163"/>
  <c r="F222"/>
  <c r="F221"/>
  <c r="F110"/>
  <c r="F138"/>
  <c r="F137"/>
  <c r="F208"/>
  <c r="F207"/>
  <c r="F132"/>
  <c r="F131"/>
  <c r="F32" i="10"/>
  <c r="I37" i="4"/>
  <c r="H85" i="5"/>
  <c r="I85"/>
  <c r="L85" s="1"/>
  <c r="K85" l="1"/>
  <c r="F133" i="3"/>
  <c r="F132"/>
  <c r="G151" i="1"/>
  <c r="F300"/>
  <c r="F73"/>
  <c r="F44" i="3" l="1"/>
  <c r="K10" i="10" l="1"/>
  <c r="K13"/>
  <c r="K16"/>
  <c r="K18"/>
  <c r="K20"/>
  <c r="K21"/>
  <c r="K22"/>
  <c r="K24"/>
  <c r="K25"/>
  <c r="K26"/>
  <c r="K28"/>
  <c r="K309" i="1"/>
  <c r="J82" i="5"/>
  <c r="H84"/>
  <c r="H83"/>
  <c r="H87"/>
  <c r="H86"/>
  <c r="H82"/>
  <c r="I82"/>
  <c r="G15"/>
  <c r="G17"/>
  <c r="G13"/>
  <c r="C14"/>
  <c r="C13"/>
  <c r="C18"/>
  <c r="C17"/>
  <c r="C16"/>
  <c r="C15"/>
  <c r="L82" l="1"/>
  <c r="K27" i="10"/>
  <c r="K23"/>
  <c r="K19"/>
  <c r="K82" i="5"/>
  <c r="F307" i="1"/>
  <c r="F306"/>
  <c r="F316"/>
  <c r="F299"/>
  <c r="F298"/>
  <c r="F297"/>
  <c r="F265"/>
  <c r="G159"/>
  <c r="F69"/>
  <c r="F68"/>
  <c r="F67"/>
  <c r="L57" i="5" l="1"/>
  <c r="C91" i="10" l="1"/>
  <c r="L63" i="2"/>
  <c r="L62"/>
  <c r="F63"/>
  <c r="F62"/>
  <c r="L73"/>
  <c r="L72"/>
  <c r="F73"/>
  <c r="F72"/>
  <c r="AP23"/>
  <c r="AP22"/>
  <c r="AJ23"/>
  <c r="AJ22"/>
  <c r="AD23"/>
  <c r="AD22"/>
  <c r="X22"/>
  <c r="R23"/>
  <c r="R22"/>
  <c r="S22" s="1"/>
  <c r="L23"/>
  <c r="L22"/>
  <c r="F23"/>
  <c r="F22"/>
  <c r="AP37"/>
  <c r="AP36"/>
  <c r="AJ37"/>
  <c r="AJ36"/>
  <c r="AD37"/>
  <c r="AD36"/>
  <c r="X37"/>
  <c r="X36"/>
  <c r="R37"/>
  <c r="R36"/>
  <c r="L37"/>
  <c r="L36"/>
  <c r="F37"/>
  <c r="F36"/>
  <c r="R87"/>
  <c r="R86"/>
  <c r="L87"/>
  <c r="L86"/>
  <c r="F87"/>
  <c r="F86"/>
  <c r="R91"/>
  <c r="R90"/>
  <c r="L91"/>
  <c r="L90"/>
  <c r="F91"/>
  <c r="F90"/>
  <c r="AP19"/>
  <c r="AP18"/>
  <c r="AJ19"/>
  <c r="AJ18"/>
  <c r="AD19"/>
  <c r="AD18"/>
  <c r="X19"/>
  <c r="X18"/>
  <c r="R19"/>
  <c r="R18"/>
  <c r="L19"/>
  <c r="L18"/>
  <c r="F19"/>
  <c r="F18"/>
  <c r="J18" l="1"/>
  <c r="K346" i="1"/>
  <c r="N223"/>
  <c r="N213"/>
  <c r="K231"/>
  <c r="N163"/>
  <c r="L159"/>
  <c r="L111"/>
  <c r="K121"/>
  <c r="K34"/>
  <c r="L202" i="3" l="1"/>
  <c r="AX47" i="2"/>
  <c r="AV47"/>
  <c r="AU47"/>
  <c r="AX46"/>
  <c r="AU46"/>
  <c r="AT46"/>
  <c r="AQ46"/>
  <c r="AS46" s="1"/>
  <c r="AQ47" s="1"/>
  <c r="AS47" s="1"/>
  <c r="AN46"/>
  <c r="AK46"/>
  <c r="AM46" s="1"/>
  <c r="AK47" s="1"/>
  <c r="AM47" s="1"/>
  <c r="AH46"/>
  <c r="AE46"/>
  <c r="AG46" s="1"/>
  <c r="AE47" s="1"/>
  <c r="AG47" s="1"/>
  <c r="X46"/>
  <c r="Y46" s="1"/>
  <c r="AA46" s="1"/>
  <c r="Y47" s="1"/>
  <c r="AA47" s="1"/>
  <c r="V46"/>
  <c r="S46"/>
  <c r="U46" s="1"/>
  <c r="S47" s="1"/>
  <c r="U47" s="1"/>
  <c r="P46"/>
  <c r="M46"/>
  <c r="O46" s="1"/>
  <c r="M47" s="1"/>
  <c r="O47" s="1"/>
  <c r="G46"/>
  <c r="I46" s="1"/>
  <c r="G47" s="1"/>
  <c r="I47" s="1"/>
  <c r="AB20"/>
  <c r="Y20"/>
  <c r="AB22"/>
  <c r="AX45"/>
  <c r="AV45"/>
  <c r="AU45"/>
  <c r="AX44"/>
  <c r="AU44"/>
  <c r="AT44"/>
  <c r="AQ44"/>
  <c r="AS44" s="1"/>
  <c r="AQ45" s="1"/>
  <c r="AS45" s="1"/>
  <c r="AN44"/>
  <c r="AK44"/>
  <c r="AM44" s="1"/>
  <c r="AK45" s="1"/>
  <c r="AM45" s="1"/>
  <c r="AH44"/>
  <c r="AE44"/>
  <c r="AG44" s="1"/>
  <c r="AE45" s="1"/>
  <c r="AG45" s="1"/>
  <c r="X44"/>
  <c r="Y44" s="1"/>
  <c r="AA44" s="1"/>
  <c r="Y45" s="1"/>
  <c r="AA45" s="1"/>
  <c r="V44"/>
  <c r="S44"/>
  <c r="U44" s="1"/>
  <c r="S45" s="1"/>
  <c r="U45" s="1"/>
  <c r="P44"/>
  <c r="M44"/>
  <c r="O44" s="1"/>
  <c r="M45" s="1"/>
  <c r="O45" s="1"/>
  <c r="G44"/>
  <c r="I44" s="1"/>
  <c r="G45" s="1"/>
  <c r="I45" s="1"/>
  <c r="X14"/>
  <c r="Y14" s="1"/>
  <c r="N112" i="3"/>
  <c r="K112"/>
  <c r="L112"/>
  <c r="F340" i="1"/>
  <c r="F24"/>
  <c r="X42" i="2"/>
  <c r="AV42" s="1"/>
  <c r="AU42"/>
  <c r="AX42"/>
  <c r="AU43"/>
  <c r="AV43"/>
  <c r="AX43"/>
  <c r="AT42"/>
  <c r="AQ42"/>
  <c r="AS42" s="1"/>
  <c r="AQ43" s="1"/>
  <c r="AS43" s="1"/>
  <c r="AN42"/>
  <c r="AK42"/>
  <c r="AM42" s="1"/>
  <c r="AK43" s="1"/>
  <c r="AM43" s="1"/>
  <c r="AH42"/>
  <c r="AE42"/>
  <c r="AG42" s="1"/>
  <c r="AE43" s="1"/>
  <c r="AG43" s="1"/>
  <c r="AB42"/>
  <c r="V42"/>
  <c r="P42"/>
  <c r="S42"/>
  <c r="U42" s="1"/>
  <c r="S43" s="1"/>
  <c r="U43" s="1"/>
  <c r="M42"/>
  <c r="O42" s="1"/>
  <c r="M43" s="1"/>
  <c r="O43" s="1"/>
  <c r="G42"/>
  <c r="I42" s="1"/>
  <c r="G43" s="1"/>
  <c r="I43" s="1"/>
  <c r="F26" i="6"/>
  <c r="C26"/>
  <c r="K348" i="1"/>
  <c r="N348"/>
  <c r="F348"/>
  <c r="L348" s="1"/>
  <c r="F334"/>
  <c r="BD44" i="2" l="1"/>
  <c r="BA42"/>
  <c r="BD46"/>
  <c r="Y42"/>
  <c r="AA42" s="1"/>
  <c r="Y43" s="1"/>
  <c r="AA43" s="1"/>
  <c r="AB44"/>
  <c r="BA44"/>
  <c r="BA46"/>
  <c r="AV44"/>
  <c r="BB44" s="1"/>
  <c r="Y22"/>
  <c r="AV46"/>
  <c r="BB46" s="1"/>
  <c r="AW42"/>
  <c r="AZ42" s="1"/>
  <c r="AW44"/>
  <c r="AY44" s="1"/>
  <c r="AW45" s="1"/>
  <c r="AY45" s="1"/>
  <c r="M348" i="1"/>
  <c r="O348" s="1"/>
  <c r="G348"/>
  <c r="J348" s="1"/>
  <c r="G112" i="3"/>
  <c r="AV22" i="2"/>
  <c r="AB46"/>
  <c r="M112" i="3"/>
  <c r="O112" s="1"/>
  <c r="BD42" i="2"/>
  <c r="BB42"/>
  <c r="AY42"/>
  <c r="AW43" s="1"/>
  <c r="L56" i="5"/>
  <c r="L54"/>
  <c r="L55"/>
  <c r="N29" i="3"/>
  <c r="AW46" i="2" l="1"/>
  <c r="AY46" s="1"/>
  <c r="AW47" s="1"/>
  <c r="AY47" s="1"/>
  <c r="BC44"/>
  <c r="BE44" s="1"/>
  <c r="BC42"/>
  <c r="BF42" s="1"/>
  <c r="BC46"/>
  <c r="BE46" s="1"/>
  <c r="K8" i="10"/>
  <c r="P112" i="3"/>
  <c r="AZ44" i="2"/>
  <c r="I348" i="1"/>
  <c r="G349" s="1"/>
  <c r="I349" s="1"/>
  <c r="P348"/>
  <c r="I112" i="3"/>
  <c r="G113" s="1"/>
  <c r="J112"/>
  <c r="AZ46" i="2"/>
  <c r="BF46"/>
  <c r="AZ47"/>
  <c r="AZ45"/>
  <c r="BF44"/>
  <c r="BE42"/>
  <c r="AZ43"/>
  <c r="AY43"/>
  <c r="F18" i="6"/>
  <c r="J349" i="1" l="1"/>
  <c r="I113" i="3"/>
  <c r="J113"/>
  <c r="G202"/>
  <c r="I202" s="1"/>
  <c r="G203" s="1"/>
  <c r="K202"/>
  <c r="F192"/>
  <c r="F93"/>
  <c r="F92"/>
  <c r="F97"/>
  <c r="F96"/>
  <c r="F81"/>
  <c r="F80"/>
  <c r="F71"/>
  <c r="F70"/>
  <c r="F87"/>
  <c r="F86"/>
  <c r="F160"/>
  <c r="F150"/>
  <c r="K198"/>
  <c r="N198"/>
  <c r="K200"/>
  <c r="L200"/>
  <c r="N200"/>
  <c r="G200"/>
  <c r="I200" s="1"/>
  <c r="G201" s="1"/>
  <c r="F198"/>
  <c r="I76" i="5"/>
  <c r="I75"/>
  <c r="J74"/>
  <c r="M74" s="1"/>
  <c r="I73"/>
  <c r="I72"/>
  <c r="J71"/>
  <c r="M71" s="1"/>
  <c r="I71"/>
  <c r="J68"/>
  <c r="K68"/>
  <c r="M68" s="1"/>
  <c r="J65"/>
  <c r="K65"/>
  <c r="I66"/>
  <c r="I67"/>
  <c r="I68"/>
  <c r="I69"/>
  <c r="I70"/>
  <c r="I65"/>
  <c r="F21" i="6"/>
  <c r="C21"/>
  <c r="F19"/>
  <c r="C19"/>
  <c r="N108" i="3"/>
  <c r="N110"/>
  <c r="K110"/>
  <c r="C13" i="6"/>
  <c r="F7"/>
  <c r="C7"/>
  <c r="L74" i="2"/>
  <c r="R74" s="1"/>
  <c r="L68"/>
  <c r="T74"/>
  <c r="R75"/>
  <c r="X74" s="1"/>
  <c r="T75"/>
  <c r="J74"/>
  <c r="G74"/>
  <c r="I74" s="1"/>
  <c r="G75" s="1"/>
  <c r="I75" s="1"/>
  <c r="Q75"/>
  <c r="Q74"/>
  <c r="X40"/>
  <c r="Y40" s="1"/>
  <c r="AA40" s="1"/>
  <c r="Y41" s="1"/>
  <c r="AA41" s="1"/>
  <c r="AU40"/>
  <c r="AX40"/>
  <c r="AU41"/>
  <c r="AV41"/>
  <c r="AX41"/>
  <c r="AT40"/>
  <c r="AQ40"/>
  <c r="AS40" s="1"/>
  <c r="AQ41" s="1"/>
  <c r="AS41" s="1"/>
  <c r="AN40"/>
  <c r="AK40"/>
  <c r="AM40" s="1"/>
  <c r="AK41" s="1"/>
  <c r="AM41" s="1"/>
  <c r="AH40"/>
  <c r="AB40"/>
  <c r="AE40"/>
  <c r="AG40" s="1"/>
  <c r="AE41" s="1"/>
  <c r="AG41" s="1"/>
  <c r="V40"/>
  <c r="S40"/>
  <c r="U40" s="1"/>
  <c r="S41" s="1"/>
  <c r="U41" s="1"/>
  <c r="P40"/>
  <c r="M40"/>
  <c r="O40" s="1"/>
  <c r="M41" s="1"/>
  <c r="O41" s="1"/>
  <c r="G40"/>
  <c r="I40" s="1"/>
  <c r="G41" s="1"/>
  <c r="I41" s="1"/>
  <c r="X32"/>
  <c r="AV32" s="1"/>
  <c r="F156" i="3"/>
  <c r="L156" s="1"/>
  <c r="F144"/>
  <c r="G144" s="1"/>
  <c r="F110"/>
  <c r="L110" s="1"/>
  <c r="F125"/>
  <c r="F121"/>
  <c r="L121" s="1"/>
  <c r="F61"/>
  <c r="G61" s="1"/>
  <c r="I61" s="1"/>
  <c r="G62" s="1"/>
  <c r="I62" s="1"/>
  <c r="F57"/>
  <c r="L57" s="1"/>
  <c r="K61"/>
  <c r="N61"/>
  <c r="K108"/>
  <c r="F108"/>
  <c r="G108" s="1"/>
  <c r="F147"/>
  <c r="L146" s="1"/>
  <c r="F155"/>
  <c r="F154"/>
  <c r="G154" s="1"/>
  <c r="K106"/>
  <c r="N106"/>
  <c r="F106"/>
  <c r="G106" s="1"/>
  <c r="F148"/>
  <c r="G148" s="1"/>
  <c r="K30" i="1"/>
  <c r="N30"/>
  <c r="F30"/>
  <c r="L30" s="1"/>
  <c r="F14"/>
  <c r="L14" s="1"/>
  <c r="F344"/>
  <c r="L344" s="1"/>
  <c r="F330"/>
  <c r="L135"/>
  <c r="J6" i="2"/>
  <c r="P129" i="3"/>
  <c r="N9"/>
  <c r="N7"/>
  <c r="K53"/>
  <c r="M53" s="1"/>
  <c r="L162"/>
  <c r="L164"/>
  <c r="L166"/>
  <c r="L168"/>
  <c r="L170"/>
  <c r="L174"/>
  <c r="L176"/>
  <c r="L178"/>
  <c r="L180"/>
  <c r="L182"/>
  <c r="L184"/>
  <c r="L186"/>
  <c r="M186" s="1"/>
  <c r="L188"/>
  <c r="L190"/>
  <c r="L134"/>
  <c r="L136"/>
  <c r="L150"/>
  <c r="L158"/>
  <c r="L160"/>
  <c r="L132"/>
  <c r="L117"/>
  <c r="L119"/>
  <c r="L123"/>
  <c r="L115"/>
  <c r="L90"/>
  <c r="L94"/>
  <c r="L98"/>
  <c r="L100"/>
  <c r="L102"/>
  <c r="L72"/>
  <c r="L74"/>
  <c r="L80"/>
  <c r="L82"/>
  <c r="L84"/>
  <c r="L64"/>
  <c r="L55"/>
  <c r="L59"/>
  <c r="L53"/>
  <c r="L44"/>
  <c r="M44" s="1"/>
  <c r="P44" s="1"/>
  <c r="L46"/>
  <c r="L48"/>
  <c r="L50"/>
  <c r="L31"/>
  <c r="L33"/>
  <c r="L35"/>
  <c r="L37"/>
  <c r="L20"/>
  <c r="L22"/>
  <c r="L24"/>
  <c r="L26"/>
  <c r="L18"/>
  <c r="L9"/>
  <c r="L11"/>
  <c r="L13"/>
  <c r="L15"/>
  <c r="L7"/>
  <c r="K134"/>
  <c r="K132"/>
  <c r="K164"/>
  <c r="K166"/>
  <c r="K168"/>
  <c r="K170"/>
  <c r="K174"/>
  <c r="K176"/>
  <c r="K178"/>
  <c r="K180"/>
  <c r="K182"/>
  <c r="M182" s="1"/>
  <c r="K184"/>
  <c r="K186"/>
  <c r="K188"/>
  <c r="K190"/>
  <c r="M190" s="1"/>
  <c r="P190" s="1"/>
  <c r="K192"/>
  <c r="K194"/>
  <c r="K196"/>
  <c r="K136"/>
  <c r="M136" s="1"/>
  <c r="O136" s="1"/>
  <c r="K144"/>
  <c r="K146"/>
  <c r="K148"/>
  <c r="K150"/>
  <c r="K152"/>
  <c r="K154"/>
  <c r="K156"/>
  <c r="K158"/>
  <c r="K160"/>
  <c r="K162"/>
  <c r="K117"/>
  <c r="K119"/>
  <c r="K121"/>
  <c r="K123"/>
  <c r="K115"/>
  <c r="M115" s="1"/>
  <c r="K66"/>
  <c r="K68"/>
  <c r="K70"/>
  <c r="K72"/>
  <c r="K74"/>
  <c r="K76"/>
  <c r="K78"/>
  <c r="K80"/>
  <c r="K82"/>
  <c r="K84"/>
  <c r="K86"/>
  <c r="K88"/>
  <c r="K90"/>
  <c r="K92"/>
  <c r="K94"/>
  <c r="K96"/>
  <c r="K98"/>
  <c r="K100"/>
  <c r="K102"/>
  <c r="M102" s="1"/>
  <c r="K104"/>
  <c r="K64"/>
  <c r="K55"/>
  <c r="K57"/>
  <c r="K59"/>
  <c r="K50"/>
  <c r="K48"/>
  <c r="K46"/>
  <c r="K44"/>
  <c r="K42"/>
  <c r="K37"/>
  <c r="M37" s="1"/>
  <c r="K35"/>
  <c r="M35" s="1"/>
  <c r="K33"/>
  <c r="K31"/>
  <c r="K29"/>
  <c r="K26"/>
  <c r="K24"/>
  <c r="K22"/>
  <c r="K20"/>
  <c r="K18"/>
  <c r="K15"/>
  <c r="K13"/>
  <c r="K11"/>
  <c r="K9"/>
  <c r="K7"/>
  <c r="N18" i="1"/>
  <c r="N16"/>
  <c r="N14"/>
  <c r="N10"/>
  <c r="N8"/>
  <c r="N6"/>
  <c r="L332"/>
  <c r="L334"/>
  <c r="L336"/>
  <c r="L340"/>
  <c r="L342"/>
  <c r="L326"/>
  <c r="L324"/>
  <c r="L322"/>
  <c r="L320"/>
  <c r="L255"/>
  <c r="L258"/>
  <c r="L261"/>
  <c r="L264"/>
  <c r="L267"/>
  <c r="L273"/>
  <c r="L369" s="1"/>
  <c r="M369" s="1"/>
  <c r="L282"/>
  <c r="L285"/>
  <c r="L288"/>
  <c r="L291"/>
  <c r="L297"/>
  <c r="L300"/>
  <c r="L384" s="1"/>
  <c r="M384" s="1"/>
  <c r="L306"/>
  <c r="L390" s="1"/>
  <c r="M390" s="1"/>
  <c r="L309"/>
  <c r="M309" s="1"/>
  <c r="L312"/>
  <c r="L315"/>
  <c r="L396" s="1"/>
  <c r="M396" s="1"/>
  <c r="L249"/>
  <c r="L354" s="1"/>
  <c r="M354" s="1"/>
  <c r="L233"/>
  <c r="L235"/>
  <c r="L237"/>
  <c r="L239"/>
  <c r="L217"/>
  <c r="L227"/>
  <c r="L197"/>
  <c r="L201"/>
  <c r="L203"/>
  <c r="L205"/>
  <c r="L195"/>
  <c r="L133"/>
  <c r="L145"/>
  <c r="L149"/>
  <c r="L151"/>
  <c r="L167"/>
  <c r="L169"/>
  <c r="L173"/>
  <c r="L177"/>
  <c r="L179"/>
  <c r="L181"/>
  <c r="L183"/>
  <c r="L187"/>
  <c r="L189"/>
  <c r="L191"/>
  <c r="L129"/>
  <c r="L103"/>
  <c r="L105"/>
  <c r="L107"/>
  <c r="L115"/>
  <c r="L117"/>
  <c r="L119"/>
  <c r="L121"/>
  <c r="M121" s="1"/>
  <c r="L123"/>
  <c r="L101"/>
  <c r="L95"/>
  <c r="L97"/>
  <c r="L93"/>
  <c r="L55"/>
  <c r="L52"/>
  <c r="L49"/>
  <c r="L46"/>
  <c r="L43"/>
  <c r="L363" s="1"/>
  <c r="M363" s="1"/>
  <c r="L40"/>
  <c r="L34"/>
  <c r="L82"/>
  <c r="L85"/>
  <c r="L88"/>
  <c r="L67"/>
  <c r="L70"/>
  <c r="L73"/>
  <c r="L79"/>
  <c r="L61"/>
  <c r="L64"/>
  <c r="L26"/>
  <c r="L24"/>
  <c r="L20"/>
  <c r="L18"/>
  <c r="L16"/>
  <c r="L10"/>
  <c r="L8"/>
  <c r="L6"/>
  <c r="K332"/>
  <c r="K334"/>
  <c r="K336"/>
  <c r="M336" s="1"/>
  <c r="K338"/>
  <c r="K340"/>
  <c r="K342"/>
  <c r="M342" s="1"/>
  <c r="K344"/>
  <c r="K330"/>
  <c r="K322"/>
  <c r="K324"/>
  <c r="K326"/>
  <c r="M326" s="1"/>
  <c r="K320"/>
  <c r="K252"/>
  <c r="K255"/>
  <c r="K258"/>
  <c r="K261"/>
  <c r="K264"/>
  <c r="K267"/>
  <c r="K270"/>
  <c r="K273"/>
  <c r="K276"/>
  <c r="K279"/>
  <c r="K282"/>
  <c r="K285"/>
  <c r="K288"/>
  <c r="K291"/>
  <c r="K294"/>
  <c r="K297"/>
  <c r="K300"/>
  <c r="K303"/>
  <c r="K306"/>
  <c r="K312"/>
  <c r="K315"/>
  <c r="K249"/>
  <c r="K197"/>
  <c r="K199"/>
  <c r="K201"/>
  <c r="K203"/>
  <c r="K205"/>
  <c r="K207"/>
  <c r="K209"/>
  <c r="K211"/>
  <c r="K213"/>
  <c r="K215"/>
  <c r="K217"/>
  <c r="K219"/>
  <c r="K221"/>
  <c r="K223"/>
  <c r="K225"/>
  <c r="K227"/>
  <c r="K229"/>
  <c r="K233"/>
  <c r="K235"/>
  <c r="K237"/>
  <c r="M237" s="1"/>
  <c r="K239"/>
  <c r="K195"/>
  <c r="M195" s="1"/>
  <c r="K131"/>
  <c r="K133"/>
  <c r="K135"/>
  <c r="K137"/>
  <c r="K139"/>
  <c r="K141"/>
  <c r="K143"/>
  <c r="K145"/>
  <c r="K147"/>
  <c r="K149"/>
  <c r="M149" s="1"/>
  <c r="K151"/>
  <c r="K153"/>
  <c r="K155"/>
  <c r="K157"/>
  <c r="K159"/>
  <c r="K161"/>
  <c r="K163"/>
  <c r="K165"/>
  <c r="K167"/>
  <c r="K169"/>
  <c r="M169" s="1"/>
  <c r="K171"/>
  <c r="K173"/>
  <c r="K175"/>
  <c r="K177"/>
  <c r="K179"/>
  <c r="K181"/>
  <c r="M181" s="1"/>
  <c r="K183"/>
  <c r="K185"/>
  <c r="K187"/>
  <c r="K189"/>
  <c r="K191"/>
  <c r="K129"/>
  <c r="M129" s="1"/>
  <c r="K103"/>
  <c r="K105"/>
  <c r="K107"/>
  <c r="K109"/>
  <c r="K111"/>
  <c r="K113"/>
  <c r="K115"/>
  <c r="K117"/>
  <c r="M117" s="1"/>
  <c r="K119"/>
  <c r="K123"/>
  <c r="K125"/>
  <c r="K101"/>
  <c r="M101" s="1"/>
  <c r="K95"/>
  <c r="K97"/>
  <c r="K93"/>
  <c r="K88"/>
  <c r="K85"/>
  <c r="M85" s="1"/>
  <c r="K37"/>
  <c r="K40"/>
  <c r="K43"/>
  <c r="M43" s="1"/>
  <c r="K46"/>
  <c r="M46" s="1"/>
  <c r="K49"/>
  <c r="K52"/>
  <c r="M52" s="1"/>
  <c r="K55"/>
  <c r="M55" s="1"/>
  <c r="K58"/>
  <c r="K61"/>
  <c r="K64"/>
  <c r="K67"/>
  <c r="K70"/>
  <c r="K73"/>
  <c r="K76"/>
  <c r="K79"/>
  <c r="M79" s="1"/>
  <c r="K82"/>
  <c r="K28"/>
  <c r="K26"/>
  <c r="M26" s="1"/>
  <c r="K16"/>
  <c r="M16" s="1"/>
  <c r="K18"/>
  <c r="K20"/>
  <c r="K22"/>
  <c r="K24"/>
  <c r="K14"/>
  <c r="K8"/>
  <c r="K10"/>
  <c r="K6"/>
  <c r="M6" s="1"/>
  <c r="L125"/>
  <c r="AP33" i="2"/>
  <c r="AP32"/>
  <c r="AQ32" s="1"/>
  <c r="AS32" s="1"/>
  <c r="AQ33" s="1"/>
  <c r="AS33" s="1"/>
  <c r="AP35"/>
  <c r="AD35"/>
  <c r="AP34"/>
  <c r="AJ33"/>
  <c r="AN32" s="1"/>
  <c r="AJ32"/>
  <c r="AJ35"/>
  <c r="AJ34"/>
  <c r="AD33"/>
  <c r="AD32"/>
  <c r="AD34"/>
  <c r="X33"/>
  <c r="X35"/>
  <c r="X34"/>
  <c r="R33"/>
  <c r="R32"/>
  <c r="R34"/>
  <c r="V34" s="1"/>
  <c r="L165" i="1"/>
  <c r="G29" i="3"/>
  <c r="F39" i="5"/>
  <c r="F37"/>
  <c r="H37" s="1"/>
  <c r="F38" s="1"/>
  <c r="F30"/>
  <c r="F28"/>
  <c r="H28" s="1"/>
  <c r="F11"/>
  <c r="H11" s="1"/>
  <c r="N196" i="3"/>
  <c r="P196" s="1"/>
  <c r="F196"/>
  <c r="L196" s="1"/>
  <c r="L270" i="1"/>
  <c r="L366" s="1"/>
  <c r="M366" s="1"/>
  <c r="G25" i="5"/>
  <c r="H25" s="1"/>
  <c r="X94" i="2"/>
  <c r="W94"/>
  <c r="Z94"/>
  <c r="AB94" s="1"/>
  <c r="W95"/>
  <c r="X95"/>
  <c r="Z95"/>
  <c r="P94"/>
  <c r="M94"/>
  <c r="O94" s="1"/>
  <c r="M95" s="1"/>
  <c r="O95" s="1"/>
  <c r="J94"/>
  <c r="G94"/>
  <c r="I94" s="1"/>
  <c r="G95" s="1"/>
  <c r="I95" s="1"/>
  <c r="F69"/>
  <c r="R69" s="1"/>
  <c r="F68"/>
  <c r="R68" s="1"/>
  <c r="L57"/>
  <c r="L56"/>
  <c r="F57"/>
  <c r="F56"/>
  <c r="L33"/>
  <c r="L32"/>
  <c r="F33"/>
  <c r="AV33" s="1"/>
  <c r="AP9"/>
  <c r="AP8"/>
  <c r="AJ9"/>
  <c r="AN8" s="1"/>
  <c r="AJ8"/>
  <c r="AD9"/>
  <c r="AD8"/>
  <c r="X9"/>
  <c r="X8"/>
  <c r="R9"/>
  <c r="R8"/>
  <c r="L9"/>
  <c r="P8" s="1"/>
  <c r="L8"/>
  <c r="F9"/>
  <c r="F8"/>
  <c r="L65"/>
  <c r="P64" s="1"/>
  <c r="L64"/>
  <c r="F65"/>
  <c r="F64"/>
  <c r="AP27"/>
  <c r="AT26" s="1"/>
  <c r="AP26"/>
  <c r="AJ27"/>
  <c r="AJ26"/>
  <c r="AD27"/>
  <c r="AH26" s="1"/>
  <c r="AD26"/>
  <c r="X27"/>
  <c r="X26"/>
  <c r="R27"/>
  <c r="V26" s="1"/>
  <c r="R26"/>
  <c r="S26" s="1"/>
  <c r="L27"/>
  <c r="L26"/>
  <c r="F27"/>
  <c r="AV27" s="1"/>
  <c r="F26"/>
  <c r="AP31"/>
  <c r="AP30"/>
  <c r="AJ31"/>
  <c r="AJ30"/>
  <c r="AD31"/>
  <c r="AD30"/>
  <c r="X31"/>
  <c r="AB30" s="1"/>
  <c r="X30"/>
  <c r="R30"/>
  <c r="L31"/>
  <c r="L30"/>
  <c r="P30" s="1"/>
  <c r="F31"/>
  <c r="F30"/>
  <c r="L67"/>
  <c r="L66"/>
  <c r="M66" s="1"/>
  <c r="O66" s="1"/>
  <c r="M67" s="1"/>
  <c r="O67" s="1"/>
  <c r="F67"/>
  <c r="F66"/>
  <c r="AP29"/>
  <c r="AP28"/>
  <c r="AT28" s="1"/>
  <c r="AJ29"/>
  <c r="AJ28"/>
  <c r="AD29"/>
  <c r="AD28"/>
  <c r="AH28" s="1"/>
  <c r="X29"/>
  <c r="X28"/>
  <c r="R29"/>
  <c r="R28"/>
  <c r="V28" s="1"/>
  <c r="L29"/>
  <c r="L28"/>
  <c r="F29"/>
  <c r="F28"/>
  <c r="AV28" s="1"/>
  <c r="AW28" s="1"/>
  <c r="L104" i="3"/>
  <c r="N153" i="1"/>
  <c r="N177"/>
  <c r="N169"/>
  <c r="N165"/>
  <c r="N159"/>
  <c r="N135"/>
  <c r="N133"/>
  <c r="N131"/>
  <c r="N129"/>
  <c r="F28"/>
  <c r="L28" s="1"/>
  <c r="N28"/>
  <c r="F22"/>
  <c r="L22" s="1"/>
  <c r="F346"/>
  <c r="L346" s="1"/>
  <c r="M346" s="1"/>
  <c r="N346"/>
  <c r="F338"/>
  <c r="L338" s="1"/>
  <c r="N125"/>
  <c r="F113"/>
  <c r="L113" s="1"/>
  <c r="M113" s="1"/>
  <c r="J57" i="5"/>
  <c r="L88" i="3"/>
  <c r="M88" s="1"/>
  <c r="V86" i="2"/>
  <c r="Z93"/>
  <c r="X93"/>
  <c r="W93"/>
  <c r="Z92"/>
  <c r="X92"/>
  <c r="W92"/>
  <c r="V92"/>
  <c r="S92"/>
  <c r="U92" s="1"/>
  <c r="S93" s="1"/>
  <c r="U93" s="1"/>
  <c r="P92"/>
  <c r="M92"/>
  <c r="O92" s="1"/>
  <c r="M93" s="1"/>
  <c r="O93" s="1"/>
  <c r="J92"/>
  <c r="G92"/>
  <c r="I92" s="1"/>
  <c r="G93" s="1"/>
  <c r="I93" s="1"/>
  <c r="P60"/>
  <c r="R58"/>
  <c r="F194" i="3"/>
  <c r="L194" s="1"/>
  <c r="L152"/>
  <c r="L68"/>
  <c r="L66"/>
  <c r="G104"/>
  <c r="J104" s="1"/>
  <c r="F79"/>
  <c r="F78"/>
  <c r="E141"/>
  <c r="E140"/>
  <c r="G140" s="1"/>
  <c r="F193"/>
  <c r="L192" s="1"/>
  <c r="E139"/>
  <c r="E138"/>
  <c r="N138"/>
  <c r="N170"/>
  <c r="G192"/>
  <c r="J192" s="1"/>
  <c r="G38" i="2"/>
  <c r="I38" s="1"/>
  <c r="G39" s="1"/>
  <c r="I39" s="1"/>
  <c r="AX39"/>
  <c r="AV39"/>
  <c r="AU39"/>
  <c r="AX38"/>
  <c r="AV38"/>
  <c r="AU38"/>
  <c r="AT38"/>
  <c r="AQ38"/>
  <c r="AS38" s="1"/>
  <c r="AQ39" s="1"/>
  <c r="AS39" s="1"/>
  <c r="AN38"/>
  <c r="AK38"/>
  <c r="AM38" s="1"/>
  <c r="AK39" s="1"/>
  <c r="AM39" s="1"/>
  <c r="AH38"/>
  <c r="AE38"/>
  <c r="AG38" s="1"/>
  <c r="AE39" s="1"/>
  <c r="AG39" s="1"/>
  <c r="AB38"/>
  <c r="Y38"/>
  <c r="AA38" s="1"/>
  <c r="Y39" s="1"/>
  <c r="AA39" s="1"/>
  <c r="V38"/>
  <c r="S38"/>
  <c r="U38" s="1"/>
  <c r="S39" s="1"/>
  <c r="U39" s="1"/>
  <c r="P38"/>
  <c r="M38"/>
  <c r="O38" s="1"/>
  <c r="M39" s="1"/>
  <c r="O39" s="1"/>
  <c r="J38"/>
  <c r="F78" i="1"/>
  <c r="F77"/>
  <c r="F76"/>
  <c r="L221"/>
  <c r="F39"/>
  <c r="F38"/>
  <c r="F37"/>
  <c r="F60"/>
  <c r="F59"/>
  <c r="F58"/>
  <c r="C26" i="4"/>
  <c r="C42"/>
  <c r="C40"/>
  <c r="C38"/>
  <c r="C36"/>
  <c r="C34"/>
  <c r="C32"/>
  <c r="C30"/>
  <c r="C28"/>
  <c r="C24"/>
  <c r="C22"/>
  <c r="V90" i="2"/>
  <c r="V88"/>
  <c r="V84"/>
  <c r="V82"/>
  <c r="P90"/>
  <c r="P88"/>
  <c r="P86"/>
  <c r="P84"/>
  <c r="P82"/>
  <c r="J90"/>
  <c r="J88"/>
  <c r="J86"/>
  <c r="J84"/>
  <c r="J82"/>
  <c r="G84"/>
  <c r="I84" s="1"/>
  <c r="G85" s="1"/>
  <c r="I85" s="1"/>
  <c r="G82"/>
  <c r="P62"/>
  <c r="P68"/>
  <c r="P70"/>
  <c r="P72"/>
  <c r="P54"/>
  <c r="J56"/>
  <c r="J58"/>
  <c r="J60"/>
  <c r="J62"/>
  <c r="J64"/>
  <c r="J70"/>
  <c r="J72"/>
  <c r="J54"/>
  <c r="G54"/>
  <c r="N267" i="1"/>
  <c r="G267"/>
  <c r="I267" s="1"/>
  <c r="G268" s="1"/>
  <c r="N264"/>
  <c r="G264"/>
  <c r="I264" s="1"/>
  <c r="G265" s="1"/>
  <c r="N282"/>
  <c r="G282"/>
  <c r="J282" s="1"/>
  <c r="N207"/>
  <c r="G207"/>
  <c r="I207" s="1"/>
  <c r="G208" s="1"/>
  <c r="N88"/>
  <c r="G52"/>
  <c r="N55"/>
  <c r="G55"/>
  <c r="I55" s="1"/>
  <c r="G56" s="1"/>
  <c r="G129" i="3"/>
  <c r="F20" i="6"/>
  <c r="C20"/>
  <c r="N190" i="3"/>
  <c r="G190"/>
  <c r="I190" s="1"/>
  <c r="G191" s="1"/>
  <c r="I191" s="1"/>
  <c r="G37"/>
  <c r="I37" s="1"/>
  <c r="G38" s="1"/>
  <c r="N315" i="1"/>
  <c r="F24" i="6"/>
  <c r="C24"/>
  <c r="G315" i="1"/>
  <c r="I315" s="1"/>
  <c r="G316" s="1"/>
  <c r="R71" i="2"/>
  <c r="R70"/>
  <c r="G146" i="3"/>
  <c r="N312" i="1"/>
  <c r="G312"/>
  <c r="F14" i="6"/>
  <c r="C14"/>
  <c r="N179" i="1"/>
  <c r="N181"/>
  <c r="N183"/>
  <c r="N185"/>
  <c r="N187"/>
  <c r="P187" s="1"/>
  <c r="N189"/>
  <c r="N191"/>
  <c r="P191" s="1"/>
  <c r="G179"/>
  <c r="I179" s="1"/>
  <c r="G180" s="1"/>
  <c r="G181"/>
  <c r="I181" s="1"/>
  <c r="G182" s="1"/>
  <c r="J182" s="1"/>
  <c r="G183"/>
  <c r="I183" s="1"/>
  <c r="G184" s="1"/>
  <c r="G185"/>
  <c r="J185" s="1"/>
  <c r="G187"/>
  <c r="I187" s="1"/>
  <c r="G188" s="1"/>
  <c r="G189"/>
  <c r="J189" s="1"/>
  <c r="G191"/>
  <c r="J191" s="1"/>
  <c r="N140" i="3"/>
  <c r="N144"/>
  <c r="N146"/>
  <c r="N148"/>
  <c r="N150"/>
  <c r="N152"/>
  <c r="N154"/>
  <c r="N156"/>
  <c r="N158"/>
  <c r="N160"/>
  <c r="N162"/>
  <c r="N164"/>
  <c r="N166"/>
  <c r="N168"/>
  <c r="N174"/>
  <c r="N176"/>
  <c r="N178"/>
  <c r="N180"/>
  <c r="N182"/>
  <c r="N184"/>
  <c r="N186"/>
  <c r="N188"/>
  <c r="M18" i="2"/>
  <c r="O18" s="1"/>
  <c r="M19" s="1"/>
  <c r="O19" s="1"/>
  <c r="V30"/>
  <c r="G177" i="1"/>
  <c r="J177" s="1"/>
  <c r="K245"/>
  <c r="N245"/>
  <c r="P245" s="1"/>
  <c r="AX7" i="2"/>
  <c r="C64" i="10"/>
  <c r="I64"/>
  <c r="G64"/>
  <c r="F64"/>
  <c r="C32"/>
  <c r="I32"/>
  <c r="G32"/>
  <c r="G66" i="3"/>
  <c r="J66" s="1"/>
  <c r="G129" i="1"/>
  <c r="G55" i="3"/>
  <c r="F91" i="10"/>
  <c r="G91"/>
  <c r="E91"/>
  <c r="N125" i="3"/>
  <c r="G68"/>
  <c r="J68" s="1"/>
  <c r="G158"/>
  <c r="J158" s="1"/>
  <c r="G31"/>
  <c r="J31" s="1"/>
  <c r="G9"/>
  <c r="I9" s="1"/>
  <c r="G10" s="1"/>
  <c r="G125"/>
  <c r="G64"/>
  <c r="I64" s="1"/>
  <c r="G65" s="1"/>
  <c r="J65" s="1"/>
  <c r="G70"/>
  <c r="G34" i="1"/>
  <c r="G20"/>
  <c r="I20" s="1"/>
  <c r="G21" s="1"/>
  <c r="G132" i="3"/>
  <c r="I132" s="1"/>
  <c r="G133" s="1"/>
  <c r="I133" s="1"/>
  <c r="G123"/>
  <c r="G76"/>
  <c r="E102" i="5"/>
  <c r="G79" i="1"/>
  <c r="J79" s="1"/>
  <c r="G300"/>
  <c r="J300" s="1"/>
  <c r="F6" i="6"/>
  <c r="G74" i="3"/>
  <c r="G92"/>
  <c r="J92" s="1"/>
  <c r="G288" i="1"/>
  <c r="G153"/>
  <c r="J153" s="1"/>
  <c r="G297"/>
  <c r="J297" s="1"/>
  <c r="J255"/>
  <c r="G40"/>
  <c r="F8" i="6"/>
  <c r="AX6" i="2"/>
  <c r="AZ6" s="1"/>
  <c r="AK6"/>
  <c r="AH6"/>
  <c r="V6"/>
  <c r="P6"/>
  <c r="AK34"/>
  <c r="P34"/>
  <c r="G90" i="3"/>
  <c r="K54" i="10"/>
  <c r="G62" i="2"/>
  <c r="I62" s="1"/>
  <c r="G63" s="1"/>
  <c r="I63" s="1"/>
  <c r="G72"/>
  <c r="I72" s="1"/>
  <c r="G73" s="1"/>
  <c r="I73" s="1"/>
  <c r="V22"/>
  <c r="M22"/>
  <c r="O22" s="1"/>
  <c r="M23" s="1"/>
  <c r="O23" s="1"/>
  <c r="AB36"/>
  <c r="G186" i="3"/>
  <c r="I186" s="1"/>
  <c r="G187" s="1"/>
  <c r="AK18" i="2"/>
  <c r="S18"/>
  <c r="U18" s="1"/>
  <c r="S19" s="1"/>
  <c r="U19" s="1"/>
  <c r="G18"/>
  <c r="I18" s="1"/>
  <c r="G19" s="1"/>
  <c r="I19" s="1"/>
  <c r="G184" i="3"/>
  <c r="G162"/>
  <c r="X83" i="2"/>
  <c r="X84"/>
  <c r="X85"/>
  <c r="W89"/>
  <c r="W88"/>
  <c r="G88"/>
  <c r="I88" s="1"/>
  <c r="G89" s="1"/>
  <c r="I89" s="1"/>
  <c r="G43" i="1"/>
  <c r="G225"/>
  <c r="I225" s="1"/>
  <c r="G226" s="1"/>
  <c r="K243"/>
  <c r="G229"/>
  <c r="I229" s="1"/>
  <c r="G230" s="1"/>
  <c r="J151"/>
  <c r="G199"/>
  <c r="J199" s="1"/>
  <c r="G221"/>
  <c r="J221" s="1"/>
  <c r="K76" i="10"/>
  <c r="K72"/>
  <c r="K70"/>
  <c r="D91"/>
  <c r="E64"/>
  <c r="K53"/>
  <c r="K52"/>
  <c r="K51"/>
  <c r="K47"/>
  <c r="K46"/>
  <c r="K45"/>
  <c r="K42"/>
  <c r="E32"/>
  <c r="Z90" i="2"/>
  <c r="T57"/>
  <c r="T56"/>
  <c r="T55"/>
  <c r="T54"/>
  <c r="Z87"/>
  <c r="Z86"/>
  <c r="Z85"/>
  <c r="AF84" s="1"/>
  <c r="Z84"/>
  <c r="Z83"/>
  <c r="Z82"/>
  <c r="G270" i="1"/>
  <c r="C6" i="6"/>
  <c r="C22"/>
  <c r="C8"/>
  <c r="F22"/>
  <c r="AT30" i="2"/>
  <c r="AK32"/>
  <c r="J32"/>
  <c r="J30"/>
  <c r="AT14"/>
  <c r="AT16"/>
  <c r="AT12"/>
  <c r="AT10"/>
  <c r="AN24"/>
  <c r="AN20"/>
  <c r="AN16"/>
  <c r="AN12"/>
  <c r="AN10"/>
  <c r="AH24"/>
  <c r="AH10"/>
  <c r="AB14"/>
  <c r="AB12"/>
  <c r="AB10"/>
  <c r="V24"/>
  <c r="V16"/>
  <c r="V14"/>
  <c r="V12"/>
  <c r="V10"/>
  <c r="P16"/>
  <c r="P14"/>
  <c r="P12"/>
  <c r="P10"/>
  <c r="P20"/>
  <c r="P24"/>
  <c r="J10"/>
  <c r="AH20"/>
  <c r="AH16"/>
  <c r="AH14"/>
  <c r="AH12"/>
  <c r="AT24"/>
  <c r="AT20"/>
  <c r="AT8"/>
  <c r="AK8"/>
  <c r="AM8" s="1"/>
  <c r="AB24"/>
  <c r="V20"/>
  <c r="P26"/>
  <c r="J24"/>
  <c r="J34"/>
  <c r="J12"/>
  <c r="J14"/>
  <c r="J16"/>
  <c r="J20"/>
  <c r="I6"/>
  <c r="G7" s="1"/>
  <c r="I7" s="1"/>
  <c r="G26"/>
  <c r="I26" s="1"/>
  <c r="C14" i="4"/>
  <c r="C16"/>
  <c r="C18"/>
  <c r="C20"/>
  <c r="C12"/>
  <c r="C10"/>
  <c r="C8"/>
  <c r="G82" i="1"/>
  <c r="G303"/>
  <c r="I303" s="1"/>
  <c r="G304" s="1"/>
  <c r="J304" s="1"/>
  <c r="N309"/>
  <c r="P309" s="1"/>
  <c r="N175"/>
  <c r="N237"/>
  <c r="N243"/>
  <c r="G94" i="3"/>
  <c r="G134"/>
  <c r="J134" s="1"/>
  <c r="G338" i="1"/>
  <c r="G49" i="5"/>
  <c r="G78" i="3"/>
  <c r="J78" s="1"/>
  <c r="G61" i="1"/>
  <c r="G233"/>
  <c r="J233" s="1"/>
  <c r="G258"/>
  <c r="G273"/>
  <c r="J273" s="1"/>
  <c r="G291"/>
  <c r="I291" s="1"/>
  <c r="G292" s="1"/>
  <c r="G306"/>
  <c r="N344"/>
  <c r="G136" i="3"/>
  <c r="I136" s="1"/>
  <c r="G137" s="1"/>
  <c r="K241" i="1"/>
  <c r="N241"/>
  <c r="G241"/>
  <c r="J241" s="1"/>
  <c r="N173"/>
  <c r="G173"/>
  <c r="J173" s="1"/>
  <c r="M64" i="2"/>
  <c r="O64" s="1"/>
  <c r="G64"/>
  <c r="I64" s="1"/>
  <c r="G65" s="1"/>
  <c r="I65" s="1"/>
  <c r="G47" i="5"/>
  <c r="G45"/>
  <c r="J55"/>
  <c r="J54"/>
  <c r="F25" i="6"/>
  <c r="F23"/>
  <c r="F12"/>
  <c r="H12" s="1"/>
  <c r="F11"/>
  <c r="F10"/>
  <c r="C25"/>
  <c r="C23"/>
  <c r="C12"/>
  <c r="C11"/>
  <c r="E11" s="1"/>
  <c r="C10"/>
  <c r="N134" i="3"/>
  <c r="N136"/>
  <c r="N132"/>
  <c r="N117"/>
  <c r="N119"/>
  <c r="N121"/>
  <c r="N123"/>
  <c r="N115"/>
  <c r="P115" s="1"/>
  <c r="N66"/>
  <c r="N68"/>
  <c r="N70"/>
  <c r="N72"/>
  <c r="N74"/>
  <c r="N76"/>
  <c r="N78"/>
  <c r="N80"/>
  <c r="N82"/>
  <c r="N84"/>
  <c r="N86"/>
  <c r="N88"/>
  <c r="N90"/>
  <c r="N92"/>
  <c r="N94"/>
  <c r="N96"/>
  <c r="N98"/>
  <c r="N64"/>
  <c r="N55"/>
  <c r="N57"/>
  <c r="N59"/>
  <c r="N53"/>
  <c r="N44"/>
  <c r="N46"/>
  <c r="N48"/>
  <c r="N50"/>
  <c r="N42"/>
  <c r="N31"/>
  <c r="N33"/>
  <c r="N35"/>
  <c r="N37"/>
  <c r="O37" s="1"/>
  <c r="N20"/>
  <c r="N22"/>
  <c r="N24"/>
  <c r="N26"/>
  <c r="N18"/>
  <c r="N15"/>
  <c r="N13"/>
  <c r="N11"/>
  <c r="Z88" i="2"/>
  <c r="Z89"/>
  <c r="Z91"/>
  <c r="AA91" s="1"/>
  <c r="AX9"/>
  <c r="AX8"/>
  <c r="T58"/>
  <c r="T59"/>
  <c r="T60"/>
  <c r="T61"/>
  <c r="T62"/>
  <c r="T63"/>
  <c r="V63" s="1"/>
  <c r="T64"/>
  <c r="T65"/>
  <c r="T66"/>
  <c r="T67"/>
  <c r="T68"/>
  <c r="T69"/>
  <c r="T70"/>
  <c r="T71"/>
  <c r="T72"/>
  <c r="T73"/>
  <c r="I152" i="3"/>
  <c r="G153" s="1"/>
  <c r="G156"/>
  <c r="J156" s="1"/>
  <c r="G170"/>
  <c r="I170" s="1"/>
  <c r="G171" s="1"/>
  <c r="I171" s="1"/>
  <c r="J123"/>
  <c r="G82"/>
  <c r="J82" s="1"/>
  <c r="G88"/>
  <c r="I88" s="1"/>
  <c r="G89" s="1"/>
  <c r="G96"/>
  <c r="I96" s="1"/>
  <c r="G97" s="1"/>
  <c r="G57"/>
  <c r="J57" s="1"/>
  <c r="G44"/>
  <c r="I44" s="1"/>
  <c r="G45" s="1"/>
  <c r="J45" s="1"/>
  <c r="G46"/>
  <c r="I46" s="1"/>
  <c r="G47" s="1"/>
  <c r="I47" s="1"/>
  <c r="G48"/>
  <c r="I48" s="1"/>
  <c r="G49" s="1"/>
  <c r="G50"/>
  <c r="J50" s="1"/>
  <c r="G33"/>
  <c r="J33" s="1"/>
  <c r="G20"/>
  <c r="J20" s="1"/>
  <c r="G22"/>
  <c r="J22" s="1"/>
  <c r="G26"/>
  <c r="I26" s="1"/>
  <c r="G27" s="1"/>
  <c r="I27" s="1"/>
  <c r="G18"/>
  <c r="I18" s="1"/>
  <c r="G19" s="1"/>
  <c r="G11"/>
  <c r="J11" s="1"/>
  <c r="G13"/>
  <c r="I13" s="1"/>
  <c r="G14" s="1"/>
  <c r="G15"/>
  <c r="J15" s="1"/>
  <c r="W83" i="2"/>
  <c r="W84"/>
  <c r="W85"/>
  <c r="W86"/>
  <c r="W87"/>
  <c r="W90"/>
  <c r="W91"/>
  <c r="W82"/>
  <c r="S84"/>
  <c r="U84" s="1"/>
  <c r="S85" s="1"/>
  <c r="U85" s="1"/>
  <c r="S86"/>
  <c r="U86" s="1"/>
  <c r="S87" s="1"/>
  <c r="U87" s="1"/>
  <c r="S88"/>
  <c r="U88" s="1"/>
  <c r="S89" s="1"/>
  <c r="U89" s="1"/>
  <c r="M86"/>
  <c r="O86" s="1"/>
  <c r="M87" s="1"/>
  <c r="O87" s="1"/>
  <c r="M84"/>
  <c r="O84" s="1"/>
  <c r="M85" s="1"/>
  <c r="O85" s="1"/>
  <c r="M82"/>
  <c r="O82" s="1"/>
  <c r="M83" s="1"/>
  <c r="O83" s="1"/>
  <c r="I82"/>
  <c r="R55"/>
  <c r="R59"/>
  <c r="R60"/>
  <c r="R61"/>
  <c r="R72"/>
  <c r="R54"/>
  <c r="Q55"/>
  <c r="Q56"/>
  <c r="Q57"/>
  <c r="Q58"/>
  <c r="Q59"/>
  <c r="Q60"/>
  <c r="Q61"/>
  <c r="Q62"/>
  <c r="Q63"/>
  <c r="Q64"/>
  <c r="Q65"/>
  <c r="Q66"/>
  <c r="Q67"/>
  <c r="Q68"/>
  <c r="Q69"/>
  <c r="Q70"/>
  <c r="S70" s="1"/>
  <c r="Q71"/>
  <c r="Q72"/>
  <c r="Q73"/>
  <c r="Q54"/>
  <c r="M60"/>
  <c r="O60" s="1"/>
  <c r="M61" s="1"/>
  <c r="O61" s="1"/>
  <c r="M70"/>
  <c r="O70" s="1"/>
  <c r="M71" s="1"/>
  <c r="O71" s="1"/>
  <c r="M72"/>
  <c r="O72" s="1"/>
  <c r="M73" s="1"/>
  <c r="O73" s="1"/>
  <c r="M54"/>
  <c r="G58"/>
  <c r="I58" s="1"/>
  <c r="G59" s="1"/>
  <c r="I59" s="1"/>
  <c r="G60"/>
  <c r="I60" s="1"/>
  <c r="G61" s="1"/>
  <c r="I61" s="1"/>
  <c r="I54"/>
  <c r="G55" s="1"/>
  <c r="I55" s="1"/>
  <c r="AX10"/>
  <c r="AX11"/>
  <c r="AX12"/>
  <c r="AX13"/>
  <c r="BD12" s="1"/>
  <c r="AX14"/>
  <c r="AX15"/>
  <c r="AX16"/>
  <c r="AX17"/>
  <c r="BD16" s="1"/>
  <c r="AX18"/>
  <c r="AX19"/>
  <c r="AX20"/>
  <c r="AX21"/>
  <c r="BD20" s="1"/>
  <c r="AX22"/>
  <c r="AX23"/>
  <c r="AX24"/>
  <c r="AX25"/>
  <c r="BD24" s="1"/>
  <c r="AX26"/>
  <c r="AX27"/>
  <c r="AX28"/>
  <c r="AX29"/>
  <c r="BD28" s="1"/>
  <c r="AX30"/>
  <c r="AX31"/>
  <c r="AX32"/>
  <c r="AX33"/>
  <c r="BD32" s="1"/>
  <c r="AX34"/>
  <c r="AX35"/>
  <c r="AX36"/>
  <c r="AX37"/>
  <c r="AU6"/>
  <c r="AV10"/>
  <c r="AV12"/>
  <c r="AV13"/>
  <c r="AV14"/>
  <c r="AV15"/>
  <c r="AV16"/>
  <c r="AV17"/>
  <c r="AV20"/>
  <c r="AV21"/>
  <c r="AV24"/>
  <c r="AV25"/>
  <c r="AU7"/>
  <c r="AU8"/>
  <c r="AU9"/>
  <c r="AU10"/>
  <c r="C9" i="6" s="1"/>
  <c r="AU11" i="2"/>
  <c r="AU12"/>
  <c r="AU13"/>
  <c r="AU14"/>
  <c r="BA14" s="1"/>
  <c r="AU15"/>
  <c r="AU16"/>
  <c r="AU17"/>
  <c r="AU18"/>
  <c r="AW18" s="1"/>
  <c r="AU19"/>
  <c r="AU20"/>
  <c r="AU21"/>
  <c r="AU22"/>
  <c r="AW22" s="1"/>
  <c r="AU23"/>
  <c r="AU24"/>
  <c r="AW24" s="1"/>
  <c r="AU25"/>
  <c r="AU26"/>
  <c r="AW26" s="1"/>
  <c r="AY26" s="1"/>
  <c r="AW27" s="1"/>
  <c r="AU27"/>
  <c r="AU28"/>
  <c r="AU29"/>
  <c r="AU30"/>
  <c r="AU31"/>
  <c r="AU32"/>
  <c r="AU33"/>
  <c r="AU34"/>
  <c r="AU35"/>
  <c r="AU36"/>
  <c r="AU37"/>
  <c r="M14"/>
  <c r="O14" s="1"/>
  <c r="M15" s="1"/>
  <c r="O15" s="1"/>
  <c r="M12"/>
  <c r="O12" s="1"/>
  <c r="M13" s="1"/>
  <c r="O13" s="1"/>
  <c r="M10"/>
  <c r="O10" s="1"/>
  <c r="M11" s="1"/>
  <c r="O11" s="1"/>
  <c r="M8"/>
  <c r="O8" s="1"/>
  <c r="M6"/>
  <c r="O6" s="1"/>
  <c r="M7" s="1"/>
  <c r="O7" s="1"/>
  <c r="AQ24"/>
  <c r="AS24" s="1"/>
  <c r="AQ25" s="1"/>
  <c r="AS25" s="1"/>
  <c r="AQ22"/>
  <c r="AS22" s="1"/>
  <c r="AQ23" s="1"/>
  <c r="AS23" s="1"/>
  <c r="AQ20"/>
  <c r="AS20" s="1"/>
  <c r="AQ21" s="1"/>
  <c r="AS21" s="1"/>
  <c r="AQ16"/>
  <c r="AS16" s="1"/>
  <c r="AQ17" s="1"/>
  <c r="AS17" s="1"/>
  <c r="AQ14"/>
  <c r="AS14" s="1"/>
  <c r="AQ15" s="1"/>
  <c r="AS15" s="1"/>
  <c r="AQ12"/>
  <c r="AS12" s="1"/>
  <c r="AQ13" s="1"/>
  <c r="AS13" s="1"/>
  <c r="AQ10"/>
  <c r="AS10" s="1"/>
  <c r="AQ11" s="1"/>
  <c r="AS11" s="1"/>
  <c r="AK36"/>
  <c r="AM36" s="1"/>
  <c r="AK37" s="1"/>
  <c r="AM37" s="1"/>
  <c r="AM34"/>
  <c r="AK35" s="1"/>
  <c r="AM35" s="1"/>
  <c r="AM32"/>
  <c r="AK26"/>
  <c r="AM26" s="1"/>
  <c r="AK27" s="1"/>
  <c r="AM27" s="1"/>
  <c r="AK24"/>
  <c r="AM24" s="1"/>
  <c r="AK25" s="1"/>
  <c r="AM25" s="1"/>
  <c r="AK22"/>
  <c r="AM22" s="1"/>
  <c r="AK23" s="1"/>
  <c r="AM23" s="1"/>
  <c r="AK20"/>
  <c r="AM20" s="1"/>
  <c r="AK21" s="1"/>
  <c r="AM21" s="1"/>
  <c r="AM18"/>
  <c r="AK19" s="1"/>
  <c r="AM19" s="1"/>
  <c r="AK16"/>
  <c r="AM16" s="1"/>
  <c r="AK17" s="1"/>
  <c r="AM17" s="1"/>
  <c r="AK14"/>
  <c r="AM14" s="1"/>
  <c r="AK12"/>
  <c r="AM12" s="1"/>
  <c r="AK13" s="1"/>
  <c r="AM13" s="1"/>
  <c r="AK10"/>
  <c r="AM10" s="1"/>
  <c r="AK11" s="1"/>
  <c r="AM11" s="1"/>
  <c r="AM6"/>
  <c r="AK7" s="1"/>
  <c r="AM7" s="1"/>
  <c r="AE36"/>
  <c r="AG36" s="1"/>
  <c r="AE37" s="1"/>
  <c r="AG37" s="1"/>
  <c r="AE32"/>
  <c r="AG32" s="1"/>
  <c r="AE24"/>
  <c r="AG24" s="1"/>
  <c r="AE25" s="1"/>
  <c r="AG25" s="1"/>
  <c r="AE20"/>
  <c r="AG20" s="1"/>
  <c r="AE21" s="1"/>
  <c r="AG21" s="1"/>
  <c r="AE18"/>
  <c r="AG18" s="1"/>
  <c r="AE19" s="1"/>
  <c r="AG19" s="1"/>
  <c r="AE16"/>
  <c r="AG16" s="1"/>
  <c r="AE17" s="1"/>
  <c r="AG17" s="1"/>
  <c r="AE14"/>
  <c r="AG14" s="1"/>
  <c r="AE15" s="1"/>
  <c r="AG15" s="1"/>
  <c r="AE12"/>
  <c r="AG12" s="1"/>
  <c r="AE13" s="1"/>
  <c r="AG13" s="1"/>
  <c r="AE10"/>
  <c r="AG10" s="1"/>
  <c r="AE11" s="1"/>
  <c r="AG11" s="1"/>
  <c r="AE8"/>
  <c r="AG8" s="1"/>
  <c r="AE9" s="1"/>
  <c r="AG9" s="1"/>
  <c r="AE6"/>
  <c r="AG6" s="1"/>
  <c r="AE7" s="1"/>
  <c r="AG7" s="1"/>
  <c r="Y32"/>
  <c r="AA32" s="1"/>
  <c r="Y33" s="1"/>
  <c r="AA33" s="1"/>
  <c r="Y28"/>
  <c r="AA28" s="1"/>
  <c r="Y29" s="1"/>
  <c r="AA29" s="1"/>
  <c r="Y24"/>
  <c r="AA24" s="1"/>
  <c r="Y25" s="1"/>
  <c r="AA25" s="1"/>
  <c r="AA20"/>
  <c r="Y21" s="1"/>
  <c r="AA21" s="1"/>
  <c r="Y18"/>
  <c r="AA18" s="1"/>
  <c r="Y19" s="1"/>
  <c r="AA19" s="1"/>
  <c r="Y16"/>
  <c r="AA16" s="1"/>
  <c r="Y17" s="1"/>
  <c r="AA17" s="1"/>
  <c r="AA14"/>
  <c r="Y15" s="1"/>
  <c r="AA15" s="1"/>
  <c r="Y12"/>
  <c r="AA12" s="1"/>
  <c r="Y13" s="1"/>
  <c r="AA13" s="1"/>
  <c r="Y10"/>
  <c r="AA10" s="1"/>
  <c r="Y11" s="1"/>
  <c r="AA11" s="1"/>
  <c r="Y6"/>
  <c r="AA6" s="1"/>
  <c r="Y7" s="1"/>
  <c r="AA7" s="1"/>
  <c r="S32"/>
  <c r="U32" s="1"/>
  <c r="S33" s="1"/>
  <c r="U33" s="1"/>
  <c r="S28"/>
  <c r="U28" s="1"/>
  <c r="S29" s="1"/>
  <c r="U29" s="1"/>
  <c r="U24"/>
  <c r="U20"/>
  <c r="S16"/>
  <c r="U16" s="1"/>
  <c r="S17" s="1"/>
  <c r="U17" s="1"/>
  <c r="S14"/>
  <c r="U14" s="1"/>
  <c r="S15" s="1"/>
  <c r="U15" s="1"/>
  <c r="S12"/>
  <c r="U12" s="1"/>
  <c r="S13" s="1"/>
  <c r="U13" s="1"/>
  <c r="S10"/>
  <c r="U10" s="1"/>
  <c r="S11" s="1"/>
  <c r="U11" s="1"/>
  <c r="M36"/>
  <c r="O36" s="1"/>
  <c r="M37" s="1"/>
  <c r="O37" s="1"/>
  <c r="M32"/>
  <c r="O32" s="1"/>
  <c r="M33" s="1"/>
  <c r="O33" s="1"/>
  <c r="M26"/>
  <c r="O26" s="1"/>
  <c r="M27" s="1"/>
  <c r="O27" s="1"/>
  <c r="M24"/>
  <c r="O24" s="1"/>
  <c r="M25" s="1"/>
  <c r="O25" s="1"/>
  <c r="M20"/>
  <c r="O20" s="1"/>
  <c r="M21" s="1"/>
  <c r="O21" s="1"/>
  <c r="M16"/>
  <c r="O16" s="1"/>
  <c r="M17" s="1"/>
  <c r="O17" s="1"/>
  <c r="G16"/>
  <c r="I16" s="1"/>
  <c r="G17" s="1"/>
  <c r="I17" s="1"/>
  <c r="G14"/>
  <c r="I14" s="1"/>
  <c r="G15" s="1"/>
  <c r="I15" s="1"/>
  <c r="G12"/>
  <c r="I12" s="1"/>
  <c r="G13" s="1"/>
  <c r="I13" s="1"/>
  <c r="G10"/>
  <c r="I10" s="1"/>
  <c r="G11" s="1"/>
  <c r="I11" s="1"/>
  <c r="G20"/>
  <c r="I20" s="1"/>
  <c r="G21" s="1"/>
  <c r="I21" s="1"/>
  <c r="G22"/>
  <c r="I22" s="1"/>
  <c r="G23" s="1"/>
  <c r="I23" s="1"/>
  <c r="G24"/>
  <c r="I24" s="1"/>
  <c r="G25" s="1"/>
  <c r="I25" s="1"/>
  <c r="G30"/>
  <c r="I30" s="1"/>
  <c r="G31" s="1"/>
  <c r="I31" s="1"/>
  <c r="G34"/>
  <c r="I34" s="1"/>
  <c r="G35" s="1"/>
  <c r="I35" s="1"/>
  <c r="G36"/>
  <c r="I36" s="1"/>
  <c r="G37" s="1"/>
  <c r="I37" s="1"/>
  <c r="N332" i="1"/>
  <c r="N334"/>
  <c r="N336"/>
  <c r="P336" s="1"/>
  <c r="N338"/>
  <c r="N340"/>
  <c r="N342"/>
  <c r="P342" s="1"/>
  <c r="N330"/>
  <c r="G332"/>
  <c r="G340"/>
  <c r="G342"/>
  <c r="J342" s="1"/>
  <c r="N322"/>
  <c r="N324"/>
  <c r="N326"/>
  <c r="P326" s="1"/>
  <c r="N320"/>
  <c r="G322"/>
  <c r="J322" s="1"/>
  <c r="G324"/>
  <c r="J324" s="1"/>
  <c r="G326"/>
  <c r="I326" s="1"/>
  <c r="G327" s="1"/>
  <c r="N252"/>
  <c r="N255"/>
  <c r="N360" s="1"/>
  <c r="N258"/>
  <c r="N261"/>
  <c r="N273"/>
  <c r="N276"/>
  <c r="N279"/>
  <c r="N285"/>
  <c r="N288"/>
  <c r="N291"/>
  <c r="N294"/>
  <c r="N378" s="1"/>
  <c r="N297"/>
  <c r="N300"/>
  <c r="N306"/>
  <c r="N249"/>
  <c r="N354" s="1"/>
  <c r="I255"/>
  <c r="N215"/>
  <c r="N211"/>
  <c r="N197"/>
  <c r="N199"/>
  <c r="N201"/>
  <c r="N203"/>
  <c r="N205"/>
  <c r="N209"/>
  <c r="N217"/>
  <c r="N219"/>
  <c r="N221"/>
  <c r="N225"/>
  <c r="N227"/>
  <c r="N229"/>
  <c r="N231"/>
  <c r="N233"/>
  <c r="N235"/>
  <c r="N239"/>
  <c r="N195"/>
  <c r="G197"/>
  <c r="J197" s="1"/>
  <c r="I199"/>
  <c r="G200" s="1"/>
  <c r="G201"/>
  <c r="I201" s="1"/>
  <c r="G202" s="1"/>
  <c r="I202" s="1"/>
  <c r="G203"/>
  <c r="I203" s="1"/>
  <c r="G204" s="1"/>
  <c r="G205"/>
  <c r="I205" s="1"/>
  <c r="G206" s="1"/>
  <c r="G211"/>
  <c r="I211" s="1"/>
  <c r="G212" s="1"/>
  <c r="I212" s="1"/>
  <c r="G213"/>
  <c r="G217"/>
  <c r="J217" s="1"/>
  <c r="G219"/>
  <c r="I219" s="1"/>
  <c r="G220" s="1"/>
  <c r="G231"/>
  <c r="I231" s="1"/>
  <c r="G232" s="1"/>
  <c r="G239"/>
  <c r="J239" s="1"/>
  <c r="G195"/>
  <c r="I195" s="1"/>
  <c r="G196" s="1"/>
  <c r="N137"/>
  <c r="N139"/>
  <c r="N141"/>
  <c r="N143"/>
  <c r="N145"/>
  <c r="N147"/>
  <c r="N149"/>
  <c r="N151"/>
  <c r="N155"/>
  <c r="N157"/>
  <c r="N161"/>
  <c r="N167"/>
  <c r="N171"/>
  <c r="G143"/>
  <c r="I143" s="1"/>
  <c r="G144" s="1"/>
  <c r="I144" s="1"/>
  <c r="G141"/>
  <c r="I141" s="1"/>
  <c r="G142" s="1"/>
  <c r="G137"/>
  <c r="J137" s="1"/>
  <c r="G135"/>
  <c r="J135" s="1"/>
  <c r="G145"/>
  <c r="J145" s="1"/>
  <c r="G147"/>
  <c r="I147" s="1"/>
  <c r="G148" s="1"/>
  <c r="G163"/>
  <c r="J163" s="1"/>
  <c r="G171"/>
  <c r="I129"/>
  <c r="G130" s="1"/>
  <c r="I130" s="1"/>
  <c r="N103"/>
  <c r="N105"/>
  <c r="N107"/>
  <c r="N109"/>
  <c r="N111"/>
  <c r="N113"/>
  <c r="N115"/>
  <c r="N117"/>
  <c r="N119"/>
  <c r="N121"/>
  <c r="N123"/>
  <c r="G103"/>
  <c r="J103" s="1"/>
  <c r="G105"/>
  <c r="I105" s="1"/>
  <c r="G106" s="1"/>
  <c r="G109"/>
  <c r="J109" s="1"/>
  <c r="G111"/>
  <c r="G113"/>
  <c r="I113" s="1"/>
  <c r="G114" s="1"/>
  <c r="G115"/>
  <c r="G117"/>
  <c r="J117" s="1"/>
  <c r="G119"/>
  <c r="J119" s="1"/>
  <c r="G121"/>
  <c r="J121" s="1"/>
  <c r="G123"/>
  <c r="I123" s="1"/>
  <c r="G124" s="1"/>
  <c r="G101"/>
  <c r="I101" s="1"/>
  <c r="G102" s="1"/>
  <c r="N95"/>
  <c r="N97"/>
  <c r="N93"/>
  <c r="G95"/>
  <c r="I95" s="1"/>
  <c r="G96" s="1"/>
  <c r="I96" s="1"/>
  <c r="G6"/>
  <c r="J6" s="1"/>
  <c r="N85"/>
  <c r="N82"/>
  <c r="N393" s="1"/>
  <c r="N79"/>
  <c r="N76"/>
  <c r="N387" s="1"/>
  <c r="N73"/>
  <c r="N384" s="1"/>
  <c r="N70"/>
  <c r="N67"/>
  <c r="N64"/>
  <c r="N61"/>
  <c r="N58"/>
  <c r="N52"/>
  <c r="N49"/>
  <c r="N46"/>
  <c r="N43"/>
  <c r="N37"/>
  <c r="N34"/>
  <c r="N26"/>
  <c r="N24"/>
  <c r="N22"/>
  <c r="N20"/>
  <c r="I40"/>
  <c r="G41" s="1"/>
  <c r="G46"/>
  <c r="I46" s="1"/>
  <c r="G47" s="1"/>
  <c r="G49"/>
  <c r="J49" s="1"/>
  <c r="G64"/>
  <c r="G73"/>
  <c r="G76"/>
  <c r="J76" s="1"/>
  <c r="I79"/>
  <c r="G80" s="1"/>
  <c r="G85"/>
  <c r="J85" s="1"/>
  <c r="G24"/>
  <c r="G18"/>
  <c r="J18" s="1"/>
  <c r="G16"/>
  <c r="I16" s="1"/>
  <c r="G17" s="1"/>
  <c r="G26"/>
  <c r="I26" s="1"/>
  <c r="G27" s="1"/>
  <c r="G8"/>
  <c r="G10"/>
  <c r="I10" s="1"/>
  <c r="G11" s="1"/>
  <c r="E97" i="5"/>
  <c r="F8"/>
  <c r="F9"/>
  <c r="F10"/>
  <c r="F13"/>
  <c r="H13" s="1"/>
  <c r="F14"/>
  <c r="F15"/>
  <c r="H15" s="1"/>
  <c r="F16"/>
  <c r="F17"/>
  <c r="F18"/>
  <c r="H19"/>
  <c r="H22"/>
  <c r="H31"/>
  <c r="E92"/>
  <c r="E93"/>
  <c r="E94"/>
  <c r="E95"/>
  <c r="E96"/>
  <c r="E98"/>
  <c r="E99"/>
  <c r="E100"/>
  <c r="E101"/>
  <c r="C103"/>
  <c r="D103"/>
  <c r="F8" i="4"/>
  <c r="H8" s="1"/>
  <c r="F9" s="1"/>
  <c r="F10"/>
  <c r="F12"/>
  <c r="I12" s="1"/>
  <c r="F14"/>
  <c r="H14" s="1"/>
  <c r="F15" s="1"/>
  <c r="F16"/>
  <c r="I16" s="1"/>
  <c r="F18"/>
  <c r="I18" s="1"/>
  <c r="F20"/>
  <c r="F22"/>
  <c r="I22" s="1"/>
  <c r="F24"/>
  <c r="F26"/>
  <c r="I26" s="1"/>
  <c r="F28"/>
  <c r="F30"/>
  <c r="H30" s="1"/>
  <c r="F31" s="1"/>
  <c r="F32"/>
  <c r="H32" s="1"/>
  <c r="F33" s="1"/>
  <c r="F34"/>
  <c r="H34" s="1"/>
  <c r="F35" s="1"/>
  <c r="H35" s="1"/>
  <c r="F36"/>
  <c r="I36" s="1"/>
  <c r="F38"/>
  <c r="F40"/>
  <c r="H40" s="1"/>
  <c r="F41" s="1"/>
  <c r="F42"/>
  <c r="I42" s="1"/>
  <c r="I322" i="1"/>
  <c r="G323" s="1"/>
  <c r="J323" s="1"/>
  <c r="J26" i="3"/>
  <c r="J229" i="1"/>
  <c r="J48" i="3"/>
  <c r="J13"/>
  <c r="I68"/>
  <c r="J291" i="1"/>
  <c r="J332"/>
  <c r="I332"/>
  <c r="G333" s="1"/>
  <c r="J258"/>
  <c r="I258"/>
  <c r="G259" s="1"/>
  <c r="I241"/>
  <c r="G242" s="1"/>
  <c r="J242" s="1"/>
  <c r="AB32" i="2"/>
  <c r="G68"/>
  <c r="I68" s="1"/>
  <c r="I50" i="3"/>
  <c r="G51" s="1"/>
  <c r="I51" s="1"/>
  <c r="J9"/>
  <c r="G102"/>
  <c r="J102" s="1"/>
  <c r="G172"/>
  <c r="J172" s="1"/>
  <c r="K69" i="10"/>
  <c r="G28" i="2"/>
  <c r="I28" s="1"/>
  <c r="G29" s="1"/>
  <c r="I29" s="1"/>
  <c r="V32"/>
  <c r="AE30"/>
  <c r="AG30" s="1"/>
  <c r="AE31" s="1"/>
  <c r="AG31" s="1"/>
  <c r="J129" i="1"/>
  <c r="X88" i="2"/>
  <c r="Y88" s="1"/>
  <c r="M88"/>
  <c r="O88" s="1"/>
  <c r="M89" s="1"/>
  <c r="O89" s="1"/>
  <c r="AQ8"/>
  <c r="AS8" s="1"/>
  <c r="AQ9" s="1"/>
  <c r="AS9" s="1"/>
  <c r="S30"/>
  <c r="U30" s="1"/>
  <c r="S31" s="1"/>
  <c r="U31" s="1"/>
  <c r="AT32"/>
  <c r="R67"/>
  <c r="M68"/>
  <c r="O68" s="1"/>
  <c r="M69" s="1"/>
  <c r="O69" s="1"/>
  <c r="G67" i="1"/>
  <c r="I67" s="1"/>
  <c r="G68" s="1"/>
  <c r="AT6" i="2"/>
  <c r="AQ6"/>
  <c r="AS6" s="1"/>
  <c r="AQ7" s="1"/>
  <c r="AS7" s="1"/>
  <c r="I221" i="1"/>
  <c r="Y26" i="2"/>
  <c r="AA26" s="1"/>
  <c r="Y27" s="1"/>
  <c r="AA27" s="1"/>
  <c r="J96" i="3"/>
  <c r="G138"/>
  <c r="J138" s="1"/>
  <c r="P18" i="2"/>
  <c r="R62"/>
  <c r="M62"/>
  <c r="O62" s="1"/>
  <c r="M63" s="1"/>
  <c r="O63" s="1"/>
  <c r="X91"/>
  <c r="O243" i="1"/>
  <c r="I297"/>
  <c r="G298" s="1"/>
  <c r="G309"/>
  <c r="I309" s="1"/>
  <c r="G310" s="1"/>
  <c r="I233"/>
  <c r="G234" s="1"/>
  <c r="J16"/>
  <c r="J20"/>
  <c r="J52"/>
  <c r="G139"/>
  <c r="J139" s="1"/>
  <c r="J219"/>
  <c r="I273"/>
  <c r="G274" s="1"/>
  <c r="G243"/>
  <c r="J243" s="1"/>
  <c r="J40"/>
  <c r="J141"/>
  <c r="I197"/>
  <c r="G198" s="1"/>
  <c r="BD36" i="2"/>
  <c r="I123" i="3"/>
  <c r="G188"/>
  <c r="J188" s="1"/>
  <c r="I177" i="1"/>
  <c r="G178" s="1"/>
  <c r="J178" s="1"/>
  <c r="V8" i="2"/>
  <c r="P28"/>
  <c r="M28"/>
  <c r="O28" s="1"/>
  <c r="M29" s="1"/>
  <c r="O29" s="1"/>
  <c r="G32"/>
  <c r="I32" s="1"/>
  <c r="G33" s="1"/>
  <c r="I33" s="1"/>
  <c r="AQ30"/>
  <c r="AS30" s="1"/>
  <c r="AQ31" s="1"/>
  <c r="AS31" s="1"/>
  <c r="G88" i="1"/>
  <c r="J88" s="1"/>
  <c r="J201"/>
  <c r="I153"/>
  <c r="G154" s="1"/>
  <c r="I34" i="4"/>
  <c r="G58" i="1"/>
  <c r="I58" s="1"/>
  <c r="G59" s="1"/>
  <c r="G142" i="3"/>
  <c r="AE26" i="2"/>
  <c r="AG26" s="1"/>
  <c r="G285" i="1"/>
  <c r="U26" i="2"/>
  <c r="Y30"/>
  <c r="AA30" s="1"/>
  <c r="Y8"/>
  <c r="AA8" s="1"/>
  <c r="AB8"/>
  <c r="AK28"/>
  <c r="AM28" s="1"/>
  <c r="AK29" s="1"/>
  <c r="AM29" s="1"/>
  <c r="AN28"/>
  <c r="G72" i="3"/>
  <c r="J72" s="1"/>
  <c r="I270" i="1"/>
  <c r="G271" s="1"/>
  <c r="J270"/>
  <c r="AV18" i="2"/>
  <c r="AV26"/>
  <c r="AB26"/>
  <c r="G86"/>
  <c r="I86" s="1"/>
  <c r="G87" s="1"/>
  <c r="I87" s="1"/>
  <c r="V18"/>
  <c r="AB28"/>
  <c r="AH30"/>
  <c r="R64"/>
  <c r="S64" s="1"/>
  <c r="Y36"/>
  <c r="AA36" s="1"/>
  <c r="Y37" s="1"/>
  <c r="AA37" s="1"/>
  <c r="P32"/>
  <c r="J26"/>
  <c r="X89"/>
  <c r="I6" i="1"/>
  <c r="G7" s="1"/>
  <c r="J306"/>
  <c r="I306"/>
  <c r="G307" s="1"/>
  <c r="G180" i="3"/>
  <c r="J180" s="1"/>
  <c r="D8" i="6"/>
  <c r="E8" s="1"/>
  <c r="I109" i="1"/>
  <c r="G110" s="1"/>
  <c r="M56" i="2"/>
  <c r="O56" s="1"/>
  <c r="M57" s="1"/>
  <c r="O57" s="1"/>
  <c r="G168" i="3"/>
  <c r="I168" s="1"/>
  <c r="G169" s="1"/>
  <c r="AK30" i="2"/>
  <c r="AM30" s="1"/>
  <c r="AN30"/>
  <c r="AB18"/>
  <c r="AN6"/>
  <c r="J56" i="5"/>
  <c r="S6" i="2"/>
  <c r="U6" s="1"/>
  <c r="S7" s="1"/>
  <c r="U7" s="1"/>
  <c r="G160" i="3"/>
  <c r="J160" s="1"/>
  <c r="AQ34" i="2"/>
  <c r="AS34" s="1"/>
  <c r="AQ35" s="1"/>
  <c r="AS35" s="1"/>
  <c r="AV7"/>
  <c r="AH8"/>
  <c r="R56"/>
  <c r="G56"/>
  <c r="I56" s="1"/>
  <c r="G57" s="1"/>
  <c r="I57" s="1"/>
  <c r="AQ26"/>
  <c r="AS26" s="1"/>
  <c r="G167" i="1"/>
  <c r="J167" s="1"/>
  <c r="J36" i="2"/>
  <c r="AN36"/>
  <c r="AN34"/>
  <c r="AV6"/>
  <c r="G98" i="3"/>
  <c r="I98" s="1"/>
  <c r="G99" s="1"/>
  <c r="J99" s="1"/>
  <c r="G330" i="1"/>
  <c r="R66" i="2"/>
  <c r="X66" s="1"/>
  <c r="AT18"/>
  <c r="AQ18"/>
  <c r="AS18" s="1"/>
  <c r="AQ19" s="1"/>
  <c r="AS19" s="1"/>
  <c r="P22"/>
  <c r="AT22"/>
  <c r="R63"/>
  <c r="G169" i="1"/>
  <c r="J169" s="1"/>
  <c r="X82" i="2"/>
  <c r="AD82" s="1"/>
  <c r="S82"/>
  <c r="U82" s="1"/>
  <c r="S83" s="1"/>
  <c r="U83" s="1"/>
  <c r="AN26"/>
  <c r="AN18"/>
  <c r="G175" i="1"/>
  <c r="I175" s="1"/>
  <c r="G176" s="1"/>
  <c r="G70" i="2"/>
  <c r="I70" s="1"/>
  <c r="G71" s="1"/>
  <c r="I71" s="1"/>
  <c r="R73"/>
  <c r="G117" i="3"/>
  <c r="J117" s="1"/>
  <c r="I151" i="1"/>
  <c r="G152" s="1"/>
  <c r="J338"/>
  <c r="I338"/>
  <c r="G339" s="1"/>
  <c r="I119"/>
  <c r="G120" s="1"/>
  <c r="J113"/>
  <c r="I145"/>
  <c r="G146" s="1"/>
  <c r="J195"/>
  <c r="G22"/>
  <c r="I22" s="1"/>
  <c r="G23" s="1"/>
  <c r="G235"/>
  <c r="I235" s="1"/>
  <c r="G236" s="1"/>
  <c r="G223"/>
  <c r="I223" s="1"/>
  <c r="G224" s="1"/>
  <c r="G155"/>
  <c r="J155" s="1"/>
  <c r="G237"/>
  <c r="I237" s="1"/>
  <c r="G238" s="1"/>
  <c r="I238" s="1"/>
  <c r="G165"/>
  <c r="J165" s="1"/>
  <c r="G133"/>
  <c r="I133" s="1"/>
  <c r="G134" s="1"/>
  <c r="G249"/>
  <c r="J249" s="1"/>
  <c r="I8"/>
  <c r="G9" s="1"/>
  <c r="J8"/>
  <c r="J73"/>
  <c r="I73"/>
  <c r="G74" s="1"/>
  <c r="I340"/>
  <c r="G341" s="1"/>
  <c r="J340"/>
  <c r="I173"/>
  <c r="G174" s="1"/>
  <c r="J288"/>
  <c r="I288"/>
  <c r="G289" s="1"/>
  <c r="I61"/>
  <c r="G62" s="1"/>
  <c r="J61"/>
  <c r="G149"/>
  <c r="J149" s="1"/>
  <c r="G279"/>
  <c r="J279" s="1"/>
  <c r="J43"/>
  <c r="I43"/>
  <c r="G44" s="1"/>
  <c r="D12" i="6"/>
  <c r="E12" s="1"/>
  <c r="G93" i="1"/>
  <c r="I93" s="1"/>
  <c r="G94" s="1"/>
  <c r="G336"/>
  <c r="G14"/>
  <c r="J14" s="1"/>
  <c r="P241"/>
  <c r="G344"/>
  <c r="J344" s="1"/>
  <c r="I134" i="3"/>
  <c r="G135" s="1"/>
  <c r="J18"/>
  <c r="I72"/>
  <c r="G73" s="1"/>
  <c r="J73" s="1"/>
  <c r="J37"/>
  <c r="J312" i="1"/>
  <c r="I312"/>
  <c r="G313" s="1"/>
  <c r="J303"/>
  <c r="I103"/>
  <c r="G104" s="1"/>
  <c r="J104" s="1"/>
  <c r="I49"/>
  <c r="G50" s="1"/>
  <c r="I163"/>
  <c r="G164" s="1"/>
  <c r="G245"/>
  <c r="J245" s="1"/>
  <c r="J179"/>
  <c r="J187"/>
  <c r="H18" i="4"/>
  <c r="F19" s="1"/>
  <c r="H19" s="1"/>
  <c r="O191" i="1"/>
  <c r="G178" i="3"/>
  <c r="I178" s="1"/>
  <c r="G179" s="1"/>
  <c r="G131" i="1"/>
  <c r="J131" s="1"/>
  <c r="I300"/>
  <c r="G301" s="1"/>
  <c r="I191"/>
  <c r="G192" s="1"/>
  <c r="O189"/>
  <c r="K38" i="10"/>
  <c r="H22" i="4"/>
  <c r="F23" s="1"/>
  <c r="I30"/>
  <c r="P243" i="1"/>
  <c r="X86" i="2"/>
  <c r="J183" i="1"/>
  <c r="G90" i="2"/>
  <c r="I90" s="1"/>
  <c r="G91" s="1"/>
  <c r="I91" s="1"/>
  <c r="G107" i="1"/>
  <c r="J107" s="1"/>
  <c r="D10" i="6"/>
  <c r="G35" i="3"/>
  <c r="J35" s="1"/>
  <c r="I324" i="1"/>
  <c r="G325" s="1"/>
  <c r="J325" s="1"/>
  <c r="AV23" i="2"/>
  <c r="S90"/>
  <c r="U90" s="1"/>
  <c r="S91" s="1"/>
  <c r="U91" s="1"/>
  <c r="I33" i="3"/>
  <c r="G34" s="1"/>
  <c r="I34" s="1"/>
  <c r="G334" i="1"/>
  <c r="I334" s="1"/>
  <c r="G335" s="1"/>
  <c r="S36" i="2"/>
  <c r="U36" s="1"/>
  <c r="S37" s="1"/>
  <c r="U37" s="1"/>
  <c r="V36"/>
  <c r="X90"/>
  <c r="AD90" s="1"/>
  <c r="M90"/>
  <c r="O90" s="1"/>
  <c r="M91" s="1"/>
  <c r="O91" s="1"/>
  <c r="M34"/>
  <c r="O34" s="1"/>
  <c r="M35" s="1"/>
  <c r="O35" s="1"/>
  <c r="AH34"/>
  <c r="AE34"/>
  <c r="AG34" s="1"/>
  <c r="AE35" s="1"/>
  <c r="AG35" s="1"/>
  <c r="AT34"/>
  <c r="G37" i="1"/>
  <c r="I37" s="1"/>
  <c r="G38" s="1"/>
  <c r="AQ28" i="2"/>
  <c r="AS28" s="1"/>
  <c r="AQ29" s="1"/>
  <c r="AS29" s="1"/>
  <c r="AT36"/>
  <c r="AQ36"/>
  <c r="AS36" s="1"/>
  <c r="AQ37" s="1"/>
  <c r="AS37" s="1"/>
  <c r="G97" i="1"/>
  <c r="I97" s="1"/>
  <c r="G98" s="1"/>
  <c r="J26"/>
  <c r="I76"/>
  <c r="G77" s="1"/>
  <c r="G209"/>
  <c r="J209" s="1"/>
  <c r="G70"/>
  <c r="J70" s="1"/>
  <c r="G252"/>
  <c r="J252" s="1"/>
  <c r="AB34" i="2"/>
  <c r="Y34"/>
  <c r="AA34" s="1"/>
  <c r="AA22"/>
  <c r="Y23" s="1"/>
  <c r="AA23" s="1"/>
  <c r="D11" i="6"/>
  <c r="G24" i="3"/>
  <c r="I24" s="1"/>
  <c r="G25" s="1"/>
  <c r="J25" s="1"/>
  <c r="G157" i="1"/>
  <c r="I157" s="1"/>
  <c r="G158" s="1"/>
  <c r="G164" i="3"/>
  <c r="J164" s="1"/>
  <c r="S8" i="2"/>
  <c r="U8" s="1"/>
  <c r="S9" s="1"/>
  <c r="U9" s="1"/>
  <c r="AV8"/>
  <c r="AW8" s="1"/>
  <c r="AZ8" s="1"/>
  <c r="P36"/>
  <c r="AV37"/>
  <c r="AN22"/>
  <c r="G222" i="1"/>
  <c r="J222" s="1"/>
  <c r="AV36" i="2"/>
  <c r="AW36" s="1"/>
  <c r="BD8"/>
  <c r="G119" i="3"/>
  <c r="I119" s="1"/>
  <c r="G120" s="1"/>
  <c r="I120" s="1"/>
  <c r="AH36" i="2"/>
  <c r="D6" i="6"/>
  <c r="E6" s="1"/>
  <c r="J132" i="3"/>
  <c r="I107" i="1"/>
  <c r="G108" s="1"/>
  <c r="J186" i="3"/>
  <c r="J129"/>
  <c r="I129"/>
  <c r="G130" s="1"/>
  <c r="J190"/>
  <c r="I344" i="1"/>
  <c r="G345" s="1"/>
  <c r="J345" s="1"/>
  <c r="I52"/>
  <c r="G53" s="1"/>
  <c r="J309"/>
  <c r="I135"/>
  <c r="G136" s="1"/>
  <c r="I136" s="1"/>
  <c r="J8" i="2"/>
  <c r="G8"/>
  <c r="I8" s="1"/>
  <c r="G9" s="1"/>
  <c r="I9" s="1"/>
  <c r="J181" i="1"/>
  <c r="G150" i="3"/>
  <c r="I150" s="1"/>
  <c r="G151" s="1"/>
  <c r="I151" s="1"/>
  <c r="G276" i="1"/>
  <c r="I276" s="1"/>
  <c r="G277" s="1"/>
  <c r="U22" i="2"/>
  <c r="S23" s="1"/>
  <c r="I189" i="1"/>
  <c r="G190" s="1"/>
  <c r="J98" i="3"/>
  <c r="I82"/>
  <c r="G83" s="1"/>
  <c r="J83" s="1"/>
  <c r="G176"/>
  <c r="I176" s="1"/>
  <c r="G177" s="1"/>
  <c r="I177" s="1"/>
  <c r="G174"/>
  <c r="J174" s="1"/>
  <c r="G80"/>
  <c r="J80" s="1"/>
  <c r="J94"/>
  <c r="I94"/>
  <c r="G95" s="1"/>
  <c r="J95" s="1"/>
  <c r="J162"/>
  <c r="I162"/>
  <c r="G163" s="1"/>
  <c r="I163" s="1"/>
  <c r="I184"/>
  <c r="G185" s="1"/>
  <c r="J185" s="1"/>
  <c r="J184"/>
  <c r="J90"/>
  <c r="I90"/>
  <c r="G91" s="1"/>
  <c r="J91" s="1"/>
  <c r="J55"/>
  <c r="I55"/>
  <c r="G56" s="1"/>
  <c r="I56" s="1"/>
  <c r="G182"/>
  <c r="I182" s="1"/>
  <c r="G183" s="1"/>
  <c r="J183" s="1"/>
  <c r="I102"/>
  <c r="G103" s="1"/>
  <c r="I188"/>
  <c r="G189" s="1"/>
  <c r="J44"/>
  <c r="J70"/>
  <c r="I70"/>
  <c r="G71" s="1"/>
  <c r="I71" s="1"/>
  <c r="G7"/>
  <c r="J7" s="1"/>
  <c r="I146"/>
  <c r="G147" s="1"/>
  <c r="J146"/>
  <c r="I15"/>
  <c r="G16" s="1"/>
  <c r="I16" s="1"/>
  <c r="I22"/>
  <c r="G23" s="1"/>
  <c r="J23" s="1"/>
  <c r="G100"/>
  <c r="J100" s="1"/>
  <c r="G86"/>
  <c r="J86" s="1"/>
  <c r="J74"/>
  <c r="I74"/>
  <c r="G75" s="1"/>
  <c r="I125"/>
  <c r="G126" s="1"/>
  <c r="J125"/>
  <c r="G121"/>
  <c r="J121" s="1"/>
  <c r="G166"/>
  <c r="J166" s="1"/>
  <c r="D22" i="6"/>
  <c r="I57" i="3"/>
  <c r="G58" s="1"/>
  <c r="I156"/>
  <c r="G157" s="1"/>
  <c r="G53"/>
  <c r="I53" s="1"/>
  <c r="G54" s="1"/>
  <c r="J54" s="1"/>
  <c r="K125"/>
  <c r="M125" s="1"/>
  <c r="P125" s="1"/>
  <c r="G124"/>
  <c r="J124" s="1"/>
  <c r="AV29" i="2"/>
  <c r="G215" i="1"/>
  <c r="I215" s="1"/>
  <c r="G216" s="1"/>
  <c r="D25" i="6"/>
  <c r="G320" i="1"/>
  <c r="J320" s="1"/>
  <c r="I180" i="3"/>
  <c r="G181" s="1"/>
  <c r="I181" s="1"/>
  <c r="G227" i="1"/>
  <c r="J227" s="1"/>
  <c r="G66" i="2"/>
  <c r="I66" s="1"/>
  <c r="G67" s="1"/>
  <c r="I67" s="1"/>
  <c r="G84" i="3"/>
  <c r="I84" s="1"/>
  <c r="G85" s="1"/>
  <c r="I85" s="1"/>
  <c r="AH18" i="2"/>
  <c r="AV19"/>
  <c r="AB6"/>
  <c r="D20" i="6"/>
  <c r="E20" s="1"/>
  <c r="G115" i="3"/>
  <c r="J115" s="1"/>
  <c r="R57" i="2"/>
  <c r="AE22"/>
  <c r="AG22" s="1"/>
  <c r="AE23" s="1"/>
  <c r="AG23" s="1"/>
  <c r="AH22"/>
  <c r="G261" i="1"/>
  <c r="I261" s="1"/>
  <c r="G262" s="1"/>
  <c r="G59" i="3"/>
  <c r="I59" s="1"/>
  <c r="G60" s="1"/>
  <c r="I60" s="1"/>
  <c r="X87" i="2"/>
  <c r="AD86" s="1"/>
  <c r="I80" i="3"/>
  <c r="G81" s="1"/>
  <c r="J81" s="1"/>
  <c r="O125"/>
  <c r="I131" i="1"/>
  <c r="G132" s="1"/>
  <c r="J55"/>
  <c r="I245"/>
  <c r="G246" s="1"/>
  <c r="J315"/>
  <c r="J80"/>
  <c r="I80"/>
  <c r="G81" s="1"/>
  <c r="O187"/>
  <c r="J93"/>
  <c r="I139"/>
  <c r="G140" s="1"/>
  <c r="I88"/>
  <c r="G89" s="1"/>
  <c r="K78" i="10"/>
  <c r="Z72" i="2"/>
  <c r="I242" i="1"/>
  <c r="J152" i="3"/>
  <c r="G83" i="2"/>
  <c r="I83" s="1"/>
  <c r="J336" i="1"/>
  <c r="I336"/>
  <c r="G337" s="1"/>
  <c r="I142" i="3"/>
  <c r="G143" s="1"/>
  <c r="J142"/>
  <c r="H26" i="4"/>
  <c r="F27" s="1"/>
  <c r="I20"/>
  <c r="H20"/>
  <c r="F21" s="1"/>
  <c r="I159" i="1"/>
  <c r="G160" s="1"/>
  <c r="J159"/>
  <c r="I209"/>
  <c r="G210" s="1"/>
  <c r="I210" s="1"/>
  <c r="J334"/>
  <c r="J175"/>
  <c r="J67"/>
  <c r="J211"/>
  <c r="I70"/>
  <c r="G71" s="1"/>
  <c r="I167"/>
  <c r="G168" s="1"/>
  <c r="H36" i="4"/>
  <c r="F37" s="1"/>
  <c r="H28"/>
  <c r="F29" s="1"/>
  <c r="H29" s="1"/>
  <c r="I28"/>
  <c r="I24" i="1"/>
  <c r="G25" s="1"/>
  <c r="J24"/>
  <c r="I82"/>
  <c r="G83" s="1"/>
  <c r="J82"/>
  <c r="D32" i="10"/>
  <c r="D64"/>
  <c r="I330" i="1"/>
  <c r="G331" s="1"/>
  <c r="J330"/>
  <c r="J285"/>
  <c r="I285"/>
  <c r="G286" s="1"/>
  <c r="I323"/>
  <c r="H38" i="4"/>
  <c r="F39" s="1"/>
  <c r="I38"/>
  <c r="J115" i="1"/>
  <c r="I115"/>
  <c r="G116" s="1"/>
  <c r="J171"/>
  <c r="I171"/>
  <c r="G172" s="1"/>
  <c r="I137"/>
  <c r="G138" s="1"/>
  <c r="I138" s="1"/>
  <c r="J213"/>
  <c r="I213"/>
  <c r="G214" s="1"/>
  <c r="I214" s="1"/>
  <c r="I35" i="3"/>
  <c r="G36" s="1"/>
  <c r="I36" s="1"/>
  <c r="J147" i="1"/>
  <c r="I10" i="4"/>
  <c r="H10"/>
  <c r="F11" s="1"/>
  <c r="I64" i="1"/>
  <c r="G65" s="1"/>
  <c r="J65" s="1"/>
  <c r="J64"/>
  <c r="J111"/>
  <c r="I111"/>
  <c r="G112" s="1"/>
  <c r="I217"/>
  <c r="G218" s="1"/>
  <c r="I218" s="1"/>
  <c r="J203"/>
  <c r="I20" i="3"/>
  <c r="G21" s="1"/>
  <c r="J21" s="1"/>
  <c r="I24" i="4"/>
  <c r="H24"/>
  <c r="F25" s="1"/>
  <c r="I76" i="3"/>
  <c r="G77" s="1"/>
  <c r="J76"/>
  <c r="H16" i="4"/>
  <c r="F17" s="1"/>
  <c r="H17" s="1"/>
  <c r="Z60" i="2"/>
  <c r="I34" i="1"/>
  <c r="G35" s="1"/>
  <c r="J34"/>
  <c r="I282"/>
  <c r="G283" s="1"/>
  <c r="J207"/>
  <c r="I304"/>
  <c r="G305" s="1"/>
  <c r="G161"/>
  <c r="J161" s="1"/>
  <c r="D14" i="6"/>
  <c r="J265" i="1"/>
  <c r="I265"/>
  <c r="G266" s="1"/>
  <c r="I266" s="1"/>
  <c r="I249"/>
  <c r="G250" s="1"/>
  <c r="J250" s="1"/>
  <c r="J168" i="3"/>
  <c r="I252" i="1"/>
  <c r="G253" s="1"/>
  <c r="J237"/>
  <c r="J264"/>
  <c r="H32" i="5"/>
  <c r="H26"/>
  <c r="H23"/>
  <c r="H20"/>
  <c r="I138" i="3"/>
  <c r="G139" s="1"/>
  <c r="I139" s="1"/>
  <c r="I192"/>
  <c r="G193" s="1"/>
  <c r="I193" s="1"/>
  <c r="M58" i="2"/>
  <c r="O58" s="1"/>
  <c r="M59" s="1"/>
  <c r="O59" s="1"/>
  <c r="P58"/>
  <c r="K82" i="10"/>
  <c r="K84"/>
  <c r="K87"/>
  <c r="K58"/>
  <c r="K56"/>
  <c r="J144" i="1"/>
  <c r="I188"/>
  <c r="J188"/>
  <c r="J212"/>
  <c r="Z68" i="2"/>
  <c r="Z64"/>
  <c r="AW38"/>
  <c r="AY38" s="1"/>
  <c r="BD38"/>
  <c r="Y92"/>
  <c r="AB92" s="1"/>
  <c r="Y90"/>
  <c r="AA90" s="1"/>
  <c r="Y91" s="1"/>
  <c r="Y86"/>
  <c r="AA86" s="1"/>
  <c r="AF90"/>
  <c r="Y84"/>
  <c r="AB84" s="1"/>
  <c r="S54"/>
  <c r="V54" s="1"/>
  <c r="S72"/>
  <c r="U72" s="1"/>
  <c r="S73" s="1"/>
  <c r="U73" s="1"/>
  <c r="S62"/>
  <c r="U62" s="1"/>
  <c r="S63" s="1"/>
  <c r="S60"/>
  <c r="U60" s="1"/>
  <c r="AW6"/>
  <c r="AY6" s="1"/>
  <c r="AW7" s="1"/>
  <c r="S56"/>
  <c r="U56" s="1"/>
  <c r="S68"/>
  <c r="U68" s="1"/>
  <c r="AF86"/>
  <c r="Z58"/>
  <c r="J142" i="1"/>
  <c r="I142"/>
  <c r="J182" i="3"/>
  <c r="I174"/>
  <c r="G175" s="1"/>
  <c r="I175" s="1"/>
  <c r="J157" i="1"/>
  <c r="D17" i="6"/>
  <c r="J267" i="1"/>
  <c r="Y94" i="2"/>
  <c r="V94"/>
  <c r="I14" i="1"/>
  <c r="G15" s="1"/>
  <c r="I15" s="1"/>
  <c r="J170" i="3"/>
  <c r="J256" i="1"/>
  <c r="I256"/>
  <c r="G257" s="1"/>
  <c r="V62" i="2"/>
  <c r="J21" i="1"/>
  <c r="I21"/>
  <c r="J202"/>
  <c r="P16"/>
  <c r="O16"/>
  <c r="I164" i="3"/>
  <c r="G165" s="1"/>
  <c r="I279" i="1"/>
  <c r="G280" s="1"/>
  <c r="J280" s="1"/>
  <c r="J119" i="3"/>
  <c r="I169" i="1"/>
  <c r="G170" s="1"/>
  <c r="I170" s="1"/>
  <c r="J105"/>
  <c r="I239"/>
  <c r="G240" s="1"/>
  <c r="I240" s="1"/>
  <c r="L138" i="3"/>
  <c r="G196"/>
  <c r="L42"/>
  <c r="M105" i="1"/>
  <c r="O105" s="1"/>
  <c r="M173"/>
  <c r="P173" s="1"/>
  <c r="M133"/>
  <c r="P133" s="1"/>
  <c r="M221"/>
  <c r="O221" s="1"/>
  <c r="O6"/>
  <c r="M15" i="3"/>
  <c r="M24"/>
  <c r="M59"/>
  <c r="M72"/>
  <c r="P72" s="1"/>
  <c r="M174"/>
  <c r="O174" s="1"/>
  <c r="S74" i="2"/>
  <c r="C17" i="6"/>
  <c r="BA20" i="2"/>
  <c r="BB6"/>
  <c r="W70"/>
  <c r="X54"/>
  <c r="G30" i="1"/>
  <c r="D13" i="6"/>
  <c r="E13" s="1"/>
  <c r="I13" s="1"/>
  <c r="J176" i="3"/>
  <c r="J223" i="1"/>
  <c r="J205"/>
  <c r="I32" i="4"/>
  <c r="J326" i="1"/>
  <c r="P59" i="3"/>
  <c r="L29"/>
  <c r="M29" s="1"/>
  <c r="P29" s="1"/>
  <c r="M125" i="1"/>
  <c r="O125" s="1"/>
  <c r="M177"/>
  <c r="P177" s="1"/>
  <c r="M145"/>
  <c r="P145" s="1"/>
  <c r="M217"/>
  <c r="O217" s="1"/>
  <c r="M338"/>
  <c r="O338" s="1"/>
  <c r="M73"/>
  <c r="P73" s="1"/>
  <c r="M11" i="3"/>
  <c r="M20"/>
  <c r="P20" s="1"/>
  <c r="M48"/>
  <c r="P48" s="1"/>
  <c r="M55"/>
  <c r="M178"/>
  <c r="O178" s="1"/>
  <c r="M132"/>
  <c r="BA12" i="2"/>
  <c r="G110" i="3"/>
  <c r="I110" s="1"/>
  <c r="G111" s="1"/>
  <c r="I111" s="1"/>
  <c r="F9" i="6"/>
  <c r="O326" i="1"/>
  <c r="BA24" i="2"/>
  <c r="BA16"/>
  <c r="BA10"/>
  <c r="W54"/>
  <c r="K39" i="10"/>
  <c r="K43"/>
  <c r="K49"/>
  <c r="K60"/>
  <c r="K44"/>
  <c r="K48"/>
  <c r="K50"/>
  <c r="K83"/>
  <c r="K80"/>
  <c r="K79"/>
  <c r="K75"/>
  <c r="K74"/>
  <c r="K73"/>
  <c r="K71"/>
  <c r="I185" i="3"/>
  <c r="J171"/>
  <c r="J153"/>
  <c r="I153"/>
  <c r="I187"/>
  <c r="J187"/>
  <c r="M196"/>
  <c r="O172"/>
  <c r="J175"/>
  <c r="J139"/>
  <c r="J151"/>
  <c r="J60"/>
  <c r="J181"/>
  <c r="I183"/>
  <c r="J163"/>
  <c r="J177"/>
  <c r="I73"/>
  <c r="J191"/>
  <c r="M152"/>
  <c r="O152" s="1"/>
  <c r="M194"/>
  <c r="O194" s="1"/>
  <c r="M68"/>
  <c r="O68" s="1"/>
  <c r="L108"/>
  <c r="M121"/>
  <c r="P121" s="1"/>
  <c r="M156"/>
  <c r="O156" s="1"/>
  <c r="J36"/>
  <c r="I91"/>
  <c r="O115"/>
  <c r="O59"/>
  <c r="I301" i="1"/>
  <c r="G302" s="1"/>
  <c r="I302" s="1"/>
  <c r="J301"/>
  <c r="J71" i="3"/>
  <c r="I95"/>
  <c r="J34"/>
  <c r="J51"/>
  <c r="J27"/>
  <c r="I45"/>
  <c r="J85"/>
  <c r="I54"/>
  <c r="J16"/>
  <c r="J56"/>
  <c r="I83"/>
  <c r="I25"/>
  <c r="I99"/>
  <c r="I32"/>
  <c r="I19"/>
  <c r="J19"/>
  <c r="I97"/>
  <c r="J97"/>
  <c r="I115"/>
  <c r="G116" s="1"/>
  <c r="I116" s="1"/>
  <c r="M66"/>
  <c r="J120"/>
  <c r="I19" i="4"/>
  <c r="I17"/>
  <c r="U74" i="2"/>
  <c r="S75" s="1"/>
  <c r="V75" s="1"/>
  <c r="V74"/>
  <c r="O121" i="3"/>
  <c r="J61"/>
  <c r="J15" i="1"/>
  <c r="I345"/>
  <c r="J138"/>
  <c r="I325"/>
  <c r="I104"/>
  <c r="I341"/>
  <c r="J341"/>
  <c r="J238"/>
  <c r="I333"/>
  <c r="J333"/>
  <c r="J240"/>
  <c r="J96"/>
  <c r="J124"/>
  <c r="I124"/>
  <c r="I106"/>
  <c r="J106"/>
  <c r="I206"/>
  <c r="J206"/>
  <c r="I180"/>
  <c r="J180"/>
  <c r="I327"/>
  <c r="J327"/>
  <c r="I182"/>
  <c r="I316"/>
  <c r="G317" s="1"/>
  <c r="J316"/>
  <c r="S58" i="2"/>
  <c r="V58" s="1"/>
  <c r="BD34"/>
  <c r="U70"/>
  <c r="S71" s="1"/>
  <c r="V70"/>
  <c r="BD30"/>
  <c r="BD18"/>
  <c r="S94"/>
  <c r="U94" s="1"/>
  <c r="S95" s="1"/>
  <c r="U95" s="1"/>
  <c r="V73"/>
  <c r="AA84"/>
  <c r="Y85" s="1"/>
  <c r="E10" i="6"/>
  <c r="I7" i="1"/>
  <c r="J7"/>
  <c r="P6"/>
  <c r="I257"/>
  <c r="J257"/>
  <c r="J110" i="3"/>
  <c r="P174"/>
  <c r="I30" i="1"/>
  <c r="G31" s="1"/>
  <c r="J30"/>
  <c r="I196" i="3"/>
  <c r="G197" s="1"/>
  <c r="J196"/>
  <c r="J165"/>
  <c r="I165"/>
  <c r="P125" i="1"/>
  <c r="P172" i="3"/>
  <c r="U58" i="2"/>
  <c r="S59" s="1"/>
  <c r="P24" i="3" l="1"/>
  <c r="J140"/>
  <c r="I140"/>
  <c r="G141" s="1"/>
  <c r="J141" s="1"/>
  <c r="O88"/>
  <c r="P88"/>
  <c r="O182"/>
  <c r="P182"/>
  <c r="O186"/>
  <c r="P186"/>
  <c r="O53"/>
  <c r="P53"/>
  <c r="I148"/>
  <c r="G149" s="1"/>
  <c r="J148"/>
  <c r="I154"/>
  <c r="G155" s="1"/>
  <c r="J154"/>
  <c r="J144"/>
  <c r="I144"/>
  <c r="G145" s="1"/>
  <c r="J47"/>
  <c r="O196"/>
  <c r="P11"/>
  <c r="I166"/>
  <c r="G167" s="1"/>
  <c r="I167" s="1"/>
  <c r="I78"/>
  <c r="G79" s="1"/>
  <c r="J46"/>
  <c r="I11"/>
  <c r="G12" s="1"/>
  <c r="I92"/>
  <c r="G93" s="1"/>
  <c r="J136"/>
  <c r="I158"/>
  <c r="G159" s="1"/>
  <c r="J159" s="1"/>
  <c r="C18" i="6"/>
  <c r="M104" i="3"/>
  <c r="O104" s="1"/>
  <c r="L70"/>
  <c r="P194"/>
  <c r="J62"/>
  <c r="O132"/>
  <c r="J64"/>
  <c r="M192"/>
  <c r="P192" s="1"/>
  <c r="L144"/>
  <c r="M144" s="1"/>
  <c r="O144" s="1"/>
  <c r="P178"/>
  <c r="I23"/>
  <c r="I21"/>
  <c r="M108"/>
  <c r="J133"/>
  <c r="O55"/>
  <c r="M42"/>
  <c r="J84"/>
  <c r="I104"/>
  <c r="G105" s="1"/>
  <c r="J178"/>
  <c r="I172"/>
  <c r="G173" s="1"/>
  <c r="I66"/>
  <c r="G67" s="1"/>
  <c r="O15"/>
  <c r="P9"/>
  <c r="P152"/>
  <c r="AK15" i="2"/>
  <c r="AM15" s="1"/>
  <c r="I31" i="3"/>
  <c r="J32" s="1"/>
  <c r="P66"/>
  <c r="P37"/>
  <c r="I14" i="4"/>
  <c r="P15" i="3"/>
  <c r="M40" i="1"/>
  <c r="P40" s="1"/>
  <c r="L360"/>
  <c r="M360" s="1"/>
  <c r="P360" s="1"/>
  <c r="AY36" i="2"/>
  <c r="AW37" s="1"/>
  <c r="AY37" s="1"/>
  <c r="AZ36"/>
  <c r="AY22"/>
  <c r="AW23" s="1"/>
  <c r="AZ22"/>
  <c r="AY18"/>
  <c r="AW19" s="1"/>
  <c r="AZ18"/>
  <c r="AZ28"/>
  <c r="AY28"/>
  <c r="AW29" s="1"/>
  <c r="AW32"/>
  <c r="BB32"/>
  <c r="AZ37"/>
  <c r="AB88"/>
  <c r="AA88"/>
  <c r="Y89" s="1"/>
  <c r="X64"/>
  <c r="S69"/>
  <c r="S57"/>
  <c r="Y82"/>
  <c r="J28"/>
  <c r="AV30"/>
  <c r="AW30" s="1"/>
  <c r="AZ30" s="1"/>
  <c r="Y35"/>
  <c r="AA35" s="1"/>
  <c r="AQ27"/>
  <c r="AS27" s="1"/>
  <c r="AE27"/>
  <c r="AG27" s="1"/>
  <c r="G69"/>
  <c r="I69" s="1"/>
  <c r="M30"/>
  <c r="O30" s="1"/>
  <c r="M31" s="1"/>
  <c r="O31" s="1"/>
  <c r="J68"/>
  <c r="AH32"/>
  <c r="U63"/>
  <c r="AB91"/>
  <c r="AA94"/>
  <c r="Y95" s="1"/>
  <c r="S66"/>
  <c r="V66" s="1"/>
  <c r="S61"/>
  <c r="AW39"/>
  <c r="AV34"/>
  <c r="AW34" s="1"/>
  <c r="AY34" s="1"/>
  <c r="AV9"/>
  <c r="BB8" s="1"/>
  <c r="AE28"/>
  <c r="AG28" s="1"/>
  <c r="AE29" s="1"/>
  <c r="AG29" s="1"/>
  <c r="Y31"/>
  <c r="AA31" s="1"/>
  <c r="S34"/>
  <c r="U34" s="1"/>
  <c r="S35" s="1"/>
  <c r="U35" s="1"/>
  <c r="AE33"/>
  <c r="AG33" s="1"/>
  <c r="AK33"/>
  <c r="AM33" s="1"/>
  <c r="G27"/>
  <c r="I27" s="1"/>
  <c r="Y87"/>
  <c r="AV31"/>
  <c r="AK31"/>
  <c r="AM31" s="1"/>
  <c r="R65"/>
  <c r="Y9"/>
  <c r="AA9" s="1"/>
  <c r="M9"/>
  <c r="O9" s="1"/>
  <c r="W72"/>
  <c r="M65"/>
  <c r="O65" s="1"/>
  <c r="AK9"/>
  <c r="AM9" s="1"/>
  <c r="P396" i="1"/>
  <c r="O396"/>
  <c r="P390"/>
  <c r="O390"/>
  <c r="S25" i="2"/>
  <c r="U25" s="1"/>
  <c r="S27"/>
  <c r="U27" s="1"/>
  <c r="AV35"/>
  <c r="BB34" s="1"/>
  <c r="S21"/>
  <c r="U21" s="1"/>
  <c r="U75"/>
  <c r="V68"/>
  <c r="V56"/>
  <c r="BA40"/>
  <c r="O354" i="1"/>
  <c r="P354"/>
  <c r="P369"/>
  <c r="O369"/>
  <c r="I280"/>
  <c r="G281" s="1"/>
  <c r="J281" s="1"/>
  <c r="J10"/>
  <c r="N366"/>
  <c r="P366" s="1"/>
  <c r="P393"/>
  <c r="O393"/>
  <c r="O384"/>
  <c r="P384"/>
  <c r="O43"/>
  <c r="N363"/>
  <c r="O241"/>
  <c r="P189"/>
  <c r="O169"/>
  <c r="O149"/>
  <c r="O237"/>
  <c r="J158"/>
  <c r="I158"/>
  <c r="I102"/>
  <c r="J102"/>
  <c r="I230"/>
  <c r="J230"/>
  <c r="O181"/>
  <c r="P181"/>
  <c r="O195"/>
  <c r="P195"/>
  <c r="O245"/>
  <c r="J231"/>
  <c r="I155"/>
  <c r="G156" s="1"/>
  <c r="I156" s="1"/>
  <c r="J235"/>
  <c r="J95"/>
  <c r="I185"/>
  <c r="G186" s="1"/>
  <c r="J186" s="1"/>
  <c r="J225"/>
  <c r="I243"/>
  <c r="G244" s="1"/>
  <c r="I121"/>
  <c r="G122" s="1"/>
  <c r="J122" s="1"/>
  <c r="I117"/>
  <c r="G118" s="1"/>
  <c r="I118" s="1"/>
  <c r="J143"/>
  <c r="M95"/>
  <c r="M239"/>
  <c r="M235"/>
  <c r="M201"/>
  <c r="O201" s="1"/>
  <c r="M258"/>
  <c r="K363"/>
  <c r="J266"/>
  <c r="I320"/>
  <c r="G321" s="1"/>
  <c r="I18"/>
  <c r="G19" s="1"/>
  <c r="J46"/>
  <c r="K357"/>
  <c r="M14"/>
  <c r="O14" s="1"/>
  <c r="O101"/>
  <c r="P101"/>
  <c r="K360"/>
  <c r="E25" i="6"/>
  <c r="H39" i="5"/>
  <c r="E103"/>
  <c r="M65"/>
  <c r="H38"/>
  <c r="H9"/>
  <c r="H30"/>
  <c r="U23" i="2"/>
  <c r="H10" i="6"/>
  <c r="J136" i="1"/>
  <c r="E22" i="6"/>
  <c r="I22" s="1"/>
  <c r="P68" i="3"/>
  <c r="H33" i="4"/>
  <c r="I33"/>
  <c r="K17" i="10"/>
  <c r="K15"/>
  <c r="K14"/>
  <c r="K12"/>
  <c r="K11"/>
  <c r="K9"/>
  <c r="H32"/>
  <c r="K32" s="1"/>
  <c r="G69" i="3"/>
  <c r="I69" s="1"/>
  <c r="I11" i="6"/>
  <c r="I227" i="1"/>
  <c r="G228" s="1"/>
  <c r="J202" i="3"/>
  <c r="J170" i="1"/>
  <c r="M74" i="3"/>
  <c r="O74" s="1"/>
  <c r="I178" i="1"/>
  <c r="H6" i="6"/>
  <c r="H11"/>
  <c r="O133" i="1"/>
  <c r="P121"/>
  <c r="I6" i="6"/>
  <c r="I222" i="1"/>
  <c r="J118"/>
  <c r="E14" i="6"/>
  <c r="H14" s="1"/>
  <c r="O129" i="1"/>
  <c r="P129"/>
  <c r="I20" i="6"/>
  <c r="J130" i="1"/>
  <c r="P149"/>
  <c r="M227"/>
  <c r="O227" s="1"/>
  <c r="O73"/>
  <c r="H37" i="4"/>
  <c r="F29" i="5"/>
  <c r="H17"/>
  <c r="H8"/>
  <c r="M10" i="1"/>
  <c r="M264"/>
  <c r="P264" s="1"/>
  <c r="M67"/>
  <c r="P67" s="1"/>
  <c r="M8"/>
  <c r="M61"/>
  <c r="M49"/>
  <c r="P49" s="1"/>
  <c r="M97"/>
  <c r="O97" s="1"/>
  <c r="M107"/>
  <c r="O107" s="1"/>
  <c r="M205"/>
  <c r="O205" s="1"/>
  <c r="M297"/>
  <c r="O297" s="1"/>
  <c r="J110"/>
  <c r="I110"/>
  <c r="I307"/>
  <c r="G308" s="1"/>
  <c r="J308" s="1"/>
  <c r="J307"/>
  <c r="J236"/>
  <c r="I236"/>
  <c r="O48" i="3"/>
  <c r="O72"/>
  <c r="J37" i="1"/>
  <c r="AD88" i="2"/>
  <c r="P346" i="1"/>
  <c r="D23" i="6"/>
  <c r="E23" s="1"/>
  <c r="M88" i="1"/>
  <c r="M119"/>
  <c r="O119" s="1"/>
  <c r="M179"/>
  <c r="O179" s="1"/>
  <c r="M315"/>
  <c r="M267"/>
  <c r="O267" s="1"/>
  <c r="M9" i="3"/>
  <c r="O35"/>
  <c r="P144"/>
  <c r="O177" i="1"/>
  <c r="Y54" i="2"/>
  <c r="W60"/>
  <c r="L141" i="1"/>
  <c r="M141" s="1"/>
  <c r="P141" s="1"/>
  <c r="J66" i="2"/>
  <c r="AF94"/>
  <c r="M270" i="1"/>
  <c r="O270" s="1"/>
  <c r="M165"/>
  <c r="P165" s="1"/>
  <c r="M82"/>
  <c r="P82" s="1"/>
  <c r="M70"/>
  <c r="P70" s="1"/>
  <c r="M123"/>
  <c r="O123" s="1"/>
  <c r="M115"/>
  <c r="O115" s="1"/>
  <c r="M183"/>
  <c r="O183" s="1"/>
  <c r="M167"/>
  <c r="P167" s="1"/>
  <c r="M197"/>
  <c r="O197" s="1"/>
  <c r="M13" i="3"/>
  <c r="M22"/>
  <c r="O22" s="1"/>
  <c r="M150"/>
  <c r="M168"/>
  <c r="O168" s="1"/>
  <c r="I208" i="1"/>
  <c r="J208"/>
  <c r="I23" i="4"/>
  <c r="H23"/>
  <c r="AY24" i="2"/>
  <c r="AW25" s="1"/>
  <c r="AZ24"/>
  <c r="G198" i="3"/>
  <c r="L198"/>
  <c r="W68" i="2"/>
  <c r="W64"/>
  <c r="Y64" s="1"/>
  <c r="AC86"/>
  <c r="P35" i="3"/>
  <c r="AC88" i="2"/>
  <c r="AE88" s="1"/>
  <c r="O346" i="1"/>
  <c r="L148" i="3"/>
  <c r="W74" i="2"/>
  <c r="L76" i="3"/>
  <c r="M76" s="1"/>
  <c r="BA32" i="2"/>
  <c r="BC32" s="1"/>
  <c r="O342" i="1"/>
  <c r="Z74" i="2"/>
  <c r="O66" i="3"/>
  <c r="Y74" i="2"/>
  <c r="P217" i="1"/>
  <c r="P169"/>
  <c r="O173"/>
  <c r="AY8" i="2"/>
  <c r="AW9" s="1"/>
  <c r="AY9" s="1"/>
  <c r="P338" i="1"/>
  <c r="BD10" i="2"/>
  <c r="AF88"/>
  <c r="L163" i="1"/>
  <c r="M163" s="1"/>
  <c r="BB38" i="2"/>
  <c r="L229" i="1"/>
  <c r="M229" s="1"/>
  <c r="P229" s="1"/>
  <c r="G194" i="3"/>
  <c r="L211" i="1"/>
  <c r="M211" s="1"/>
  <c r="O336"/>
  <c r="L86" i="3"/>
  <c r="M86" s="1"/>
  <c r="L96"/>
  <c r="L92"/>
  <c r="M92" s="1"/>
  <c r="O92" s="1"/>
  <c r="AZ26" i="2"/>
  <c r="V60"/>
  <c r="AB86"/>
  <c r="BB20"/>
  <c r="BC20" s="1"/>
  <c r="BB14"/>
  <c r="L153" i="1"/>
  <c r="M153" s="1"/>
  <c r="P153" s="1"/>
  <c r="M312"/>
  <c r="O312" s="1"/>
  <c r="M291"/>
  <c r="O291" s="1"/>
  <c r="M285"/>
  <c r="O285" s="1"/>
  <c r="V61" i="2"/>
  <c r="U61"/>
  <c r="J47" i="1"/>
  <c r="I47"/>
  <c r="G48" s="1"/>
  <c r="J49" i="3"/>
  <c r="I49"/>
  <c r="I226" i="1"/>
  <c r="J226"/>
  <c r="O141"/>
  <c r="I198"/>
  <c r="J198"/>
  <c r="I10" i="6"/>
  <c r="O145" i="1"/>
  <c r="J276"/>
  <c r="J53" i="3"/>
  <c r="J22" i="1"/>
  <c r="I8" i="4"/>
  <c r="AC90" i="2"/>
  <c r="AE90" s="1"/>
  <c r="Z66"/>
  <c r="AF82"/>
  <c r="Z56"/>
  <c r="P66"/>
  <c r="M7" i="3"/>
  <c r="P7" s="1"/>
  <c r="M33"/>
  <c r="O33" s="1"/>
  <c r="M50"/>
  <c r="O50" s="1"/>
  <c r="M98"/>
  <c r="O98" s="1"/>
  <c r="M119"/>
  <c r="P119" s="1"/>
  <c r="M184"/>
  <c r="O184" s="1"/>
  <c r="M176"/>
  <c r="P176" s="1"/>
  <c r="M134"/>
  <c r="M146"/>
  <c r="P146" s="1"/>
  <c r="M148"/>
  <c r="P148" s="1"/>
  <c r="P221" i="1"/>
  <c r="J261"/>
  <c r="I121" i="3"/>
  <c r="G122" s="1"/>
  <c r="BB30" i="2"/>
  <c r="I40" i="4"/>
  <c r="BA36" i="2"/>
  <c r="BA6"/>
  <c r="BD26"/>
  <c r="BD22"/>
  <c r="BD14"/>
  <c r="AC82"/>
  <c r="AE82" s="1"/>
  <c r="AD84"/>
  <c r="AC92"/>
  <c r="L143" i="1"/>
  <c r="M143" s="1"/>
  <c r="M159"/>
  <c r="O159" s="1"/>
  <c r="M300"/>
  <c r="O300" s="1"/>
  <c r="M288"/>
  <c r="O288" s="1"/>
  <c r="M334"/>
  <c r="O334" s="1"/>
  <c r="M46" i="3"/>
  <c r="O46" s="1"/>
  <c r="L207" i="1"/>
  <c r="M207" s="1"/>
  <c r="O207" s="1"/>
  <c r="L109"/>
  <c r="M109" s="1"/>
  <c r="M110" i="3"/>
  <c r="L68" i="5"/>
  <c r="P98" i="3"/>
  <c r="AY27" i="2"/>
  <c r="AZ27"/>
  <c r="AW20"/>
  <c r="AZ20" s="1"/>
  <c r="AW10"/>
  <c r="AY10" s="1"/>
  <c r="AW11" s="1"/>
  <c r="BB36"/>
  <c r="I29" i="3"/>
  <c r="G30" s="1"/>
  <c r="J30" s="1"/>
  <c r="J29"/>
  <c r="O148"/>
  <c r="J179"/>
  <c r="I179"/>
  <c r="O29"/>
  <c r="P132"/>
  <c r="J88"/>
  <c r="M90"/>
  <c r="O90" s="1"/>
  <c r="M84"/>
  <c r="O84" s="1"/>
  <c r="M170"/>
  <c r="O170" s="1"/>
  <c r="O13"/>
  <c r="O44"/>
  <c r="I141"/>
  <c r="I7"/>
  <c r="G8" s="1"/>
  <c r="G42"/>
  <c r="L140"/>
  <c r="M80"/>
  <c r="O80" s="1"/>
  <c r="M117"/>
  <c r="O117" s="1"/>
  <c r="M166"/>
  <c r="P166" s="1"/>
  <c r="O176"/>
  <c r="M100"/>
  <c r="P100" s="1"/>
  <c r="I65"/>
  <c r="M64"/>
  <c r="O64" s="1"/>
  <c r="M24" i="1"/>
  <c r="M255"/>
  <c r="O255" s="1"/>
  <c r="J126" i="3"/>
  <c r="I126"/>
  <c r="J147"/>
  <c r="I147"/>
  <c r="I189"/>
  <c r="J189"/>
  <c r="P13"/>
  <c r="AY19" i="2"/>
  <c r="AZ19"/>
  <c r="I58" i="3"/>
  <c r="J58"/>
  <c r="J14"/>
  <c r="I14"/>
  <c r="J10"/>
  <c r="I10"/>
  <c r="J184" i="1"/>
  <c r="I184"/>
  <c r="J38" i="3"/>
  <c r="I38"/>
  <c r="I106"/>
  <c r="G107" s="1"/>
  <c r="J106"/>
  <c r="J89"/>
  <c r="I89"/>
  <c r="I137"/>
  <c r="J137"/>
  <c r="K57" i="10"/>
  <c r="AA95" i="2"/>
  <c r="AB95"/>
  <c r="I317" i="1"/>
  <c r="J317"/>
  <c r="J75" i="3"/>
  <c r="I75"/>
  <c r="J103"/>
  <c r="I103"/>
  <c r="J67"/>
  <c r="I67"/>
  <c r="J169"/>
  <c r="I169"/>
  <c r="I292" i="1"/>
  <c r="G293" s="1"/>
  <c r="J292"/>
  <c r="K77" i="10"/>
  <c r="K91"/>
  <c r="O113" i="1"/>
  <c r="P113"/>
  <c r="J116" i="3"/>
  <c r="J302" i="1"/>
  <c r="P156" i="3"/>
  <c r="P105" i="1"/>
  <c r="I86" i="3"/>
  <c r="G87" s="1"/>
  <c r="AE86" i="2"/>
  <c r="AG86" s="1"/>
  <c r="I159" i="3"/>
  <c r="X62" i="2"/>
  <c r="P24" i="1"/>
  <c r="BA34" i="2"/>
  <c r="AW16"/>
  <c r="AW12"/>
  <c r="BA8"/>
  <c r="W62"/>
  <c r="X60"/>
  <c r="X70"/>
  <c r="Y70" s="1"/>
  <c r="AF92"/>
  <c r="F17" i="6" s="1"/>
  <c r="M22" i="1"/>
  <c r="AC94" i="2"/>
  <c r="M20" i="1"/>
  <c r="P20" s="1"/>
  <c r="P55"/>
  <c r="M103"/>
  <c r="O103" s="1"/>
  <c r="O309"/>
  <c r="M273"/>
  <c r="O273" s="1"/>
  <c r="M322"/>
  <c r="O322" s="1"/>
  <c r="M340"/>
  <c r="O340" s="1"/>
  <c r="M332"/>
  <c r="O332" s="1"/>
  <c r="M18" i="3"/>
  <c r="O18" s="1"/>
  <c r="M26"/>
  <c r="O26" s="1"/>
  <c r="M70"/>
  <c r="O70" s="1"/>
  <c r="M123"/>
  <c r="O123" s="1"/>
  <c r="M162"/>
  <c r="O162" s="1"/>
  <c r="M188"/>
  <c r="O188" s="1"/>
  <c r="O134"/>
  <c r="M30" i="1"/>
  <c r="BB22" i="2"/>
  <c r="BA28"/>
  <c r="BB16"/>
  <c r="BC16" s="1"/>
  <c r="W56"/>
  <c r="AD94"/>
  <c r="P85" i="1"/>
  <c r="L106" i="3"/>
  <c r="M106" s="1"/>
  <c r="P55"/>
  <c r="P103" i="1"/>
  <c r="Z54" i="2"/>
  <c r="AB54" s="1"/>
  <c r="O150" i="3"/>
  <c r="BD40" i="2"/>
  <c r="L330" i="1"/>
  <c r="D26" i="6"/>
  <c r="O192" i="3"/>
  <c r="AY30" i="2"/>
  <c r="AW31" s="1"/>
  <c r="AZ34"/>
  <c r="K40" i="10"/>
  <c r="J97" i="1"/>
  <c r="H42" i="4"/>
  <c r="F43" s="1"/>
  <c r="I43" s="1"/>
  <c r="BA26" i="2"/>
  <c r="BC14"/>
  <c r="BB10"/>
  <c r="BC10" s="1"/>
  <c r="AC84"/>
  <c r="AE84" s="1"/>
  <c r="AH84" s="1"/>
  <c r="Z70"/>
  <c r="L155" i="1"/>
  <c r="M155" s="1"/>
  <c r="P155" s="1"/>
  <c r="L175"/>
  <c r="M175" s="1"/>
  <c r="O175" s="1"/>
  <c r="G346"/>
  <c r="P56" i="2"/>
  <c r="L185" i="1"/>
  <c r="M185" s="1"/>
  <c r="P185" s="1"/>
  <c r="M18"/>
  <c r="M34"/>
  <c r="P34" s="1"/>
  <c r="M64"/>
  <c r="P64" s="1"/>
  <c r="M93"/>
  <c r="O235"/>
  <c r="M203"/>
  <c r="O203" s="1"/>
  <c r="M249"/>
  <c r="P249" s="1"/>
  <c r="M306"/>
  <c r="O306" s="1"/>
  <c r="M96" i="3"/>
  <c r="O96" s="1"/>
  <c r="O166"/>
  <c r="M82"/>
  <c r="O82" s="1"/>
  <c r="L137" i="1"/>
  <c r="M137" s="1"/>
  <c r="O137" s="1"/>
  <c r="L154" i="3"/>
  <c r="M154" s="1"/>
  <c r="P154" s="1"/>
  <c r="M57"/>
  <c r="P57" s="1"/>
  <c r="M74" i="2"/>
  <c r="O74" s="1"/>
  <c r="M75" s="1"/>
  <c r="O75" s="1"/>
  <c r="AW14"/>
  <c r="O95" i="1"/>
  <c r="I132"/>
  <c r="J132"/>
  <c r="I108"/>
  <c r="J108"/>
  <c r="I62"/>
  <c r="G63" s="1"/>
  <c r="I63" s="1"/>
  <c r="J62"/>
  <c r="I41"/>
  <c r="G42" s="1"/>
  <c r="J41"/>
  <c r="I56"/>
  <c r="G57" s="1"/>
  <c r="J56"/>
  <c r="J94"/>
  <c r="I94"/>
  <c r="I120"/>
  <c r="J120"/>
  <c r="I268"/>
  <c r="G269" s="1"/>
  <c r="J268"/>
  <c r="J156"/>
  <c r="J313"/>
  <c r="I313"/>
  <c r="G314" s="1"/>
  <c r="I314" s="1"/>
  <c r="I12" i="6"/>
  <c r="J289" i="1"/>
  <c r="I289"/>
  <c r="G290" s="1"/>
  <c r="I220"/>
  <c r="J220"/>
  <c r="P117"/>
  <c r="O117"/>
  <c r="P137"/>
  <c r="J232"/>
  <c r="I232"/>
  <c r="O22"/>
  <c r="P22"/>
  <c r="L219"/>
  <c r="M219" s="1"/>
  <c r="L147"/>
  <c r="M147" s="1"/>
  <c r="P147" s="1"/>
  <c r="M111"/>
  <c r="O111" s="1"/>
  <c r="M151"/>
  <c r="O151" s="1"/>
  <c r="M135"/>
  <c r="O239"/>
  <c r="M233"/>
  <c r="O233" s="1"/>
  <c r="M282"/>
  <c r="O282" s="1"/>
  <c r="M261"/>
  <c r="O261" s="1"/>
  <c r="O79"/>
  <c r="O49"/>
  <c r="O249"/>
  <c r="P95"/>
  <c r="P235"/>
  <c r="O26"/>
  <c r="O61"/>
  <c r="O40"/>
  <c r="O121"/>
  <c r="L199"/>
  <c r="M199" s="1"/>
  <c r="L279"/>
  <c r="L231"/>
  <c r="M231" s="1"/>
  <c r="P231" s="1"/>
  <c r="L171"/>
  <c r="M171" s="1"/>
  <c r="L209"/>
  <c r="M209" s="1"/>
  <c r="P209" s="1"/>
  <c r="P270"/>
  <c r="O258"/>
  <c r="M344"/>
  <c r="O344" s="1"/>
  <c r="U59" i="2"/>
  <c r="V59"/>
  <c r="I197" i="3"/>
  <c r="J197"/>
  <c r="AZ29" i="2"/>
  <c r="AY29"/>
  <c r="J160" i="1"/>
  <c r="I160"/>
  <c r="J63"/>
  <c r="J146"/>
  <c r="I146"/>
  <c r="I154"/>
  <c r="J154"/>
  <c r="AY20" i="2"/>
  <c r="AW21" s="1"/>
  <c r="H64" i="10"/>
  <c r="K64" s="1"/>
  <c r="K41"/>
  <c r="K55"/>
  <c r="J111" i="3"/>
  <c r="P108"/>
  <c r="O108"/>
  <c r="J71" i="1"/>
  <c r="I71"/>
  <c r="G72" s="1"/>
  <c r="J72" s="1"/>
  <c r="J246"/>
  <c r="I246"/>
  <c r="J190"/>
  <c r="I190"/>
  <c r="I271"/>
  <c r="G272" s="1"/>
  <c r="J271"/>
  <c r="AZ10" i="2"/>
  <c r="K81" i="10"/>
  <c r="K59"/>
  <c r="O20" i="1"/>
  <c r="I108" i="3"/>
  <c r="G109" s="1"/>
  <c r="J108"/>
  <c r="O57"/>
  <c r="J116" i="1"/>
  <c r="I116"/>
  <c r="I89"/>
  <c r="G90" s="1"/>
  <c r="I90" s="1"/>
  <c r="J89"/>
  <c r="I164"/>
  <c r="J164"/>
  <c r="H31" i="4"/>
  <c r="I31"/>
  <c r="J17" i="1"/>
  <c r="I17"/>
  <c r="I200"/>
  <c r="J200"/>
  <c r="O165"/>
  <c r="O8"/>
  <c r="P8"/>
  <c r="I281"/>
  <c r="AA74" i="2"/>
  <c r="P14" i="1"/>
  <c r="H21" i="4"/>
  <c r="I21"/>
  <c r="I53" i="1"/>
  <c r="G54" s="1"/>
  <c r="J53"/>
  <c r="I152"/>
  <c r="J152"/>
  <c r="I27"/>
  <c r="J27"/>
  <c r="I148"/>
  <c r="J148"/>
  <c r="O54" i="2"/>
  <c r="M55" s="1"/>
  <c r="O55" s="1"/>
  <c r="O24" i="3"/>
  <c r="P136"/>
  <c r="E17" i="6"/>
  <c r="AB90" i="2"/>
  <c r="V72"/>
  <c r="J24" i="3"/>
  <c r="J59"/>
  <c r="I160"/>
  <c r="G161" s="1"/>
  <c r="I165" i="1"/>
  <c r="G166" s="1"/>
  <c r="J58"/>
  <c r="BB18" i="2"/>
  <c r="J123" i="1"/>
  <c r="P61"/>
  <c r="I342"/>
  <c r="G343" s="1"/>
  <c r="BA22" i="2"/>
  <c r="BA18"/>
  <c r="BB24"/>
  <c r="BC24" s="1"/>
  <c r="W58"/>
  <c r="Z62"/>
  <c r="P134" i="3"/>
  <c r="BD6" i="2"/>
  <c r="L131" i="1"/>
  <c r="M131" s="1"/>
  <c r="L252"/>
  <c r="K138" i="3"/>
  <c r="M138" s="1"/>
  <c r="K140"/>
  <c r="M140" s="1"/>
  <c r="L78"/>
  <c r="M78" s="1"/>
  <c r="L157" i="1"/>
  <c r="M157" s="1"/>
  <c r="L215"/>
  <c r="M215" s="1"/>
  <c r="P215" s="1"/>
  <c r="AD92" i="2"/>
  <c r="G125" i="1"/>
  <c r="L139"/>
  <c r="M139" s="1"/>
  <c r="L225"/>
  <c r="M225" s="1"/>
  <c r="P225" s="1"/>
  <c r="P119"/>
  <c r="P183"/>
  <c r="P237"/>
  <c r="P285"/>
  <c r="M324"/>
  <c r="O324" s="1"/>
  <c r="M94" i="3"/>
  <c r="O94" s="1"/>
  <c r="P74"/>
  <c r="M164"/>
  <c r="M160"/>
  <c r="M180"/>
  <c r="O180" s="1"/>
  <c r="L142"/>
  <c r="M142" s="1"/>
  <c r="O142" s="1"/>
  <c r="L74" i="5"/>
  <c r="M200" i="3"/>
  <c r="O200" s="1"/>
  <c r="BB26" i="2"/>
  <c r="P79" i="1"/>
  <c r="P239"/>
  <c r="P150" i="3"/>
  <c r="O67" i="1"/>
  <c r="O85"/>
  <c r="P115"/>
  <c r="P22" i="3"/>
  <c r="P84"/>
  <c r="P184"/>
  <c r="P175" i="1"/>
  <c r="U54" i="2"/>
  <c r="S55" s="1"/>
  <c r="J167" i="3"/>
  <c r="I161" i="1"/>
  <c r="G162" s="1"/>
  <c r="I162" s="1"/>
  <c r="AZ38" i="2"/>
  <c r="J215" i="1"/>
  <c r="BB28" i="2"/>
  <c r="J133" i="1"/>
  <c r="I117" i="3"/>
  <c r="G118" s="1"/>
  <c r="I118" s="1"/>
  <c r="I85" i="1"/>
  <c r="G86" s="1"/>
  <c r="J86" s="1"/>
  <c r="X68" i="2"/>
  <c r="Y68" s="1"/>
  <c r="H12" i="4"/>
  <c r="F13" s="1"/>
  <c r="P258" i="1"/>
  <c r="BA30" i="2"/>
  <c r="BC30" s="1"/>
  <c r="BE30" s="1"/>
  <c r="BB12"/>
  <c r="BC12" s="1"/>
  <c r="W66"/>
  <c r="Y66" s="1"/>
  <c r="P123" i="3"/>
  <c r="L161" i="1"/>
  <c r="M161" s="1"/>
  <c r="L58"/>
  <c r="M58" s="1"/>
  <c r="P58" s="1"/>
  <c r="L303"/>
  <c r="BA38" i="2"/>
  <c r="BC38" s="1"/>
  <c r="L213" i="1"/>
  <c r="M213" s="1"/>
  <c r="O213" s="1"/>
  <c r="L223"/>
  <c r="M223" s="1"/>
  <c r="O223" s="1"/>
  <c r="G28"/>
  <c r="O70"/>
  <c r="P291"/>
  <c r="P267"/>
  <c r="M320"/>
  <c r="O320" s="1"/>
  <c r="O102" i="3"/>
  <c r="M158"/>
  <c r="D19" i="6"/>
  <c r="E19" s="1"/>
  <c r="L71" i="5"/>
  <c r="M198" i="3"/>
  <c r="P198" s="1"/>
  <c r="M202"/>
  <c r="BC6" i="2"/>
  <c r="X56"/>
  <c r="Y56" s="1"/>
  <c r="AA56" s="1"/>
  <c r="P26" i="1"/>
  <c r="I8" i="6"/>
  <c r="L276" i="1"/>
  <c r="L37"/>
  <c r="M37" s="1"/>
  <c r="L76"/>
  <c r="M76" s="1"/>
  <c r="X58" i="2"/>
  <c r="O24" i="1"/>
  <c r="O82"/>
  <c r="O55"/>
  <c r="O88"/>
  <c r="P123"/>
  <c r="P197"/>
  <c r="P80" i="3"/>
  <c r="P168"/>
  <c r="M31"/>
  <c r="D7" i="6"/>
  <c r="E7" s="1"/>
  <c r="H20"/>
  <c r="H41" i="4"/>
  <c r="I41"/>
  <c r="J98" i="1"/>
  <c r="I98"/>
  <c r="P97"/>
  <c r="I35"/>
  <c r="G36" s="1"/>
  <c r="J36" s="1"/>
  <c r="J35"/>
  <c r="I9"/>
  <c r="J9"/>
  <c r="H25" i="4"/>
  <c r="I25"/>
  <c r="I15"/>
  <c r="H15"/>
  <c r="J143" i="3"/>
  <c r="I143"/>
  <c r="I157"/>
  <c r="J157"/>
  <c r="J77"/>
  <c r="I77"/>
  <c r="I105"/>
  <c r="J105"/>
  <c r="I305" i="1"/>
  <c r="J305"/>
  <c r="I259"/>
  <c r="G260" s="1"/>
  <c r="J259"/>
  <c r="J77"/>
  <c r="I77"/>
  <c r="G78" s="1"/>
  <c r="I74"/>
  <c r="G75" s="1"/>
  <c r="J74"/>
  <c r="I44"/>
  <c r="G45" s="1"/>
  <c r="J44"/>
  <c r="H8" i="6"/>
  <c r="P43" i="1"/>
  <c r="L65" i="5"/>
  <c r="J31" i="1"/>
  <c r="I31"/>
  <c r="V71" i="2"/>
  <c r="U71"/>
  <c r="AB85"/>
  <c r="AA85"/>
  <c r="I228" i="1"/>
  <c r="J228"/>
  <c r="I72"/>
  <c r="J253"/>
  <c r="I253"/>
  <c r="G254" s="1"/>
  <c r="J283"/>
  <c r="I283"/>
  <c r="G284" s="1"/>
  <c r="I204"/>
  <c r="J204"/>
  <c r="J172"/>
  <c r="I172"/>
  <c r="J286"/>
  <c r="I286"/>
  <c r="G287" s="1"/>
  <c r="I27" i="4"/>
  <c r="H27"/>
  <c r="I337" i="1"/>
  <c r="J337"/>
  <c r="J81"/>
  <c r="I81"/>
  <c r="J173" i="3"/>
  <c r="I173"/>
  <c r="I38" i="1"/>
  <c r="G39" s="1"/>
  <c r="J38"/>
  <c r="I186"/>
  <c r="J244"/>
  <c r="I244"/>
  <c r="I174"/>
  <c r="J174"/>
  <c r="I196"/>
  <c r="J196"/>
  <c r="J19"/>
  <c r="I19"/>
  <c r="I59"/>
  <c r="G60" s="1"/>
  <c r="J59"/>
  <c r="I331"/>
  <c r="J331"/>
  <c r="I25"/>
  <c r="J25"/>
  <c r="I335"/>
  <c r="J335"/>
  <c r="I192"/>
  <c r="J192"/>
  <c r="J50"/>
  <c r="I50"/>
  <c r="G51" s="1"/>
  <c r="J224"/>
  <c r="I224"/>
  <c r="J176"/>
  <c r="I176"/>
  <c r="I274"/>
  <c r="G275" s="1"/>
  <c r="J274"/>
  <c r="I310"/>
  <c r="G311" s="1"/>
  <c r="J310"/>
  <c r="J11"/>
  <c r="I11"/>
  <c r="I11" i="4"/>
  <c r="H11"/>
  <c r="H39"/>
  <c r="I39"/>
  <c r="I168" i="1"/>
  <c r="J168"/>
  <c r="I140"/>
  <c r="J140"/>
  <c r="I277"/>
  <c r="G278" s="1"/>
  <c r="J277"/>
  <c r="I135" i="3"/>
  <c r="J135"/>
  <c r="AB56" i="2"/>
  <c r="I35" i="4"/>
  <c r="I68" i="1"/>
  <c r="G69" s="1"/>
  <c r="J68"/>
  <c r="H9" i="4"/>
  <c r="I9"/>
  <c r="J193" i="3"/>
  <c r="I81"/>
  <c r="I321" i="1"/>
  <c r="J321"/>
  <c r="I112"/>
  <c r="J112"/>
  <c r="I83"/>
  <c r="G84" s="1"/>
  <c r="J83"/>
  <c r="AH86" i="2"/>
  <c r="J262" i="1"/>
  <c r="I262"/>
  <c r="G263" s="1"/>
  <c r="J216"/>
  <c r="I216"/>
  <c r="I130" i="3"/>
  <c r="J130"/>
  <c r="I23" i="1"/>
  <c r="J23"/>
  <c r="I134"/>
  <c r="J134"/>
  <c r="I114"/>
  <c r="J114"/>
  <c r="J339"/>
  <c r="I339"/>
  <c r="U64" i="2"/>
  <c r="S65" s="1"/>
  <c r="V64"/>
  <c r="J234" i="1"/>
  <c r="I234"/>
  <c r="J298"/>
  <c r="I298"/>
  <c r="G299" s="1"/>
  <c r="J201" i="3"/>
  <c r="I201"/>
  <c r="I203"/>
  <c r="J203"/>
  <c r="O20"/>
  <c r="O190"/>
  <c r="U66" i="2"/>
  <c r="S67" s="1"/>
  <c r="J218" i="1"/>
  <c r="I250"/>
  <c r="G251" s="1"/>
  <c r="AA92" i="2"/>
  <c r="Y93" s="1"/>
  <c r="I65" i="1"/>
  <c r="G66" s="1"/>
  <c r="I29" i="4"/>
  <c r="J210" i="1"/>
  <c r="I100" i="3"/>
  <c r="G101" s="1"/>
  <c r="I124"/>
  <c r="J150"/>
  <c r="I149" i="1"/>
  <c r="G150" s="1"/>
  <c r="O52"/>
  <c r="P52"/>
  <c r="J198" i="3"/>
  <c r="I198"/>
  <c r="G199" s="1"/>
  <c r="O46" i="1"/>
  <c r="P46"/>
  <c r="O202" i="3"/>
  <c r="P202"/>
  <c r="O11"/>
  <c r="J214" i="1"/>
  <c r="BC18" i="2"/>
  <c r="P88" i="1"/>
  <c r="M28"/>
  <c r="M330"/>
  <c r="O330" s="1"/>
  <c r="X72" i="2"/>
  <c r="Y72" s="1"/>
  <c r="P200" i="3"/>
  <c r="D21" i="6"/>
  <c r="E21" s="1"/>
  <c r="AV40" i="2"/>
  <c r="P74"/>
  <c r="J200" i="3"/>
  <c r="J101" i="1"/>
  <c r="E26" i="6"/>
  <c r="L61" i="3"/>
  <c r="M61" s="1"/>
  <c r="D18" i="6"/>
  <c r="AY7" i="2"/>
  <c r="AZ7"/>
  <c r="I8" i="3"/>
  <c r="J8"/>
  <c r="I30"/>
  <c r="O209" i="1" l="1"/>
  <c r="J79" i="3"/>
  <c r="I79"/>
  <c r="I155"/>
  <c r="J155"/>
  <c r="J118"/>
  <c r="P117"/>
  <c r="P50"/>
  <c r="P104"/>
  <c r="P42"/>
  <c r="O42"/>
  <c r="J12"/>
  <c r="I12"/>
  <c r="J149"/>
  <c r="I149"/>
  <c r="O154"/>
  <c r="P188"/>
  <c r="I93"/>
  <c r="J93"/>
  <c r="I145"/>
  <c r="J145"/>
  <c r="P300" i="1"/>
  <c r="I122"/>
  <c r="P288"/>
  <c r="P312"/>
  <c r="J314"/>
  <c r="O360"/>
  <c r="AA82" i="2"/>
  <c r="Y83" s="1"/>
  <c r="AB82"/>
  <c r="AA89"/>
  <c r="AB89"/>
  <c r="AZ32"/>
  <c r="AY32"/>
  <c r="AW33" s="1"/>
  <c r="AW35"/>
  <c r="AA87"/>
  <c r="AB87"/>
  <c r="U69"/>
  <c r="V69"/>
  <c r="AY23"/>
  <c r="AZ23"/>
  <c r="AE92"/>
  <c r="BC8"/>
  <c r="AY39"/>
  <c r="AZ39"/>
  <c r="V57"/>
  <c r="U57"/>
  <c r="BC34"/>
  <c r="BE34" s="1"/>
  <c r="BE6"/>
  <c r="BC28"/>
  <c r="BE28" s="1"/>
  <c r="O315" i="1"/>
  <c r="P315"/>
  <c r="BE32" i="2"/>
  <c r="BF32"/>
  <c r="BC22"/>
  <c r="BE22" s="1"/>
  <c r="BE14"/>
  <c r="Y60"/>
  <c r="AZ9"/>
  <c r="AG84"/>
  <c r="BF6"/>
  <c r="BC26"/>
  <c r="BF26" s="1"/>
  <c r="H17" i="6"/>
  <c r="BC36" i="2"/>
  <c r="O366" i="1"/>
  <c r="M279"/>
  <c r="L375"/>
  <c r="M375" s="1"/>
  <c r="M252"/>
  <c r="L357"/>
  <c r="M357" s="1"/>
  <c r="M303"/>
  <c r="P303" s="1"/>
  <c r="L387"/>
  <c r="M387" s="1"/>
  <c r="M276"/>
  <c r="L372"/>
  <c r="M372" s="1"/>
  <c r="O363"/>
  <c r="P363"/>
  <c r="P179"/>
  <c r="P213"/>
  <c r="P201"/>
  <c r="I25" i="6"/>
  <c r="H25"/>
  <c r="H29" i="5"/>
  <c r="O76" i="3"/>
  <c r="P76"/>
  <c r="I17" i="6"/>
  <c r="AA54" i="2"/>
  <c r="P33" i="3"/>
  <c r="H22" i="6"/>
  <c r="P64" i="3"/>
  <c r="P82"/>
  <c r="J69"/>
  <c r="O146"/>
  <c r="P261" i="1"/>
  <c r="O229"/>
  <c r="P227"/>
  <c r="I14" i="6"/>
  <c r="O147" i="1"/>
  <c r="O153"/>
  <c r="H43" i="4"/>
  <c r="P306" i="1"/>
  <c r="I308"/>
  <c r="O264"/>
  <c r="P297"/>
  <c r="P10"/>
  <c r="O10"/>
  <c r="O58"/>
  <c r="O215"/>
  <c r="J162"/>
  <c r="J90"/>
  <c r="O167"/>
  <c r="P107"/>
  <c r="P205"/>
  <c r="I86"/>
  <c r="G87" s="1"/>
  <c r="J87" s="1"/>
  <c r="O225"/>
  <c r="P159"/>
  <c r="P273"/>
  <c r="O64"/>
  <c r="J32" i="10"/>
  <c r="AH90" i="2"/>
  <c r="AG90"/>
  <c r="AG88"/>
  <c r="AH88"/>
  <c r="P26" i="3"/>
  <c r="O100"/>
  <c r="O9"/>
  <c r="P322" i="1"/>
  <c r="O86" i="3"/>
  <c r="P86"/>
  <c r="BE20" i="2"/>
  <c r="BF20"/>
  <c r="I194" i="3"/>
  <c r="G195" s="1"/>
  <c r="J194"/>
  <c r="AY25" i="2"/>
  <c r="AZ25"/>
  <c r="P344" i="1"/>
  <c r="O211"/>
  <c r="P211"/>
  <c r="P340"/>
  <c r="AA70" i="2"/>
  <c r="P332" i="1"/>
  <c r="P330"/>
  <c r="P334"/>
  <c r="AB74" i="2"/>
  <c r="O231" i="1"/>
  <c r="P111"/>
  <c r="O198" i="3"/>
  <c r="P96"/>
  <c r="P109" i="1"/>
  <c r="O109"/>
  <c r="P255"/>
  <c r="O7" i="3"/>
  <c r="P46"/>
  <c r="D9" i="6"/>
  <c r="E9" s="1"/>
  <c r="P110" i="3"/>
  <c r="O110"/>
  <c r="O143" i="1"/>
  <c r="P143"/>
  <c r="I122" i="3"/>
  <c r="J122"/>
  <c r="Y58" i="2"/>
  <c r="Y62"/>
  <c r="AB62" s="1"/>
  <c r="O119" i="3"/>
  <c r="I48" i="1"/>
  <c r="J48"/>
  <c r="P162" i="3"/>
  <c r="P92"/>
  <c r="P90"/>
  <c r="P170"/>
  <c r="P18"/>
  <c r="P180"/>
  <c r="I42"/>
  <c r="G43" s="1"/>
  <c r="J42"/>
  <c r="I23" i="6"/>
  <c r="H23"/>
  <c r="I36" i="1"/>
  <c r="O34"/>
  <c r="BE10" i="2"/>
  <c r="BF10"/>
  <c r="P106" i="3"/>
  <c r="O106"/>
  <c r="BE16" i="2"/>
  <c r="BF16"/>
  <c r="O18" i="1"/>
  <c r="P18"/>
  <c r="P223"/>
  <c r="BE26" i="2"/>
  <c r="J64" i="10"/>
  <c r="P233" i="1"/>
  <c r="BF14" i="2"/>
  <c r="AB70"/>
  <c r="P70" i="3"/>
  <c r="J346" i="1"/>
  <c r="I346"/>
  <c r="G347" s="1"/>
  <c r="AY16" i="2"/>
  <c r="AW17" s="1"/>
  <c r="AZ16"/>
  <c r="I293" i="1"/>
  <c r="J293"/>
  <c r="AZ31" i="2"/>
  <c r="AY31"/>
  <c r="P30" i="1"/>
  <c r="O30"/>
  <c r="AY12" i="2"/>
  <c r="AW13" s="1"/>
  <c r="AZ12"/>
  <c r="AE94"/>
  <c r="P93" i="1"/>
  <c r="O93"/>
  <c r="O185"/>
  <c r="O155"/>
  <c r="J87" i="3"/>
  <c r="I87"/>
  <c r="I107"/>
  <c r="J107"/>
  <c r="P320" i="1"/>
  <c r="P203"/>
  <c r="AZ14" i="2"/>
  <c r="AY14"/>
  <c r="AW15" s="1"/>
  <c r="O135" i="1"/>
  <c r="P135"/>
  <c r="O279"/>
  <c r="P279"/>
  <c r="O219"/>
  <c r="P219"/>
  <c r="J57"/>
  <c r="I57"/>
  <c r="P282"/>
  <c r="I290"/>
  <c r="J290"/>
  <c r="O171"/>
  <c r="P171"/>
  <c r="I269"/>
  <c r="J269"/>
  <c r="I42"/>
  <c r="J42"/>
  <c r="O199"/>
  <c r="P199"/>
  <c r="P151"/>
  <c r="P207"/>
  <c r="BF12" i="2"/>
  <c r="BE12"/>
  <c r="O31" i="3"/>
  <c r="O37" i="1"/>
  <c r="P37"/>
  <c r="BE38" i="2"/>
  <c r="BF38"/>
  <c r="H13" i="4"/>
  <c r="I13"/>
  <c r="AB64" i="2"/>
  <c r="AA64"/>
  <c r="AG92"/>
  <c r="AH92"/>
  <c r="P164" i="3"/>
  <c r="O164"/>
  <c r="O139" i="1"/>
  <c r="P139"/>
  <c r="O157"/>
  <c r="P157"/>
  <c r="O163"/>
  <c r="P163"/>
  <c r="J343"/>
  <c r="I343"/>
  <c r="J166"/>
  <c r="I166"/>
  <c r="P94" i="3"/>
  <c r="P102"/>
  <c r="BF30" i="2"/>
  <c r="O76" i="1"/>
  <c r="P76"/>
  <c r="P161"/>
  <c r="O161"/>
  <c r="AA66" i="2"/>
  <c r="AB66"/>
  <c r="V55"/>
  <c r="U55"/>
  <c r="P160" i="3"/>
  <c r="O160"/>
  <c r="O138"/>
  <c r="P138"/>
  <c r="AB58" i="2"/>
  <c r="AA58"/>
  <c r="H7" i="6"/>
  <c r="I7"/>
  <c r="P158" i="3"/>
  <c r="O158"/>
  <c r="O131" i="1"/>
  <c r="P131"/>
  <c r="AG82" i="2"/>
  <c r="AH82"/>
  <c r="I54" i="1"/>
  <c r="J54"/>
  <c r="AY21" i="2"/>
  <c r="AZ21"/>
  <c r="E18" i="6"/>
  <c r="I18" s="1"/>
  <c r="P324" i="1"/>
  <c r="O276"/>
  <c r="P276"/>
  <c r="J28"/>
  <c r="I28"/>
  <c r="G29" s="1"/>
  <c r="O303"/>
  <c r="AA68" i="2"/>
  <c r="AB68"/>
  <c r="P142" i="3"/>
  <c r="J125" i="1"/>
  <c r="I125"/>
  <c r="G126" s="1"/>
  <c r="O78" i="3"/>
  <c r="P78"/>
  <c r="BE24" i="2"/>
  <c r="BF24"/>
  <c r="I161" i="3"/>
  <c r="J161"/>
  <c r="I109"/>
  <c r="J109"/>
  <c r="AY11" i="2"/>
  <c r="AZ11"/>
  <c r="I272" i="1"/>
  <c r="J272"/>
  <c r="J260"/>
  <c r="I260"/>
  <c r="I78"/>
  <c r="J78"/>
  <c r="J75"/>
  <c r="I75"/>
  <c r="I45"/>
  <c r="J45"/>
  <c r="I26" i="6"/>
  <c r="H26"/>
  <c r="P61" i="3"/>
  <c r="O61"/>
  <c r="J66" i="1"/>
  <c r="I66"/>
  <c r="J84"/>
  <c r="I84"/>
  <c r="J275"/>
  <c r="I275"/>
  <c r="J60"/>
  <c r="I60"/>
  <c r="AB72" i="2"/>
  <c r="AA72"/>
  <c r="O28" i="1"/>
  <c r="P28"/>
  <c r="O140" i="3"/>
  <c r="P140"/>
  <c r="I251" i="1"/>
  <c r="J251"/>
  <c r="J299"/>
  <c r="I299"/>
  <c r="J263"/>
  <c r="I263"/>
  <c r="J69"/>
  <c r="I69"/>
  <c r="J278"/>
  <c r="I278"/>
  <c r="J51"/>
  <c r="I51"/>
  <c r="I284"/>
  <c r="J284"/>
  <c r="BF28" i="2"/>
  <c r="J150" i="1"/>
  <c r="I150"/>
  <c r="U65" i="2"/>
  <c r="V65"/>
  <c r="I19" i="6"/>
  <c r="H19"/>
  <c r="I311" i="1"/>
  <c r="J311"/>
  <c r="I87"/>
  <c r="J39"/>
  <c r="I39"/>
  <c r="H21" i="6"/>
  <c r="I21"/>
  <c r="BF18" i="2"/>
  <c r="BE18"/>
  <c r="J199" i="3"/>
  <c r="I199"/>
  <c r="I101"/>
  <c r="J101"/>
  <c r="AA93" i="2"/>
  <c r="AB93"/>
  <c r="U67"/>
  <c r="V67"/>
  <c r="I287" i="1"/>
  <c r="J287"/>
  <c r="J254"/>
  <c r="I254"/>
  <c r="BF34" i="2"/>
  <c r="BB40"/>
  <c r="BC40" s="1"/>
  <c r="AW40"/>
  <c r="BF22" l="1"/>
  <c r="AB83"/>
  <c r="AA83"/>
  <c r="AZ33"/>
  <c r="AY33"/>
  <c r="BE8"/>
  <c r="BF8"/>
  <c r="AY35"/>
  <c r="AZ35"/>
  <c r="AA60"/>
  <c r="AB60"/>
  <c r="BE36"/>
  <c r="BF36"/>
  <c r="P375" i="1"/>
  <c r="O375"/>
  <c r="O252"/>
  <c r="P252"/>
  <c r="P357"/>
  <c r="O357"/>
  <c r="P387"/>
  <c r="O387"/>
  <c r="O372"/>
  <c r="P372"/>
  <c r="AA62" i="2"/>
  <c r="J195" i="3"/>
  <c r="I195"/>
  <c r="H9" i="6"/>
  <c r="I9"/>
  <c r="H18"/>
  <c r="J43" i="3"/>
  <c r="I43"/>
  <c r="AG94" i="2"/>
  <c r="AH94"/>
  <c r="J347" i="1"/>
  <c r="I347"/>
  <c r="AY13" i="2"/>
  <c r="AZ13"/>
  <c r="AZ17"/>
  <c r="AY17"/>
  <c r="AZ15"/>
  <c r="AY15"/>
  <c r="I126" i="1"/>
  <c r="J126"/>
  <c r="I29"/>
  <c r="J29"/>
  <c r="BF40" i="2"/>
  <c r="BE40"/>
  <c r="AY40"/>
  <c r="AW41" s="1"/>
  <c r="AZ40"/>
  <c r="AY41" l="1"/>
  <c r="AZ41"/>
  <c r="J294" i="1"/>
  <c r="L294"/>
  <c r="M294" s="1"/>
  <c r="G294"/>
  <c r="I294" s="1"/>
  <c r="G295" s="1"/>
  <c r="D24" i="6"/>
  <c r="E24" s="1"/>
  <c r="I24" l="1"/>
  <c r="H24"/>
  <c r="I295" i="1"/>
  <c r="G296" s="1"/>
  <c r="J295"/>
  <c r="O294"/>
  <c r="P294"/>
  <c r="L378"/>
  <c r="M378" s="1"/>
  <c r="P378" l="1"/>
  <c r="O378"/>
  <c r="J296"/>
  <c r="I296"/>
</calcChain>
</file>

<file path=xl/comments1.xml><?xml version="1.0" encoding="utf-8"?>
<comments xmlns="http://schemas.openxmlformats.org/spreadsheetml/2006/main">
  <authors>
    <author>mmendoza</author>
    <author>dcatalan</author>
  </authors>
  <commentList>
    <comment ref="F6" authorId="0">
      <text>
        <r>
          <rPr>
            <b/>
            <sz val="8"/>
            <color indexed="81"/>
            <rFont val="Tahoma"/>
            <family val="2"/>
          </rPr>
          <t>mmendoza:</t>
        </r>
        <r>
          <rPr>
            <sz val="8"/>
            <color indexed="81"/>
            <rFont val="Tahoma"/>
            <family val="2"/>
          </rPr>
          <t xml:space="preserve">
( C) Cede 3713.133 ton a artesanales (Resol N°1566)</t>
        </r>
      </text>
    </comment>
    <comment ref="F10" authorId="0">
      <text>
        <r>
          <rPr>
            <b/>
            <sz val="8"/>
            <color indexed="81"/>
            <rFont val="Tahoma"/>
            <family val="2"/>
          </rPr>
          <t>mmendoza:</t>
        </r>
        <r>
          <rPr>
            <sz val="8"/>
            <color indexed="81"/>
            <rFont val="Tahoma"/>
            <family val="2"/>
          </rPr>
          <t xml:space="preserve">
( C) Cede 10000 ton a Artesanales XV-I (Res N°2895)
( C) Cede 4000 ton a Artesanales II (Res N°3092)
( C) Cede 10000 ton a Artesanales XV-I  (Res N°3212)
( C) Cede 4000 ton a Artesanales II (Res N°3243)</t>
        </r>
      </text>
    </comment>
    <comment ref="F14" authorId="1">
      <text>
        <r>
          <rPr>
            <b/>
            <sz val="8"/>
            <color indexed="81"/>
            <rFont val="Tahoma"/>
            <family val="2"/>
          </rPr>
          <t>dcatalan:</t>
        </r>
        <r>
          <rPr>
            <sz val="8"/>
            <color indexed="81"/>
            <rFont val="Tahoma"/>
            <family val="2"/>
          </rPr>
          <t xml:space="preserve">
(Co) Cede 2.05 t a Foodcorp III-IV (Certificado Nº 35).</t>
        </r>
      </text>
    </comment>
    <comment ref="F16" authorId="0">
      <text>
        <r>
          <rPr>
            <b/>
            <sz val="8"/>
            <color indexed="81"/>
            <rFont val="Tahoma"/>
            <family val="2"/>
          </rPr>
          <t>mmendoza:</t>
        </r>
        <r>
          <rPr>
            <sz val="8"/>
            <color indexed="81"/>
            <rFont val="Tahoma"/>
            <family val="2"/>
          </rPr>
          <t xml:space="preserve">
( C) Cede 4075.599 ton a Artesanales VIII Reg (Res N°2422)</t>
        </r>
      </text>
    </comment>
    <comment ref="F18" authorId="0">
      <text>
        <r>
          <rPr>
            <b/>
            <sz val="8"/>
            <color indexed="81"/>
            <rFont val="Tahoma"/>
            <family val="2"/>
          </rPr>
          <t>mmendoza:</t>
        </r>
        <r>
          <rPr>
            <sz val="8"/>
            <color indexed="81"/>
            <rFont val="Tahoma"/>
            <family val="2"/>
          </rPr>
          <t xml:space="preserve">
( C) Cede 3133.151 ton a Armadores Art III Reg (Res N°1542 mod por N° 1849)
</t>
        </r>
      </text>
    </comment>
    <comment ref="F22" authorId="0">
      <text>
        <r>
          <rPr>
            <b/>
            <sz val="8"/>
            <color indexed="81"/>
            <rFont val="Tahoma"/>
            <family val="2"/>
          </rPr>
          <t>mmendoza:</t>
        </r>
        <r>
          <rPr>
            <sz val="8"/>
            <color indexed="81"/>
            <rFont val="Tahoma"/>
            <family val="2"/>
          </rPr>
          <t xml:space="preserve">
(Co)Cede 83.737 t a Pesquera Centro Sur III-IV (Certificado N°17)</t>
        </r>
      </text>
    </comment>
    <comment ref="F24" authorId="0">
      <text>
        <r>
          <rPr>
            <b/>
            <sz val="8"/>
            <color indexed="81"/>
            <rFont val="Tahoma"/>
            <family val="2"/>
          </rPr>
          <t>mmendoza:</t>
        </r>
        <r>
          <rPr>
            <sz val="8"/>
            <color indexed="81"/>
            <rFont val="Tahoma"/>
            <family val="2"/>
          </rPr>
          <t xml:space="preserve">
( C) Cede 6113.6 ton a Artesanales IV Reg (Resol N° 728)</t>
        </r>
      </text>
    </comment>
    <comment ref="F28" authorId="0">
      <text>
        <r>
          <rPr>
            <b/>
            <sz val="8"/>
            <color indexed="81"/>
            <rFont val="Tahoma"/>
            <family val="2"/>
          </rPr>
          <t>mmendoza:</t>
        </r>
        <r>
          <rPr>
            <sz val="8"/>
            <color indexed="81"/>
            <rFont val="Tahoma"/>
            <family val="2"/>
          </rPr>
          <t xml:space="preserve">
(Co)Incrementa en 83.737 t desde Inversiones Pesqueras III-IV (Certificado N°17)</t>
        </r>
      </text>
    </comment>
    <comment ref="F30" authorId="1">
      <text>
        <r>
          <rPr>
            <b/>
            <sz val="8"/>
            <color indexed="81"/>
            <rFont val="Tahoma"/>
            <family val="2"/>
          </rPr>
          <t>dcatalan:</t>
        </r>
        <r>
          <rPr>
            <sz val="8"/>
            <color indexed="81"/>
            <rFont val="Tahoma"/>
            <family val="2"/>
          </rPr>
          <t xml:space="preserve">
(Co) Incremento de 2.05 t desde Alimar III-IV (Certificado Nº 35).</t>
        </r>
      </text>
    </comment>
    <comment ref="F34" authorId="0">
      <text>
        <r>
          <rPr>
            <b/>
            <sz val="8"/>
            <color indexed="81"/>
            <rFont val="Tahoma"/>
            <family val="2"/>
          </rPr>
          <t>mmendoza:</t>
        </r>
        <r>
          <rPr>
            <sz val="8"/>
            <color indexed="81"/>
            <rFont val="Tahoma"/>
            <family val="2"/>
          </rPr>
          <t xml:space="preserve">
( C) Cede 209.025 ton a Artesanales VIII Region (Resol N°727)
( C) Cede 111.480 ton a Artesanales VIII Reg (Resol N°847)
( C) Cede 350 ton a Artesanales V Reg (Resol N°1372)
( C) Cede 350 ton a Artesanales V Reg (Resol N°1371)
( C) Cede 332,9 ton a Artesanales VIII Reg (Resol N° 1800)</t>
        </r>
      </text>
    </comment>
    <comment ref="F37" authorId="1">
      <text>
        <r>
          <rPr>
            <b/>
            <sz val="8"/>
            <color indexed="81"/>
            <rFont val="Tahoma"/>
            <family val="2"/>
          </rPr>
          <t>dcatalan:</t>
        </r>
        <r>
          <rPr>
            <sz val="8"/>
            <color indexed="81"/>
            <rFont val="Tahoma"/>
            <family val="2"/>
          </rPr>
          <t xml:space="preserve">
(A) Cede 25.858782 t a Lota Protein V-X (Certificado Nº 68).</t>
        </r>
      </text>
    </comment>
    <comment ref="F40" authorId="0">
      <text>
        <r>
          <rPr>
            <b/>
            <sz val="8"/>
            <color indexed="81"/>
            <rFont val="Tahoma"/>
            <family val="2"/>
          </rPr>
          <t>mmendoza:</t>
        </r>
        <r>
          <rPr>
            <sz val="8"/>
            <color indexed="81"/>
            <rFont val="Tahoma"/>
            <family val="2"/>
          </rPr>
          <t xml:space="preserve">
( C) Cede 1140 ton A Armador Art XIV Reg (Resol N°1424). Mod por Res N°3197, disminuye anchoveta a 660 t.
( C) Cede 60 ton a Armador Art IX Reg (Resol N°1500). Mod por Res N°3196, disminuye anchoveta a 20 t</t>
        </r>
      </text>
    </comment>
    <comment ref="F43" authorId="0">
      <text>
        <r>
          <rPr>
            <b/>
            <sz val="8"/>
            <color indexed="81"/>
            <rFont val="Tahoma"/>
            <family val="2"/>
          </rPr>
          <t>mmendoza:</t>
        </r>
        <r>
          <rPr>
            <sz val="8"/>
            <color indexed="81"/>
            <rFont val="Tahoma"/>
            <family val="2"/>
          </rPr>
          <t xml:space="preserve">
( C) Cede 21 ton a Artesanales XIV Reg (Resol N°635)
( C) Cede 9 ton a Artesanales XIV Reg (Resol N°2661)
( C) Cede 200 ton a Artesanales XIV Reg (Resol N°3495)</t>
        </r>
      </text>
    </comment>
    <comment ref="F49" authorId="1">
      <text>
        <r>
          <rPr>
            <b/>
            <sz val="9"/>
            <color indexed="81"/>
            <rFont val="Tahoma"/>
            <family val="2"/>
          </rPr>
          <t>dcatalan:</t>
        </r>
        <r>
          <rPr>
            <sz val="9"/>
            <color indexed="81"/>
            <rFont val="Tahoma"/>
            <family val="2"/>
          </rPr>
          <t xml:space="preserve">
(Co) Cede 78,38 t a Inversiones Pesq. V-X (Cert N°77)</t>
        </r>
      </text>
    </comment>
    <comment ref="F55" authorId="0">
      <text>
        <r>
          <rPr>
            <b/>
            <sz val="8"/>
            <color indexed="81"/>
            <rFont val="Tahoma"/>
            <family val="2"/>
          </rPr>
          <t>mmendoza:</t>
        </r>
        <r>
          <rPr>
            <sz val="8"/>
            <color indexed="81"/>
            <rFont val="Tahoma"/>
            <family val="2"/>
          </rPr>
          <t xml:space="preserve">
( C) Cede 255 ton a Armadores Art VIII Reg (Resol N°1387)
( C ) Cede 21 ton a Armadores Art VIII Reg (resol N° 1801)</t>
        </r>
      </text>
    </comment>
    <comment ref="F58" authorId="1">
      <text>
        <r>
          <rPr>
            <b/>
            <sz val="8"/>
            <color indexed="81"/>
            <rFont val="Tahoma"/>
            <family val="2"/>
          </rPr>
          <t>dcatalan:</t>
        </r>
        <r>
          <rPr>
            <sz val="8"/>
            <color indexed="81"/>
            <rFont val="Tahoma"/>
            <family val="2"/>
          </rPr>
          <t xml:space="preserve">
(A) Cede 2.236878 t a Lota Protein V-X (Certificado Nº 58).</t>
        </r>
      </text>
    </comment>
    <comment ref="F61" authorId="0">
      <text>
        <r>
          <rPr>
            <b/>
            <sz val="8"/>
            <color indexed="81"/>
            <rFont val="Tahoma"/>
            <family val="2"/>
          </rPr>
          <t>mmendoza:</t>
        </r>
        <r>
          <rPr>
            <sz val="8"/>
            <color indexed="81"/>
            <rFont val="Tahoma"/>
            <family val="2"/>
          </rPr>
          <t xml:space="preserve">
(A) Cede 6.92613 a Lota Protein V-X (Certificado N°343)</t>
        </r>
      </text>
    </comment>
    <comment ref="F64" authorId="0">
      <text>
        <r>
          <rPr>
            <b/>
            <sz val="8"/>
            <color indexed="81"/>
            <rFont val="Tahoma"/>
            <family val="2"/>
          </rPr>
          <t>mmendoza:</t>
        </r>
        <r>
          <rPr>
            <sz val="8"/>
            <color indexed="81"/>
            <rFont val="Tahoma"/>
            <family val="2"/>
          </rPr>
          <t xml:space="preserve">
(Co) Incrementa en 78.38 ton desde Operaciones Arandu V-X (Cert N°77)
(Co) Incrementa en 43.985 ton desde Burita Inversiones V-X  (Cert N°78) 
</t>
        </r>
      </text>
    </comment>
    <comment ref="F67" authorId="0">
      <text>
        <r>
          <rPr>
            <b/>
            <sz val="8"/>
            <color indexed="81"/>
            <rFont val="Tahoma"/>
            <family val="2"/>
          </rPr>
          <t>mmendoza:</t>
        </r>
        <r>
          <rPr>
            <sz val="8"/>
            <color indexed="81"/>
            <rFont val="Tahoma"/>
            <family val="2"/>
          </rPr>
          <t xml:space="preserve">
(Co) Cede 43.985 ton a Inversiones pesqueras V-X  (Cert N°78) </t>
        </r>
      </text>
    </comment>
    <comment ref="F70" authorId="1">
      <text>
        <r>
          <rPr>
            <b/>
            <sz val="9"/>
            <color indexed="81"/>
            <rFont val="Tahoma"/>
            <family val="2"/>
          </rPr>
          <t>dcatalan:</t>
        </r>
        <r>
          <rPr>
            <sz val="9"/>
            <color indexed="81"/>
            <rFont val="Tahoma"/>
            <family val="2"/>
          </rPr>
          <t xml:space="preserve">
( C) Cede 20 ton a Artesanales VIII Reg (Resol N° 1800).</t>
        </r>
      </text>
    </comment>
    <comment ref="F73" authorId="0">
      <text>
        <r>
          <rPr>
            <b/>
            <sz val="8"/>
            <color indexed="81"/>
            <rFont val="Tahoma"/>
            <family val="2"/>
          </rPr>
          <t>mmendoza:</t>
        </r>
        <r>
          <rPr>
            <sz val="8"/>
            <color indexed="81"/>
            <rFont val="Tahoma"/>
            <family val="2"/>
          </rPr>
          <t xml:space="preserve">
( C) Incrementa en 183 ton desde Artesanales X (Resol N°1147/2015)</t>
        </r>
      </text>
    </comment>
    <comment ref="F76" authorId="1">
      <text>
        <r>
          <rPr>
            <b/>
            <sz val="8"/>
            <color indexed="81"/>
            <rFont val="Tahoma"/>
            <family val="2"/>
          </rPr>
          <t>dcatalan:</t>
        </r>
        <r>
          <rPr>
            <sz val="8"/>
            <color indexed="81"/>
            <rFont val="Tahoma"/>
            <family val="2"/>
          </rPr>
          <t xml:space="preserve">
(A) Incremento de 2.236878 t desde Genmar V-X (Certificado Nº 58).
(A) Incremento de 25.858782 t desde Berta Elena V-X (Certificado Nº 68).
(A) Incremento de 6.92613 t desde Inostrosa Concha P V-X (Certificado N°343)</t>
        </r>
      </text>
    </comment>
    <comment ref="F88" authorId="1">
      <text>
        <r>
          <rPr>
            <b/>
            <sz val="9"/>
            <color indexed="81"/>
            <rFont val="Tahoma"/>
            <family val="2"/>
          </rPr>
          <t>dcatalan:</t>
        </r>
        <r>
          <rPr>
            <sz val="9"/>
            <color indexed="81"/>
            <rFont val="Tahoma"/>
            <family val="2"/>
          </rPr>
          <t xml:space="preserve">
( C) Cede 133 t a Artesanales VIII Reg (resol N° 1800)</t>
        </r>
      </text>
    </comment>
    <comment ref="F98" authorId="1">
      <text>
        <r>
          <rPr>
            <b/>
            <sz val="9"/>
            <color indexed="81"/>
            <rFont val="Tahoma"/>
            <family val="2"/>
          </rPr>
          <t>dcatalan:</t>
        </r>
        <r>
          <rPr>
            <sz val="9"/>
            <color indexed="81"/>
            <rFont val="Tahoma"/>
            <family val="2"/>
          </rPr>
          <t xml:space="preserve">
Cede 2000 ton por Res N° 3349-15
</t>
        </r>
      </text>
    </comment>
    <comment ref="F107" authorId="0">
      <text>
        <r>
          <rPr>
            <b/>
            <sz val="8"/>
            <color indexed="81"/>
            <rFont val="Tahoma"/>
            <family val="2"/>
          </rPr>
          <t>mmendoza:</t>
        </r>
        <r>
          <rPr>
            <sz val="8"/>
            <color indexed="81"/>
            <rFont val="Tahoma"/>
            <family val="2"/>
          </rPr>
          <t xml:space="preserve">
(T) Incrementa en 5000 ton desde Blumar XIV-X (Cert N°87)
</t>
        </r>
        <r>
          <rPr>
            <b/>
            <sz val="8"/>
            <color indexed="81"/>
            <rFont val="Tahoma"/>
            <family val="2"/>
          </rPr>
          <t>Cert N°91 anula Cert N°87</t>
        </r>
        <r>
          <rPr>
            <sz val="8"/>
            <color indexed="81"/>
            <rFont val="Tahoma"/>
            <family val="2"/>
          </rPr>
          <t xml:space="preserve">
(T) Incrementa en 2000 ton desde Blumar V-IX (Cert N°91 mod por N° 108).
</t>
        </r>
      </text>
    </comment>
    <comment ref="F109" authorId="1">
      <text>
        <r>
          <rPr>
            <b/>
            <sz val="8"/>
            <color indexed="81"/>
            <rFont val="Tahoma"/>
            <family val="2"/>
          </rPr>
          <t>dcatalan:</t>
        </r>
        <r>
          <rPr>
            <sz val="8"/>
            <color indexed="81"/>
            <rFont val="Tahoma"/>
            <family val="2"/>
          </rPr>
          <t xml:space="preserve">
(A) Cede de 153,63286 t a Camanchaca Pesca Sur V-IX (Certificado Nº 261).
</t>
        </r>
      </text>
    </comment>
    <comment ref="F111" authorId="0">
      <text>
        <r>
          <rPr>
            <b/>
            <sz val="8"/>
            <color indexed="81"/>
            <rFont val="Tahoma"/>
            <family val="2"/>
          </rPr>
          <t>mmendoza:</t>
        </r>
        <r>
          <rPr>
            <sz val="8"/>
            <color indexed="81"/>
            <rFont val="Tahoma"/>
            <family val="2"/>
          </rPr>
          <t xml:space="preserve">
(T) Incrementa en 600 ton desde Foodcorp XIV-X (Cert N°88)
(T) Incrementa en 1600 ton desde Foodcorp XIV-X (Cert N°89)</t>
        </r>
      </text>
    </comment>
    <comment ref="F113" authorId="0">
      <text>
        <r>
          <rPr>
            <b/>
            <sz val="8"/>
            <color indexed="81"/>
            <rFont val="Tahoma"/>
            <family val="2"/>
          </rPr>
          <t>mmendoza:</t>
        </r>
        <r>
          <rPr>
            <sz val="8"/>
            <color indexed="81"/>
            <rFont val="Tahoma"/>
            <family val="2"/>
          </rPr>
          <t xml:space="preserve">
(Co)Cede 52.298 t a Pesquera Centro Sur III-IV (Certificado N°15)</t>
        </r>
      </text>
    </comment>
    <comment ref="F121" authorId="0">
      <text>
        <r>
          <rPr>
            <b/>
            <sz val="8"/>
            <color indexed="81"/>
            <rFont val="Tahoma"/>
            <family val="2"/>
          </rPr>
          <t>mmendoza:</t>
        </r>
        <r>
          <rPr>
            <sz val="8"/>
            <color indexed="81"/>
            <rFont val="Tahoma"/>
            <family val="2"/>
          </rPr>
          <t xml:space="preserve">
</t>
        </r>
        <r>
          <rPr>
            <sz val="10"/>
            <color indexed="81"/>
            <rFont val="Tahoma"/>
            <family val="2"/>
          </rPr>
          <t>(T) Incrementa en 3000 ton desde Orizon XIV-X (Cert N°85)
(T) Incrementa en 4000 ton desde Orizon V-IX (Cert N°90)
(C ) Cede 1000 ton a Artesanales  IV (Resol N° 2004)
(T) Cede 130 ton a Orizon V-IX (Cert N°148)</t>
        </r>
      </text>
    </comment>
    <comment ref="F123" authorId="0">
      <text>
        <r>
          <rPr>
            <b/>
            <sz val="8"/>
            <color indexed="81"/>
            <rFont val="Tahoma"/>
            <family val="2"/>
          </rPr>
          <t>mmendoza:</t>
        </r>
        <r>
          <rPr>
            <sz val="8"/>
            <color indexed="81"/>
            <rFont val="Tahoma"/>
            <family val="2"/>
          </rPr>
          <t xml:space="preserve">
(T) Incrementa en 1000 ton desde Camanchaca PS V-IX (Certificado N°92)</t>
        </r>
      </text>
    </comment>
    <comment ref="F125" authorId="0">
      <text>
        <r>
          <rPr>
            <b/>
            <sz val="8"/>
            <color indexed="81"/>
            <rFont val="Tahoma"/>
            <family val="2"/>
          </rPr>
          <t>mmendoza:</t>
        </r>
        <r>
          <rPr>
            <sz val="8"/>
            <color indexed="81"/>
            <rFont val="Tahoma"/>
            <family val="2"/>
          </rPr>
          <t xml:space="preserve">
(Co)Incrementa en 52.298 t desde Inversiones Pesqueras Spa III-IV (Certificado N°15)
</t>
        </r>
      </text>
    </comment>
    <comment ref="F129" authorId="1">
      <text>
        <r>
          <rPr>
            <b/>
            <sz val="9"/>
            <color indexed="81"/>
            <rFont val="Tahoma"/>
            <family val="2"/>
          </rPr>
          <t>dcatalan:</t>
        </r>
        <r>
          <rPr>
            <sz val="9"/>
            <color indexed="81"/>
            <rFont val="Tahoma"/>
            <family val="2"/>
          </rPr>
          <t xml:space="preserve">
(A) Incremento de 553,459 t desde San antonio V-IX (Cert N° 104).
(A) Incremento de 2587,588 desde Mar Profundo V-IX (Cert N° 105).
(A) Incremento de 1527,781 desde Isla quihua V-IX (Cert N° 109)
(A) Cede 2390.397 ton a Foodcorp V-IX (Cert N°118)
( C) Incremento de 175 ton desde Artesanales V Reg (Res N°2327)
(A) Incremento de 764.47 desde Foodcorp V-IX (Cert N° 122)
( C) Incremento de 91.541 ton desde Artesanales V Reg (Res N°3216)</t>
        </r>
      </text>
    </comment>
    <comment ref="F131" authorId="1">
      <text>
        <r>
          <rPr>
            <b/>
            <sz val="8"/>
            <color indexed="81"/>
            <rFont val="Tahoma"/>
            <family val="2"/>
          </rPr>
          <t>dcatalan:</t>
        </r>
        <r>
          <rPr>
            <sz val="8"/>
            <color indexed="81"/>
            <rFont val="Tahoma"/>
            <family val="2"/>
          </rPr>
          <t xml:space="preserve">
(A) Cede 282,457 t a Lota Protein V-IX (Certificado Nº 66).</t>
        </r>
      </text>
    </comment>
    <comment ref="F133" authorId="0">
      <text>
        <r>
          <rPr>
            <b/>
            <sz val="8"/>
            <color indexed="81"/>
            <rFont val="Tahoma"/>
            <family val="2"/>
          </rPr>
          <t xml:space="preserve">mmendoza:
</t>
        </r>
        <r>
          <rPr>
            <sz val="8"/>
            <color indexed="81"/>
            <rFont val="Tahoma"/>
            <family val="2"/>
          </rPr>
          <t>(C ) Cede 1000t a Artesanales (Resol N°532).
(C ) Cede 4000 t a Artesanales (Resol Nº 660).
(T) Cede 2000 ton a Blumar III-IV (Cert N°91 mod por N° 108)
( C) Cede 2000 ton a Artesanales (Resol N°1559)
( C) Cede 200 ton a Artesanales III Reg (Resol N°2636)
(T) Incremento de 200 ton desde Blumar XIV-X (Certificado N°150)</t>
        </r>
      </text>
    </comment>
    <comment ref="F135" authorId="1">
      <text>
        <r>
          <rPr>
            <b/>
            <sz val="8"/>
            <color indexed="81"/>
            <rFont val="Tahoma"/>
            <family val="2"/>
          </rPr>
          <t>dcatalan:</t>
        </r>
        <r>
          <rPr>
            <sz val="8"/>
            <color indexed="81"/>
            <rFont val="Tahoma"/>
            <family val="2"/>
          </rPr>
          <t xml:space="preserve">
(A) Incremento de 150,0754764 t desde Camanchaca CIA XIV-X (Certificado Nº 259).
(A) Incremento de 521,9643681 t desde Camanchaca CIA V-IX (Certificado Nº 260).
(A) Incremento de 153,63286 t desde Camanchaca CIA III-IV (Certificado Nº261)
(T) Cede 1000 ton a Camanchaca PS III-IV (Certificado N°92)</t>
        </r>
      </text>
    </comment>
    <comment ref="F137" authorId="1">
      <text>
        <r>
          <rPr>
            <b/>
            <sz val="8"/>
            <color indexed="81"/>
            <rFont val="Tahoma"/>
            <family val="2"/>
          </rPr>
          <t>dcatalan:</t>
        </r>
        <r>
          <rPr>
            <sz val="8"/>
            <color indexed="81"/>
            <rFont val="Tahoma"/>
            <family val="2"/>
          </rPr>
          <t xml:space="preserve">
(A) Cede 521,96436 t a Camanchaca Pesca Sur V-IX (certificado Nº 260).</t>
        </r>
      </text>
    </comment>
    <comment ref="F139" authorId="0">
      <text>
        <r>
          <rPr>
            <b/>
            <sz val="8"/>
            <color indexed="81"/>
            <rFont val="Tahoma"/>
            <family val="2"/>
          </rPr>
          <t>mmendoza:</t>
        </r>
        <r>
          <rPr>
            <sz val="8"/>
            <color indexed="81"/>
            <rFont val="Tahoma"/>
            <family val="2"/>
          </rPr>
          <t xml:space="preserve">
(Co)Cede 1033,074 t a Inversiones Pesqueras Spa V-IX (Certificado N°18)</t>
        </r>
      </text>
    </comment>
    <comment ref="F141" authorId="1">
      <text>
        <r>
          <rPr>
            <b/>
            <sz val="8"/>
            <color indexed="81"/>
            <rFont val="Tahoma"/>
            <family val="2"/>
          </rPr>
          <t>dcatalan:</t>
        </r>
        <r>
          <rPr>
            <sz val="8"/>
            <color indexed="81"/>
            <rFont val="Tahoma"/>
            <family val="2"/>
          </rPr>
          <t xml:space="preserve">
(Co) Cede 1033,074 t a Inversiones Pesqueras V-IX ( Certificado Nº20)</t>
        </r>
      </text>
    </comment>
    <comment ref="F143" authorId="0">
      <text>
        <r>
          <rPr>
            <b/>
            <sz val="8"/>
            <color indexed="81"/>
            <rFont val="Tahoma"/>
            <family val="2"/>
          </rPr>
          <t>mmendoza:</t>
        </r>
        <r>
          <rPr>
            <sz val="8"/>
            <color indexed="81"/>
            <rFont val="Tahoma"/>
            <family val="2"/>
          </rPr>
          <t xml:space="preserve">
(Co) Cede 1033,074 t a Pesquera Centro Sur V-IX (Certificado N°12)
</t>
        </r>
      </text>
    </comment>
    <comment ref="F145" authorId="0">
      <text>
        <r>
          <rPr>
            <b/>
            <sz val="8"/>
            <color indexed="81"/>
            <rFont val="Tahoma"/>
            <family val="2"/>
          </rPr>
          <t>mmendoza:</t>
        </r>
        <r>
          <rPr>
            <sz val="8"/>
            <color indexed="81"/>
            <rFont val="Tahoma"/>
            <family val="2"/>
          </rPr>
          <t xml:space="preserve">
(Co)Cede 1033,074 t a Pesquera Centro Sur V-IX (Certificado N°13)</t>
        </r>
      </text>
    </comment>
    <comment ref="F147" authorId="1">
      <text>
        <r>
          <rPr>
            <b/>
            <sz val="8"/>
            <color indexed="81"/>
            <rFont val="Tahoma"/>
            <family val="2"/>
          </rPr>
          <t>dcatalan:</t>
        </r>
        <r>
          <rPr>
            <sz val="8"/>
            <color indexed="81"/>
            <rFont val="Tahoma"/>
            <family val="2"/>
          </rPr>
          <t xml:space="preserve">
(Co) Cede 1033,074397 t a Centro sur V-IX (Certificado Nº 32).</t>
        </r>
      </text>
    </comment>
    <comment ref="F149" authorId="0">
      <text>
        <r>
          <rPr>
            <b/>
            <sz val="8"/>
            <color indexed="81"/>
            <rFont val="Tahoma"/>
            <family val="2"/>
          </rPr>
          <t>mmendoza:</t>
        </r>
        <r>
          <rPr>
            <sz val="8"/>
            <color indexed="81"/>
            <rFont val="Tahoma"/>
            <family val="2"/>
          </rPr>
          <t xml:space="preserve">
(Co) Cede 1033.074 ton, a Inversiones Pesqueras Jurel V-IX (Cert N°81)</t>
        </r>
      </text>
    </comment>
    <comment ref="F151" authorId="0">
      <text>
        <r>
          <rPr>
            <b/>
            <sz val="8"/>
            <color indexed="81"/>
            <rFont val="Tahoma"/>
            <family val="2"/>
          </rPr>
          <t>mmendoza:</t>
        </r>
        <r>
          <rPr>
            <sz val="8"/>
            <color indexed="81"/>
            <rFont val="Tahoma"/>
            <family val="2"/>
          </rPr>
          <t xml:space="preserve">
( C) Cede 1033.074 ton a Pesquera Centro sur V-IX (Cert N°83)</t>
        </r>
      </text>
    </comment>
    <comment ref="F153" authorId="0">
      <text>
        <r>
          <rPr>
            <b/>
            <sz val="8"/>
            <color indexed="81"/>
            <rFont val="Tahoma"/>
            <family val="2"/>
          </rPr>
          <t>mmendoza:</t>
        </r>
        <r>
          <rPr>
            <sz val="8"/>
            <color indexed="81"/>
            <rFont val="Tahoma"/>
            <family val="2"/>
          </rPr>
          <t xml:space="preserve">
(Co)Incrementa en 1033,074 t desde Operaciones Braga V-IX (Certificado N°12)
(Co)Incrementa en 1033,074 t desde MV Inversiones V-IX (Certificado N°13)
(Co)Incremento en 1033,074 desde LM Inversiones V-IX (Certificado Nº 32).
(C )Cede 2000 ton a artesanales III Región (Resolución N°909) 
( C) Incremento de 939.847 ton desde Inversiones Santa Victoria V-IX (Cert N°82)
( C) Incremento de 1033.074 ton desde operaciones Sanse V-IX (Cert N°83)
(SCo) Incremento de 479,98 ton desde Inv. Pesq. XIV-X) (Certificado N° 120)</t>
        </r>
      </text>
    </comment>
    <comment ref="F155" authorId="0">
      <text>
        <r>
          <rPr>
            <b/>
            <sz val="8"/>
            <color indexed="81"/>
            <rFont val="Tahoma"/>
            <family val="2"/>
          </rPr>
          <t>mmendoza:</t>
        </r>
        <r>
          <rPr>
            <sz val="8"/>
            <color indexed="81"/>
            <rFont val="Tahoma"/>
            <family val="2"/>
          </rPr>
          <t xml:space="preserve">
</t>
        </r>
        <r>
          <rPr>
            <sz val="11"/>
            <color indexed="81"/>
            <rFont val="Tahoma"/>
            <family val="2"/>
          </rPr>
          <t>(A) Cede 6.055 t a Lota Protein V-IX (Certificado N°01)</t>
        </r>
      </text>
    </comment>
    <comment ref="F157" authorId="0">
      <text>
        <r>
          <rPr>
            <b/>
            <sz val="8"/>
            <color indexed="81"/>
            <rFont val="Tahoma"/>
            <family val="2"/>
          </rPr>
          <t>mmendoza:</t>
        </r>
        <r>
          <rPr>
            <sz val="8"/>
            <color indexed="81"/>
            <rFont val="Tahoma"/>
            <family val="2"/>
          </rPr>
          <t xml:space="preserve">
(A) Cede 24,370 t a Lota Protein V-IX (Certificado N°05)</t>
        </r>
      </text>
    </comment>
    <comment ref="F159" authorId="0">
      <text>
        <r>
          <rPr>
            <b/>
            <sz val="8"/>
            <color indexed="81"/>
            <rFont val="Tahoma"/>
            <family val="2"/>
          </rPr>
          <t>mmendoza:</t>
        </r>
        <r>
          <rPr>
            <sz val="8"/>
            <color indexed="81"/>
            <rFont val="Tahoma"/>
            <family val="2"/>
          </rPr>
          <t xml:space="preserve">
(A) Incremento de 2390.397 ton desde Alimar V-IX (Cert N°118)
( C) Incremento de 175 ton desde artesanales V Reg (Res N°2327)
(A) Cede 764.47 ton a Alimar V-IX (Cert N°122)
</t>
        </r>
      </text>
    </comment>
    <comment ref="F161" authorId="1">
      <text>
        <r>
          <rPr>
            <b/>
            <sz val="8"/>
            <color indexed="81"/>
            <rFont val="Tahoma"/>
            <family val="2"/>
          </rPr>
          <t>dcatalan:</t>
        </r>
        <r>
          <rPr>
            <sz val="8"/>
            <color indexed="81"/>
            <rFont val="Tahoma"/>
            <family val="2"/>
          </rPr>
          <t xml:space="preserve">
(A) Cede 28,307517 t a Lota protein V-IX (Certificado Nº 56).</t>
        </r>
      </text>
    </comment>
    <comment ref="F163" authorId="1">
      <text>
        <r>
          <rPr>
            <b/>
            <sz val="8"/>
            <color indexed="81"/>
            <rFont val="Tahoma"/>
            <family val="2"/>
          </rPr>
          <t>dcatalan:</t>
        </r>
        <r>
          <rPr>
            <sz val="8"/>
            <color indexed="81"/>
            <rFont val="Tahoma"/>
            <family val="2"/>
          </rPr>
          <t xml:space="preserve">
(A) Cede 33,50003529 t a Lota Protein V-IX (Certificado Nº 341).</t>
        </r>
      </text>
    </comment>
    <comment ref="F165" authorId="0">
      <text>
        <r>
          <rPr>
            <b/>
            <sz val="8"/>
            <color indexed="81"/>
            <rFont val="Tahoma"/>
            <family val="2"/>
          </rPr>
          <t>mmendoza:</t>
        </r>
        <r>
          <rPr>
            <sz val="8"/>
            <color indexed="81"/>
            <rFont val="Tahoma"/>
            <family val="2"/>
          </rPr>
          <t xml:space="preserve">
(Co) Incrementa en 1033,074 t desde ME Inversiones Spa V-IX (Certificado N°18).
(Co) Incremento de 1033,074 t desde Cabo Austral V-IX (Certificado Nº20).
(Co) Incremento de 1126.714 desde Adustinas Inversiones V-IX (Certificado Nº33).
(C ) Incremento de 1900 desde Artesanales V Región (Resolución Nº 670).
(C) Cede 3000 t a artesanales III Región (Resolución N°909).
( C) Incremento de 1033.074 ton desde CE Inversiones SpA V-IX (Cert N°81)
(C ) Incremento de 175,07 ton desde Inv. Delta XIV-X (Cert N° 146)</t>
        </r>
      </text>
    </comment>
    <comment ref="F167" authorId="1">
      <text>
        <r>
          <rPr>
            <b/>
            <sz val="9"/>
            <color indexed="81"/>
            <rFont val="Tahoma"/>
            <family val="2"/>
          </rPr>
          <t>dcatalan:</t>
        </r>
        <r>
          <rPr>
            <sz val="9"/>
            <color indexed="81"/>
            <rFont val="Tahoma"/>
            <family val="2"/>
          </rPr>
          <t xml:space="preserve">
(A) Cede 1527,781 t a Alimar V.IX (Certificado N° 109)</t>
        </r>
      </text>
    </comment>
    <comment ref="F169" authorId="0">
      <text>
        <r>
          <rPr>
            <b/>
            <sz val="8"/>
            <color indexed="81"/>
            <rFont val="Tahoma"/>
            <family val="2"/>
          </rPr>
          <t>mmendoza:</t>
        </r>
        <r>
          <rPr>
            <sz val="8"/>
            <color indexed="81"/>
            <rFont val="Tahoma"/>
            <family val="2"/>
          </rPr>
          <t xml:space="preserve">
( C) Incrementa en 366.939 ton desde Artesanales X (Resol N°1147/2015)</t>
        </r>
      </text>
    </comment>
    <comment ref="F171" authorId="1">
      <text>
        <r>
          <rPr>
            <b/>
            <sz val="8"/>
            <color indexed="81"/>
            <rFont val="Tahoma"/>
            <family val="2"/>
          </rPr>
          <t>dcatalan:</t>
        </r>
        <r>
          <rPr>
            <sz val="8"/>
            <color indexed="81"/>
            <rFont val="Tahoma"/>
            <family val="2"/>
          </rPr>
          <t xml:space="preserve">
(A) Incremento de 28,307517 t desde Genmar V-IX (Certificado Nº56).
(A) Incremento de 282,4565289 t desde Berta Elena V-IX (Certificado Nº 66).
(A) Incremento de 33,5003529 t desde Inostroza C. V-IX (Certificado Nº 341)
(A) Incremento de 6.055 t desde Da Venezia V-IX (Certificado N°01)
(A) Incremento de 13,891 t desde Soc. Nordio V-IX (Certificado N°03)
(A) Incremento de 24,37071 t desde Pesquera Enfemar V-IX (Certificado N°05)</t>
        </r>
      </text>
    </comment>
    <comment ref="F173" authorId="1">
      <text>
        <r>
          <rPr>
            <b/>
            <sz val="9"/>
            <color indexed="81"/>
            <rFont val="Tahoma"/>
            <family val="2"/>
          </rPr>
          <t>dcatalan:</t>
        </r>
        <r>
          <rPr>
            <sz val="9"/>
            <color indexed="81"/>
            <rFont val="Tahoma"/>
            <family val="2"/>
          </rPr>
          <t xml:space="preserve">
(A) Cede 2587,588 t a Alimar V-IX (Cert N° 105).</t>
        </r>
      </text>
    </comment>
    <comment ref="F175" authorId="0">
      <text>
        <r>
          <rPr>
            <b/>
            <sz val="8"/>
            <color indexed="81"/>
            <rFont val="Tahoma"/>
            <family val="2"/>
          </rPr>
          <t>mmendoza:</t>
        </r>
        <r>
          <rPr>
            <sz val="8"/>
            <color indexed="81"/>
            <rFont val="Tahoma"/>
            <family val="2"/>
          </rPr>
          <t xml:space="preserve">
(A) Cede 13,891 t a Lota Protein V-IX (Certificado N°03)</t>
        </r>
      </text>
    </comment>
    <comment ref="F177" authorId="0">
      <text>
        <r>
          <rPr>
            <b/>
            <sz val="8"/>
            <color indexed="81"/>
            <rFont val="Tahoma"/>
            <family val="2"/>
          </rPr>
          <t>mmendoza:</t>
        </r>
        <r>
          <rPr>
            <sz val="8"/>
            <color indexed="81"/>
            <rFont val="Tahoma"/>
            <family val="2"/>
          </rPr>
          <t xml:space="preserve">
(T) Cede 4000 ton  a Orizon III-IV (Cert N°90)
( T) Cede 4000 ton a Orizon XIV-X (Cert N°95)
(T) Incrementa en 390 ton desde Orizon XIV-X (Cert N°147)
(T) Incrementa en 130 ton desde Orizon III-IV (Cert N°148)</t>
        </r>
      </text>
    </comment>
    <comment ref="F179" authorId="0">
      <text>
        <r>
          <rPr>
            <b/>
            <sz val="8"/>
            <color indexed="81"/>
            <rFont val="Tahoma"/>
            <family val="2"/>
          </rPr>
          <t>mmendoza:</t>
        </r>
        <r>
          <rPr>
            <sz val="8"/>
            <color indexed="81"/>
            <rFont val="Tahoma"/>
            <family val="2"/>
          </rPr>
          <t xml:space="preserve">
( C) Cede 939.847 ton, a Pesquera Centro sur V-IX (Cert N°82)</t>
        </r>
      </text>
    </comment>
    <comment ref="F181" authorId="1">
      <text>
        <r>
          <rPr>
            <b/>
            <sz val="9"/>
            <color indexed="81"/>
            <rFont val="Tahoma"/>
            <family val="2"/>
          </rPr>
          <t>dcatalan:</t>
        </r>
        <r>
          <rPr>
            <sz val="9"/>
            <color indexed="81"/>
            <rFont val="Tahoma"/>
            <family val="2"/>
          </rPr>
          <t xml:space="preserve">
(A) Cede 553,459 t a Alimar V-IX (Cert N° 104).</t>
        </r>
      </text>
    </comment>
    <comment ref="F185" authorId="1">
      <text>
        <r>
          <rPr>
            <b/>
            <sz val="8"/>
            <color indexed="81"/>
            <rFont val="Tahoma"/>
            <family val="2"/>
          </rPr>
          <t>dcatalan:</t>
        </r>
        <r>
          <rPr>
            <sz val="8"/>
            <color indexed="81"/>
            <rFont val="Tahoma"/>
            <family val="2"/>
          </rPr>
          <t xml:space="preserve">
(Co) Cede 1178.107 t a Inversiones Pesq V-IX (Certificado Nº 33)</t>
        </r>
      </text>
    </comment>
    <comment ref="F195" authorId="1">
      <text>
        <r>
          <rPr>
            <b/>
            <sz val="8"/>
            <color indexed="81"/>
            <rFont val="Tahoma"/>
            <family val="2"/>
          </rPr>
          <t>dcatalan:</t>
        </r>
        <r>
          <rPr>
            <sz val="8"/>
            <color indexed="81"/>
            <rFont val="Tahoma"/>
            <family val="2"/>
          </rPr>
          <t xml:space="preserve">
(C ) Incremento de 210 t desde artesanales X Región (Resolución Nº 679).
(C ) Incremento de 713 t desde artesanales X Región (Resolución N°960).
( C) Incremento de 1238.955 ton desde artesanales X Reg. (Res N°968)
(A) Incremento de 58.159 ton desde San antonio XIV-X (Cert N°115)
(A) Cede 478.337 ton a Foodcorp XIV-X (Cert N°117)
(A) Incremento de 213.79 t desde Foodcorp XIV-X (Cert N°123)
(C ) Incremento de 100 t desde artesanales X Región (Res. N°3076)</t>
        </r>
      </text>
    </comment>
    <comment ref="F199" authorId="1">
      <text>
        <r>
          <rPr>
            <b/>
            <sz val="8"/>
            <color indexed="81"/>
            <rFont val="Tahoma"/>
            <family val="2"/>
          </rPr>
          <t>dcatalan:</t>
        </r>
        <r>
          <rPr>
            <sz val="8"/>
            <color indexed="81"/>
            <rFont val="Tahoma"/>
            <family val="2"/>
          </rPr>
          <t xml:space="preserve">
(A) Cede 24,1584144 t a Lota Protein XIV-X (Certificado Nº 67).</t>
        </r>
      </text>
    </comment>
    <comment ref="F203" authorId="0">
      <text>
        <r>
          <rPr>
            <b/>
            <sz val="8"/>
            <color indexed="81"/>
            <rFont val="Tahoma"/>
            <family val="2"/>
          </rPr>
          <t>mmendoza:</t>
        </r>
        <r>
          <rPr>
            <sz val="8"/>
            <color indexed="81"/>
            <rFont val="Tahoma"/>
            <family val="2"/>
          </rPr>
          <t xml:space="preserve">
(T) Traspaso de 200 ton a Blumar V-IX (Certificado N°150)</t>
        </r>
      </text>
    </comment>
    <comment ref="F207" authorId="1">
      <text>
        <r>
          <rPr>
            <b/>
            <sz val="8"/>
            <color indexed="81"/>
            <rFont val="Tahoma"/>
            <family val="2"/>
          </rPr>
          <t>dcatalan:</t>
        </r>
        <r>
          <rPr>
            <sz val="8"/>
            <color indexed="81"/>
            <rFont val="Tahoma"/>
            <family val="2"/>
          </rPr>
          <t xml:space="preserve">
(A) Cede 150,0754764 t a Camanchaca Pesca Sur V-IX (Certificado Nº 259).</t>
        </r>
      </text>
    </comment>
    <comment ref="F209" authorId="0">
      <text>
        <r>
          <rPr>
            <b/>
            <sz val="8"/>
            <color indexed="81"/>
            <rFont val="Tahoma"/>
            <family val="2"/>
          </rPr>
          <t>mmendoza:</t>
        </r>
        <r>
          <rPr>
            <sz val="8"/>
            <color indexed="81"/>
            <rFont val="Tahoma"/>
            <family val="2"/>
          </rPr>
          <t xml:space="preserve">
(Co)Cede 479.980 t a Inversiones Pesqueras XIV-X (Certificado N°19)</t>
        </r>
      </text>
    </comment>
    <comment ref="F211" authorId="0">
      <text>
        <r>
          <rPr>
            <b/>
            <sz val="8"/>
            <color indexed="81"/>
            <rFont val="Tahoma"/>
            <family val="2"/>
          </rPr>
          <t>mmendoza:</t>
        </r>
        <r>
          <rPr>
            <sz val="8"/>
            <color indexed="81"/>
            <rFont val="Tahoma"/>
            <family val="2"/>
          </rPr>
          <t xml:space="preserve">
(Co)Incrementa en 135,476 t desde Inversiones Progreso SpA XIV-X (Certificado N°14)
( C) Cede 400.012 ton a Artesanales III Reg ((Res N°2239)</t>
        </r>
      </text>
    </comment>
    <comment ref="F213" authorId="0">
      <text>
        <r>
          <rPr>
            <b/>
            <sz val="8"/>
            <color indexed="81"/>
            <rFont val="Tahoma"/>
            <family val="2"/>
          </rPr>
          <t>mmendoza:</t>
        </r>
        <r>
          <rPr>
            <sz val="8"/>
            <color indexed="81"/>
            <rFont val="Tahoma"/>
            <family val="2"/>
          </rPr>
          <t xml:space="preserve">
(A) Cede 2.289 t a Lota Protein XIV-X (Certificado N°02)</t>
        </r>
      </text>
    </comment>
    <comment ref="F215" authorId="0">
      <text>
        <r>
          <rPr>
            <b/>
            <sz val="8"/>
            <color indexed="81"/>
            <rFont val="Tahoma"/>
            <family val="2"/>
          </rPr>
          <t>mmendoza:</t>
        </r>
        <r>
          <rPr>
            <sz val="8"/>
            <color indexed="81"/>
            <rFont val="Tahoma"/>
            <family val="2"/>
          </rPr>
          <t xml:space="preserve">
(A) Cede 6,820 t a Lota Protein XIV-X (Certificado N°06)</t>
        </r>
      </text>
    </comment>
    <comment ref="F217" authorId="1">
      <text>
        <r>
          <rPr>
            <b/>
            <sz val="8"/>
            <color indexed="81"/>
            <rFont val="Tahoma"/>
            <family val="2"/>
          </rPr>
          <t>dcatalan:</t>
        </r>
        <r>
          <rPr>
            <sz val="8"/>
            <color indexed="81"/>
            <rFont val="Tahoma"/>
            <family val="2"/>
          </rPr>
          <t xml:space="preserve">
(C ) Incremento de 210 t desde artesanales X Región (Resolución Nº 680).
(C ) Incremento de 587 t desde artesanales X Región (Resolución N°959).
(C ) Incremento de 100 t desde artesanales X Región (Resolución N°958)
( C) Incremento de 1239.955 ton desde artesanales X Reg. (Res N°968)
 (C) Incrementa en 25 ton desde Armadores Art X Reg, Calbuco (Res N°984)
( C) Incrementa en 45 ton desde Armadores X (Res N°1199)
(T) Cede 600 ton a Foodcorp III-IV (Cert N°88)
(T) Cede 1600 ton a Foodcorp III-IV (Cert N°89)
(A) Incremento de 478.337 ton desde Alimar XIV-X (Cert N°117)
(A) Cede 213.79 t a Alimar XIV-X (Cert N°123)</t>
        </r>
      </text>
    </comment>
    <comment ref="F219" authorId="1">
      <text>
        <r>
          <rPr>
            <b/>
            <sz val="8"/>
            <color indexed="81"/>
            <rFont val="Tahoma"/>
            <family val="2"/>
          </rPr>
          <t>dcatalan:</t>
        </r>
        <r>
          <rPr>
            <sz val="8"/>
            <color indexed="81"/>
            <rFont val="Tahoma"/>
            <family val="2"/>
          </rPr>
          <t xml:space="preserve">
(A) Cede 7.411524 t a Lota Protein XIV-X (Certificado Nº 57).</t>
        </r>
      </text>
    </comment>
    <comment ref="F221" authorId="1">
      <text>
        <r>
          <rPr>
            <b/>
            <sz val="8"/>
            <color indexed="81"/>
            <rFont val="Tahoma"/>
            <family val="2"/>
          </rPr>
          <t>dcatalan:</t>
        </r>
        <r>
          <rPr>
            <sz val="8"/>
            <color indexed="81"/>
            <rFont val="Tahoma"/>
            <family val="2"/>
          </rPr>
          <t xml:space="preserve">
(A) Cede 7,8767154 t a Lota Protein XIV-X (Certificado Nº 340).</t>
        </r>
      </text>
    </comment>
    <comment ref="F223" authorId="0">
      <text>
        <r>
          <rPr>
            <b/>
            <sz val="8"/>
            <color indexed="81"/>
            <rFont val="Tahoma"/>
            <family val="2"/>
          </rPr>
          <t>mmendoza:</t>
        </r>
        <r>
          <rPr>
            <sz val="8"/>
            <color indexed="81"/>
            <rFont val="Tahoma"/>
            <family val="2"/>
          </rPr>
          <t xml:space="preserve">
(Co)Cede 135,476 t a Pesquera Centro Sur XIV-X (Certificado N°14)</t>
        </r>
      </text>
    </comment>
    <comment ref="F225" authorId="0">
      <text>
        <r>
          <rPr>
            <b/>
            <sz val="8"/>
            <color indexed="81"/>
            <rFont val="Tahoma"/>
            <family val="2"/>
          </rPr>
          <t>mmendoza:</t>
        </r>
        <r>
          <rPr>
            <sz val="8"/>
            <color indexed="81"/>
            <rFont val="Tahoma"/>
            <family val="2"/>
          </rPr>
          <t xml:space="preserve">
(Co)Incrementa en 479,980 t desde Inversiones Garo Spa XIV-X (Certificado N°19)
(Sco) Cede 479,98 t a Pesq. Centro sur V-IX (Certificado N° 120)
</t>
        </r>
      </text>
    </comment>
    <comment ref="F229" authorId="1">
      <text>
        <r>
          <rPr>
            <b/>
            <sz val="8"/>
            <color indexed="81"/>
            <rFont val="Tahoma"/>
            <family val="2"/>
          </rPr>
          <t>dcatalan:</t>
        </r>
        <r>
          <rPr>
            <sz val="8"/>
            <color indexed="81"/>
            <rFont val="Tahoma"/>
            <family val="2"/>
          </rPr>
          <t xml:space="preserve">
(A) Incremento de 7,411524 t desde Genmar XIV-X (Certificado Nº57).
(A) Incremento de 24,1584144 desde Berta Elena XIV-X (Certificado Nº 67).
(A) Incremento de 7,8767154 desde Inostroza C. XIV-X (Certificado Nº 340).
(A) Incremento de 2,289 t desde Da Venezia XIV-X (Certificado N°02)
(A) Incremento de 5,238 t desde Soc. Nordio XIV-X (Certificado N°04)
(A) Incremento de 6,820 t desde Pesquera Enfemar XIV-X (Certificado N°06)
( C) Incremento de 96 ton desde Artesanales X Reg (Res N°3463)</t>
        </r>
      </text>
    </comment>
    <comment ref="F231" authorId="0">
      <text>
        <r>
          <rPr>
            <b/>
            <sz val="8"/>
            <color indexed="81"/>
            <rFont val="Tahoma"/>
            <family val="2"/>
          </rPr>
          <t>mmendoza:</t>
        </r>
        <r>
          <rPr>
            <sz val="8"/>
            <color indexed="81"/>
            <rFont val="Tahoma"/>
            <family val="2"/>
          </rPr>
          <t xml:space="preserve">
(A) Cede 5.238 t a Lota Protein XIV-X (Certificado N°04)</t>
        </r>
      </text>
    </comment>
    <comment ref="F233" authorId="0">
      <text>
        <r>
          <rPr>
            <b/>
            <sz val="10"/>
            <color indexed="81"/>
            <rFont val="Tahoma"/>
            <family val="2"/>
          </rPr>
          <t>mmendoza:</t>
        </r>
        <r>
          <rPr>
            <sz val="10"/>
            <color indexed="81"/>
            <rFont val="Tahoma"/>
            <family val="2"/>
          </rPr>
          <t xml:space="preserve">
(T) Cede 3000 ton a Orizon III-IV (Cert N°85)
(T) Incrementa en 4000 ton desde Orizon V-IX (Cert N°95).
(T) Cede 390 ton a Orizon V-IX (Cert N°147)
</t>
        </r>
      </text>
    </comment>
    <comment ref="F235" authorId="0">
      <text>
        <r>
          <rPr>
            <b/>
            <sz val="8"/>
            <color indexed="81"/>
            <rFont val="Tahoma"/>
            <family val="2"/>
          </rPr>
          <t>mmendoza:</t>
        </r>
        <r>
          <rPr>
            <sz val="8"/>
            <color indexed="81"/>
            <rFont val="Tahoma"/>
            <family val="2"/>
          </rPr>
          <t xml:space="preserve">
(Co) Cede 175.07 ton a Inversiones Pesqueras SpA V-IX (Cert N° 146)</t>
        </r>
      </text>
    </comment>
    <comment ref="F237" authorId="0">
      <text>
        <r>
          <rPr>
            <b/>
            <sz val="8"/>
            <color indexed="81"/>
            <rFont val="Tahoma"/>
            <family val="2"/>
          </rPr>
          <t>mmendoza:</t>
        </r>
        <r>
          <rPr>
            <sz val="8"/>
            <color indexed="81"/>
            <rFont val="Tahoma"/>
            <family val="2"/>
          </rPr>
          <t xml:space="preserve">
(A) Cede 58.159 ton a Alimar XIV-X (Cert N°115)</t>
        </r>
      </text>
    </comment>
    <comment ref="A249" authorId="1">
      <text>
        <r>
          <rPr>
            <b/>
            <sz val="9"/>
            <color indexed="81"/>
            <rFont val="Tahoma"/>
            <family val="2"/>
          </rPr>
          <t>dcatalan:</t>
        </r>
        <r>
          <rPr>
            <sz val="9"/>
            <color indexed="81"/>
            <rFont val="Tahoma"/>
            <family val="2"/>
          </rPr>
          <t xml:space="preserve">
Res N° 3510 modificada por Res N° 1404</t>
        </r>
      </text>
    </comment>
    <comment ref="F249" authorId="0">
      <text>
        <r>
          <rPr>
            <b/>
            <sz val="8"/>
            <color indexed="81"/>
            <rFont val="Tahoma"/>
            <family val="2"/>
          </rPr>
          <t>mmendoza:</t>
        </r>
        <r>
          <rPr>
            <sz val="8"/>
            <color indexed="81"/>
            <rFont val="Tahoma"/>
            <family val="2"/>
          </rPr>
          <t xml:space="preserve">
( C) Cede 394,82 ton a Artesanales VIII Reg (Resol N°727 mod por Res N° 977)
( C) Cede 1052.864 ton a Artesanales VIII Reg (Resol N°847)
( C) Cede 200 ton a Artesanales VIII Reg (Resol N° 1800)
( C) Cede 35 ton a Artesanales VIII Reg (Resol N°2148)
( C) Cede 947.336 ton a Artesanales VIII Reg (Res N°3091)
( C) Cede 1483.652 ton a Artesanales VIII Reg (Res N°3110)</t>
        </r>
      </text>
    </comment>
    <comment ref="F252" authorId="1">
      <text>
        <r>
          <rPr>
            <b/>
            <sz val="8"/>
            <color indexed="81"/>
            <rFont val="Tahoma"/>
            <family val="2"/>
          </rPr>
          <t>dcatalan:</t>
        </r>
        <r>
          <rPr>
            <sz val="8"/>
            <color indexed="81"/>
            <rFont val="Tahoma"/>
            <family val="2"/>
          </rPr>
          <t xml:space="preserve">
(A) Cede 1790.51591 t a Lota Protein V-X (Certificado Nº69).</t>
        </r>
      </text>
    </comment>
    <comment ref="F255" authorId="1">
      <text>
        <r>
          <rPr>
            <b/>
            <sz val="8"/>
            <color indexed="81"/>
            <rFont val="Tahoma"/>
            <family val="2"/>
          </rPr>
          <t>dcatalan:</t>
        </r>
        <r>
          <rPr>
            <sz val="8"/>
            <color indexed="81"/>
            <rFont val="Tahoma"/>
            <family val="2"/>
          </rPr>
          <t xml:space="preserve">
(C ) Cede 600 t a Artesanales IX Región (Resolución Nº 674).
( C) Cede 6000 ton a Artesanales XIV Region (Resol N°675)
(C ) Incremento de 1500 t desde artesanales VIII (Resol N° 1262)
( C) Cede 1971 ton a Armador Art XIV Reg (Resol N°1424)
( C) Cede 240 ton a Armador Art IX Reg (Resol N°1500)
( C) Cede 300 ton a Armador Art IX Reg (Resol N°3213)
( C) Cede 2680 ton a Artesanales XIV (Res N°3208)</t>
        </r>
      </text>
    </comment>
    <comment ref="F258" authorId="0">
      <text>
        <r>
          <rPr>
            <b/>
            <sz val="8"/>
            <color indexed="81"/>
            <rFont val="Tahoma"/>
            <family val="2"/>
          </rPr>
          <t>mmendoza:</t>
        </r>
        <r>
          <rPr>
            <sz val="8"/>
            <color indexed="81"/>
            <rFont val="Tahoma"/>
            <family val="2"/>
          </rPr>
          <t xml:space="preserve">
( C) Cede 2300 ton a Artesanales XIV Reg (Resol N°635)
( C) Cede 1600 ton a Artesanales XIV Reg (Resol N°2661)
( C) Cede 60 ton a Artesanales XIV Reg (Resol N°3495)</t>
        </r>
      </text>
    </comment>
    <comment ref="F261" authorId="0">
      <text>
        <r>
          <rPr>
            <b/>
            <sz val="8"/>
            <color indexed="81"/>
            <rFont val="Tahoma"/>
            <family val="2"/>
          </rPr>
          <t>mmendoza:</t>
        </r>
        <r>
          <rPr>
            <sz val="8"/>
            <color indexed="81"/>
            <rFont val="Tahoma"/>
            <family val="2"/>
          </rPr>
          <t xml:space="preserve">
( C) Cede 686.679 ton a Armador artesanal VIII (Resol N°1398)</t>
        </r>
      </text>
    </comment>
    <comment ref="F264" authorId="0">
      <text>
        <r>
          <rPr>
            <b/>
            <sz val="8"/>
            <color indexed="81"/>
            <rFont val="Tahoma"/>
            <family val="2"/>
          </rPr>
          <t>mmendoza:</t>
        </r>
        <r>
          <rPr>
            <sz val="8"/>
            <color indexed="81"/>
            <rFont val="Tahoma"/>
            <family val="2"/>
          </rPr>
          <t xml:space="preserve">
(Co) Cede 536.131 ton a Pesquera Centro Sur (Cert N°79). Mod por cert N°134, rescilación parcial de 536.131 a 631.678 ton
( C) Cede 150.548 ton a Armador Art VIII Reg (Res N°1007)
( C) Cede 225.624 t a Artesanales VIII (Res N°3242)</t>
        </r>
      </text>
    </comment>
    <comment ref="F267" authorId="0">
      <text>
        <r>
          <rPr>
            <b/>
            <sz val="8"/>
            <color indexed="81"/>
            <rFont val="Tahoma"/>
            <family val="2"/>
          </rPr>
          <t>mmendoza:</t>
        </r>
        <r>
          <rPr>
            <sz val="8"/>
            <color indexed="81"/>
            <rFont val="Tahoma"/>
            <family val="2"/>
          </rPr>
          <t xml:space="preserve">
( C) Cede 150.548 ton a Armador Art VIII Reg (Res N°1007)
( C) Cede 686.525 ton a Armador artesanal VIII (Resol N°1398)</t>
        </r>
      </text>
    </comment>
    <comment ref="F270" authorId="1">
      <text>
        <r>
          <rPr>
            <b/>
            <sz val="8"/>
            <color indexed="81"/>
            <rFont val="Tahoma"/>
            <family val="2"/>
          </rPr>
          <t>dcatalan:</t>
        </r>
        <r>
          <rPr>
            <sz val="8"/>
            <color indexed="81"/>
            <rFont val="Tahoma"/>
            <family val="2"/>
          </rPr>
          <t xml:space="preserve">
</t>
        </r>
        <r>
          <rPr>
            <sz val="9"/>
            <color indexed="81"/>
            <rFont val="Tahoma"/>
            <family val="2"/>
          </rPr>
          <t xml:space="preserve">
( C) Incrementa en 686.602 t desde Vista Inversiones (Cert N°66). Mod por Cert N°133, rescilación parcial de 686.602 a 700.641 t
( C) Incrementa en 686.602 t desde Inversiones Borebi (Cert N°67)
( C) Incrementa en 264.155 t desde Inversiones Londrina (Cert N°71). Mod por Cert N°132, rescilación parcial de 264.155 a 347.191 ton
(Co) Incrementa en 536.131 ton desde Diapo Inversiones (Cert N°79). Mod por Cert N°134, rescilación parcial de 536.131 a 631.678 ton.
( C) Cede 126.85 ton a Armador artesanal VIII (Resol N°1398)
( C) Cede 500.432 ton a Armador artesanal VIII (Resol N°1411)
( C) Cede 80.359 ton a Armador artesanal VIII (Resol N°3242)
</t>
        </r>
      </text>
    </comment>
    <comment ref="F273" authorId="0">
      <text>
        <r>
          <rPr>
            <b/>
            <sz val="8"/>
            <color indexed="81"/>
            <rFont val="Tahoma"/>
            <family val="2"/>
          </rPr>
          <t>mmendoza:</t>
        </r>
        <r>
          <rPr>
            <sz val="8"/>
            <color indexed="81"/>
            <rFont val="Tahoma"/>
            <family val="2"/>
          </rPr>
          <t xml:space="preserve">
( C) Cede 960 ton a Armanores Art VIII (Resol N°1387).
( C) Cede 128 ton a Armadores Art VIII (Resol N° 1801)
(C ) Cede 71 ton a Armadores Art VIII (Resol N° 2003)
(C ) Cede 765 ton a Armadores Art VIII (Resol N°3090)
</t>
        </r>
      </text>
    </comment>
    <comment ref="F276" authorId="1">
      <text>
        <r>
          <rPr>
            <b/>
            <sz val="8"/>
            <color indexed="81"/>
            <rFont val="Tahoma"/>
            <family val="2"/>
          </rPr>
          <t>dcatalan:</t>
        </r>
        <r>
          <rPr>
            <sz val="8"/>
            <color indexed="81"/>
            <rFont val="Tahoma"/>
            <family val="2"/>
          </rPr>
          <t xml:space="preserve">
(A) Cede 34.9663456 t a Lota protein V-X (Certificado Nº59).</t>
        </r>
      </text>
    </comment>
    <comment ref="F279" authorId="1">
      <text>
        <r>
          <rPr>
            <b/>
            <sz val="8"/>
            <color indexed="81"/>
            <rFont val="Tahoma"/>
            <family val="2"/>
          </rPr>
          <t>dcatalan:</t>
        </r>
        <r>
          <rPr>
            <sz val="8"/>
            <color indexed="81"/>
            <rFont val="Tahoma"/>
            <family val="2"/>
          </rPr>
          <t xml:space="preserve">
(A) Cede 186.3498112 t a Lota Protein V-X (Certificado Nº 339).</t>
        </r>
      </text>
    </comment>
    <comment ref="F282" authorId="0">
      <text>
        <r>
          <rPr>
            <b/>
            <sz val="8"/>
            <color indexed="81"/>
            <rFont val="Tahoma"/>
            <family val="2"/>
          </rPr>
          <t>mmendoza:</t>
        </r>
        <r>
          <rPr>
            <sz val="8"/>
            <color indexed="81"/>
            <rFont val="Tahoma"/>
            <family val="2"/>
          </rPr>
          <t xml:space="preserve">
</t>
        </r>
        <r>
          <rPr>
            <sz val="9"/>
            <color indexed="81"/>
            <rFont val="Tahoma"/>
            <family val="2"/>
          </rPr>
          <t>( C) Cede 686.602 t a Pesquera Centro Sur (Cert N°66). Mod por Cert N°133, rescilación parcial de 686.602 a 700.641 t
( C) Cede 300.83 ton a Armadores Artesanales VIII (Res N°3296)</t>
        </r>
      </text>
    </comment>
    <comment ref="F285" authorId="0">
      <text>
        <r>
          <rPr>
            <b/>
            <sz val="8"/>
            <color indexed="81"/>
            <rFont val="Tahoma"/>
            <family val="2"/>
          </rPr>
          <t>mmendoza:</t>
        </r>
        <r>
          <rPr>
            <sz val="8"/>
            <color indexed="81"/>
            <rFont val="Tahoma"/>
            <family val="2"/>
          </rPr>
          <t xml:space="preserve">
</t>
        </r>
        <r>
          <rPr>
            <sz val="9"/>
            <color indexed="81"/>
            <rFont val="Tahoma"/>
            <family val="2"/>
          </rPr>
          <t>( C) Cede 686.602 t a Pesquera Centro Sur (Cert N°67)</t>
        </r>
      </text>
    </comment>
    <comment ref="F288" authorId="0">
      <text>
        <r>
          <rPr>
            <b/>
            <sz val="8"/>
            <color indexed="81"/>
            <rFont val="Tahoma"/>
            <family val="2"/>
          </rPr>
          <t>mmendoza:</t>
        </r>
        <r>
          <rPr>
            <sz val="8"/>
            <color indexed="81"/>
            <rFont val="Tahoma"/>
            <family val="2"/>
          </rPr>
          <t xml:space="preserve">
</t>
        </r>
        <r>
          <rPr>
            <sz val="9"/>
            <color indexed="81"/>
            <rFont val="Tahoma"/>
            <family val="2"/>
          </rPr>
          <t>( C) Cede 686.602 t a Inversiones Pesqueras (Cert N°69). Mod por Cert N°135, rescilación parcial de 686.602 a 278.196 ton
( C) Cede 735.591 t a Artesanales VIII (Res N°3242)</t>
        </r>
      </text>
    </comment>
    <comment ref="F291" authorId="0">
      <text>
        <r>
          <rPr>
            <b/>
            <sz val="8"/>
            <color indexed="81"/>
            <rFont val="Tahoma"/>
            <family val="2"/>
          </rPr>
          <t>mmendoza:</t>
        </r>
        <r>
          <rPr>
            <sz val="8"/>
            <color indexed="81"/>
            <rFont val="Tahoma"/>
            <family val="2"/>
          </rPr>
          <t xml:space="preserve">
</t>
        </r>
        <r>
          <rPr>
            <sz val="9"/>
            <color indexed="81"/>
            <rFont val="Tahoma"/>
            <family val="2"/>
          </rPr>
          <t>( C) Cede 686.602 t a Inversiones Pesqueras (Cert N°68). Cert N°136 modifica Cert N°68, rescilación total  de 686.602 a 0 ton
( C) Cede 1000.367 t a Artesanales VIII (Res N°3296)</t>
        </r>
      </text>
    </comment>
    <comment ref="F294" authorId="0">
      <text>
        <r>
          <rPr>
            <b/>
            <sz val="9"/>
            <color indexed="81"/>
            <rFont val="Tahoma"/>
            <family val="2"/>
          </rPr>
          <t>mmendoza:</t>
        </r>
        <r>
          <rPr>
            <sz val="9"/>
            <color indexed="81"/>
            <rFont val="Tahoma"/>
            <family val="2"/>
          </rPr>
          <t xml:space="preserve">
( C) Incrementa en 686.602 t desde Operaciones Calubi (Cert N°68)
Mod por Cert N°136, Rescilación total de 686.602 a 0 ton.
( C) Incrementna en 686.602 t desde SC Inversiones (Cert N°69). Mod por Cert N°135, REscilación parcial de 686.602 a 278.196 ton
( C) Incrementa en 484.401 t desde Inversiones Londrina (Cert N°70)
( C) Cede 277.73 ton a Armadores Art VIII Reg (Resol N°1502)
( C) Cede 186.474 t a Artesanales VIII (Res N°3242)</t>
        </r>
      </text>
    </comment>
    <comment ref="F297" authorId="0">
      <text>
        <r>
          <rPr>
            <b/>
            <sz val="8"/>
            <color indexed="81"/>
            <rFont val="Tahoma"/>
            <family val="2"/>
          </rPr>
          <t>mmendoza:</t>
        </r>
        <r>
          <rPr>
            <sz val="8"/>
            <color indexed="81"/>
            <rFont val="Tahoma"/>
            <family val="2"/>
          </rPr>
          <t xml:space="preserve">
( C) Cede 100.5 ton a Armador Art VIII Reg (Res N°1000)
( C) Cede 201.5 ton a Armador Art VIII Reg (Res N°1008)</t>
        </r>
      </text>
    </comment>
    <comment ref="F300" authorId="0">
      <text>
        <r>
          <rPr>
            <b/>
            <sz val="8"/>
            <color indexed="81"/>
            <rFont val="Tahoma"/>
            <family val="2"/>
          </rPr>
          <t>mmendoza:</t>
        </r>
        <r>
          <rPr>
            <sz val="8"/>
            <color indexed="81"/>
            <rFont val="Tahoma"/>
            <family val="2"/>
          </rPr>
          <t xml:space="preserve">
( C) Incrementa en 2600 ton desde Artesanales X (Resol N°1147/2015)
( C) Incremento de 778 ton desde Artesanales VIII (Res N° 3556)</t>
        </r>
      </text>
    </comment>
    <comment ref="F303" authorId="1">
      <text>
        <r>
          <rPr>
            <b/>
            <sz val="8"/>
            <color indexed="81"/>
            <rFont val="Tahoma"/>
            <family val="2"/>
          </rPr>
          <t>dcatalan:</t>
        </r>
        <r>
          <rPr>
            <sz val="8"/>
            <color indexed="81"/>
            <rFont val="Tahoma"/>
            <family val="2"/>
          </rPr>
          <t xml:space="preserve">
(A) Incremento de 34.9663456 t desde Genmar V-X (Certificado Nº59).
(A) Incremento de 1790.51591 t desde Berta Elena V-X (Certificado Nº69).
(A) Incremento de 186.3498112 t desde Inostroza C. V-X (Certificado Nº 339).
( C) Incrementa en 500 ton desde Artesanales VIII (Res N°3049)</t>
        </r>
      </text>
    </comment>
    <comment ref="F306" authorId="0">
      <text>
        <r>
          <rPr>
            <b/>
            <sz val="8"/>
            <color indexed="81"/>
            <rFont val="Tahoma"/>
            <family val="2"/>
          </rPr>
          <t>mmendoza:</t>
        </r>
        <r>
          <rPr>
            <sz val="8"/>
            <color indexed="81"/>
            <rFont val="Tahoma"/>
            <family val="2"/>
          </rPr>
          <t xml:space="preserve">
( C) Cede 201.5 ton a Armador Art VIII Reg (Res N°998)
( C) Cede 44.5 ton a Armador Art VIII Reg (Res N°1010)
( C) Cede 95.312 t a Armador Art VIII Reg (Res N°3110)</t>
        </r>
      </text>
    </comment>
    <comment ref="F312" authorId="0">
      <text>
        <r>
          <rPr>
            <b/>
            <sz val="9"/>
            <color indexed="81"/>
            <rFont val="Tahoma"/>
            <family val="2"/>
          </rPr>
          <t>mmendoza:</t>
        </r>
        <r>
          <rPr>
            <sz val="9"/>
            <color indexed="81"/>
            <rFont val="Tahoma"/>
            <family val="2"/>
          </rPr>
          <t xml:space="preserve">
( C) Cede 484.401 t a Inversiones Pesqueras (Cert N°70)
( C) Cede 264.155 t a Pesquera Centro Sur (Cert N°71). Mod por Cert N°132, rescilación parcial de 264.155 a 347.191 ton</t>
        </r>
      </text>
    </comment>
    <comment ref="F315" authorId="0">
      <text>
        <r>
          <rPr>
            <b/>
            <sz val="8"/>
            <color indexed="81"/>
            <rFont val="Tahoma"/>
            <family val="2"/>
          </rPr>
          <t>mmendoza:</t>
        </r>
        <r>
          <rPr>
            <sz val="8"/>
            <color indexed="81"/>
            <rFont val="Tahoma"/>
            <family val="2"/>
          </rPr>
          <t xml:space="preserve">
( C) Cede 201.5 ton a Armador Art VIII Reg (Res N°999)
( C) Cede 56.5 ton a Armador Art VIII Reg (Res N°1009)
( C) Cede 99.692 ton a Armador Art VIII Reg (Res N°3110)</t>
        </r>
      </text>
    </comment>
    <comment ref="F330" authorId="1">
      <text>
        <r>
          <rPr>
            <b/>
            <sz val="8"/>
            <color indexed="81"/>
            <rFont val="Tahoma"/>
            <family val="2"/>
          </rPr>
          <t>dcatalan:</t>
        </r>
        <r>
          <rPr>
            <sz val="8"/>
            <color indexed="81"/>
            <rFont val="Tahoma"/>
            <family val="2"/>
          </rPr>
          <t xml:space="preserve">
(Co) Cede 2 t a Foodcorp III-IV (Certificado Nº 34).</t>
        </r>
      </text>
    </comment>
    <comment ref="F334" authorId="1">
      <text>
        <r>
          <rPr>
            <b/>
            <sz val="8"/>
            <color indexed="81"/>
            <rFont val="Tahoma"/>
            <family val="2"/>
          </rPr>
          <t>dcatalan:</t>
        </r>
        <r>
          <rPr>
            <sz val="8"/>
            <color indexed="81"/>
            <rFont val="Tahoma"/>
            <family val="2"/>
          </rPr>
          <t xml:space="preserve">
(A) Cede 1.02 t a Landes III-IV (Certificado Nº 47).</t>
        </r>
      </text>
    </comment>
    <comment ref="F338" authorId="0">
      <text>
        <r>
          <rPr>
            <b/>
            <sz val="8"/>
            <color indexed="81"/>
            <rFont val="Tahoma"/>
            <family val="2"/>
          </rPr>
          <t>mmendoza:</t>
        </r>
        <r>
          <rPr>
            <sz val="8"/>
            <color indexed="81"/>
            <rFont val="Tahoma"/>
            <family val="2"/>
          </rPr>
          <t xml:space="preserve">
(Co)Cede 0.849 t a Pesquera Centro Sur III-IV (Certificado N°16)</t>
        </r>
      </text>
    </comment>
    <comment ref="F340" authorId="0">
      <text>
        <r>
          <rPr>
            <b/>
            <sz val="8"/>
            <color indexed="81"/>
            <rFont val="Tahoma"/>
            <family val="2"/>
          </rPr>
          <t>mmendoza:</t>
        </r>
        <r>
          <rPr>
            <sz val="8"/>
            <color indexed="81"/>
            <rFont val="Tahoma"/>
            <family val="2"/>
          </rPr>
          <t xml:space="preserve">
( C) Cede 193.4 ton a Artesanels IV Reg (Resol N°728)</t>
        </r>
      </text>
    </comment>
    <comment ref="F344" authorId="1">
      <text>
        <r>
          <rPr>
            <b/>
            <sz val="8"/>
            <color indexed="81"/>
            <rFont val="Tahoma"/>
            <family val="2"/>
          </rPr>
          <t>dcatalan:</t>
        </r>
        <r>
          <rPr>
            <sz val="8"/>
            <color indexed="81"/>
            <rFont val="Tahoma"/>
            <family val="2"/>
          </rPr>
          <t xml:space="preserve">
(Co) Incremento de 2 t desde Alimar III-IV (Certificado Nº 34).</t>
        </r>
      </text>
    </comment>
    <comment ref="F346" authorId="0">
      <text>
        <r>
          <rPr>
            <b/>
            <sz val="8"/>
            <color indexed="81"/>
            <rFont val="Tahoma"/>
            <family val="2"/>
          </rPr>
          <t>mmendoza:</t>
        </r>
        <r>
          <rPr>
            <sz val="8"/>
            <color indexed="81"/>
            <rFont val="Tahoma"/>
            <family val="2"/>
          </rPr>
          <t xml:space="preserve">
(Co)Incrementa en 0.849 t desde Inversiones Pesqueras III-IV (Certificado N°16)</t>
        </r>
      </text>
    </comment>
    <comment ref="F348" authorId="1">
      <text>
        <r>
          <rPr>
            <b/>
            <sz val="8"/>
            <color indexed="81"/>
            <rFont val="Tahoma"/>
            <family val="2"/>
          </rPr>
          <t>dcatalan:</t>
        </r>
        <r>
          <rPr>
            <sz val="8"/>
            <color indexed="81"/>
            <rFont val="Tahoma"/>
            <family val="2"/>
          </rPr>
          <t xml:space="preserve">
(A) Incremento de 1.02 t  desde Blumar III-IV (Certificado Nº 47).</t>
        </r>
      </text>
    </comment>
  </commentList>
</comments>
</file>

<file path=xl/comments2.xml><?xml version="1.0" encoding="utf-8"?>
<comments xmlns="http://schemas.openxmlformats.org/spreadsheetml/2006/main">
  <authors>
    <author>dcatalan</author>
    <author>mmendoza</author>
  </authors>
  <commentList>
    <comment ref="F29" authorId="0">
      <text>
        <r>
          <rPr>
            <b/>
            <sz val="8"/>
            <color indexed="81"/>
            <rFont val="Tahoma"/>
            <family val="2"/>
          </rPr>
          <t>dcatalan:</t>
        </r>
        <r>
          <rPr>
            <sz val="8"/>
            <color indexed="81"/>
            <rFont val="Tahoma"/>
            <family val="2"/>
          </rPr>
          <t xml:space="preserve">
(t) Incremento de 535,266 t de Emdepes SE (Certificado Nº31mod. Por Cert. N° 119).</t>
        </r>
      </text>
    </comment>
    <comment ref="F31" authorId="1">
      <text>
        <r>
          <rPr>
            <b/>
            <sz val="8"/>
            <color indexed="81"/>
            <rFont val="Tahoma"/>
            <family val="2"/>
          </rPr>
          <t>mmendoza:</t>
        </r>
        <r>
          <rPr>
            <sz val="8"/>
            <color indexed="81"/>
            <rFont val="Tahoma"/>
            <family val="2"/>
          </rPr>
          <t xml:space="preserve">
(c ) Incremento de 17.91 t desde Artesanales (Res N°489)
(c ) Incremento de 387,736 t desde artesanales (Res N°315,  Res N°1200, Res N°1492)
( C) Incremento de 68.671 ton desde Armadores art XI Reg (Resol N°1043 mod por N°1872)
( C) Incremento de 4.576 ton desde Artesanales XI (Res N°1199)
( C) Incrementa en 20.345 ton desde Armador Art (Res N°1558)
( C) Incrementa en 19.926 ton desde Armadores Art XI (Res N°2092)
(C ) Incremento de 8,489 ton desde Armadores XI (Res N°2263).
(C ) Incremento de 200.633  ton desde Artesanales XI (Res  N°2427). Modificada por Res N°3458 queda en  215.459 ton.
(C ) Incremento de 12.732  ton desde Artesanales XI (Res  N°2532)
(C ) Incremento de 7.159  ton desde Artesanales XI (Res  N°2583)
(C ) Incremento de 18.315  ton desde Artesanales XI (Res  N°2615)
(C ) Incremento de 16.555 ton desde Artesanales XI (Res  N°2852)
(C ) Incremento de 8.283  ton desde Artesanales XI (Res  N°2887)
( C) Incremento de 18.764 t desde Artesanales XI (Res N°3195)
( C) Incremento de 0.031698 t desde Artesanales XI (Res N°3493)</t>
        </r>
      </text>
    </comment>
    <comment ref="F33" authorId="1">
      <text>
        <r>
          <rPr>
            <b/>
            <sz val="8"/>
            <color indexed="81"/>
            <rFont val="Tahoma"/>
            <family val="2"/>
          </rPr>
          <t>mmendoza:</t>
        </r>
        <r>
          <rPr>
            <sz val="8"/>
            <color indexed="81"/>
            <rFont val="Tahoma"/>
            <family val="2"/>
          </rPr>
          <t xml:space="preserve">
(c ) Incremento de 70.075 t desde Artesanales (Res N°555)
( C) Incrementa en 20.904 ton desde Artesanales XII (Res N°1519)
( C) Incrementa en  276.15 ton  desde Artesanles XII Reg (Res N°2307)
(T) Incrementa en 600 ton desde Deris SE (Cert N°124)
( C) Incrementa en 200 ton descontadas desde Deris SE (Res 2772 que modifica Res N°223)
( C) Incrementa en 29.485 t desde Artesanales XII Reg. (Res N°3037). Mod por Res N°3247, cambia de NE a SE</t>
        </r>
      </text>
    </comment>
    <comment ref="F37" authorId="1">
      <text>
        <r>
          <rPr>
            <b/>
            <sz val="8"/>
            <color indexed="81"/>
            <rFont val="Tahoma"/>
            <family val="2"/>
          </rPr>
          <t>mmendoza:</t>
        </r>
        <r>
          <rPr>
            <sz val="8"/>
            <color indexed="81"/>
            <rFont val="Tahoma"/>
            <family val="2"/>
          </rPr>
          <t xml:space="preserve">
(CV) Vende 0.03898 ton a Congelados del Pacífico Merluza del sur NE (Res N°2030)</t>
        </r>
      </text>
    </comment>
    <comment ref="F39" authorId="1">
      <text>
        <r>
          <rPr>
            <b/>
            <sz val="8"/>
            <color indexed="81"/>
            <rFont val="Tahoma"/>
            <family val="2"/>
          </rPr>
          <t>mmendoza:</t>
        </r>
        <r>
          <rPr>
            <sz val="8"/>
            <color indexed="81"/>
            <rFont val="Tahoma"/>
            <family val="2"/>
          </rPr>
          <t xml:space="preserve">
(CV) Incremento de 0.03898 ton desde Sur Austral Merluza del sur NE (Res N°2030)</t>
        </r>
      </text>
    </comment>
    <comment ref="F42" authorId="0">
      <text>
        <r>
          <rPr>
            <b/>
            <sz val="8"/>
            <color indexed="81"/>
            <rFont val="Tahoma"/>
            <family val="2"/>
          </rPr>
          <t>dcatalan:</t>
        </r>
        <r>
          <rPr>
            <sz val="8"/>
            <color indexed="81"/>
            <rFont val="Tahoma"/>
            <family val="2"/>
          </rPr>
          <t xml:space="preserve">
(T) Cede 535,266 ton a Emdepes NE (Certificado Nº 31 mod. Por Cert N° 119)</t>
        </r>
      </text>
    </comment>
    <comment ref="F44" authorId="1">
      <text>
        <r>
          <rPr>
            <b/>
            <sz val="8"/>
            <color indexed="81"/>
            <rFont val="Tahoma"/>
            <family val="2"/>
          </rPr>
          <t>mmendoza:</t>
        </r>
        <r>
          <rPr>
            <sz val="8"/>
            <color indexed="81"/>
            <rFont val="Tahoma"/>
            <family val="2"/>
          </rPr>
          <t xml:space="preserve">
( C) Incrementa en 35.875 ton desde Armadores art XII Reg (Resol N°1044)</t>
        </r>
      </text>
    </comment>
    <comment ref="F46" authorId="0">
      <text>
        <r>
          <rPr>
            <b/>
            <sz val="9"/>
            <color indexed="81"/>
            <rFont val="Tahoma"/>
            <family val="2"/>
          </rPr>
          <t>dcatalan:</t>
        </r>
        <r>
          <rPr>
            <sz val="9"/>
            <color indexed="81"/>
            <rFont val="Tahoma"/>
            <family val="2"/>
          </rPr>
          <t xml:space="preserve">
(c ) Incremento de 824.178 t desde Artesanales (Res N°223 mod por Res N° 1847). 
       Descuento de 200 t ( Res N°2772-15), quedando en 624.178 ton
(T) Cede 600 ton a Deris NE (Cert N°124)
( C) Incremento de 29.485 t desde Artesanales XII Reg (Res N°3247, que modifica a la Res N°3037)
( C) Incrrementao de 0.004576 ton desde Artasanales XII Reg (Res N°3551)</t>
        </r>
      </text>
    </comment>
    <comment ref="F48" authorId="1">
      <text>
        <r>
          <rPr>
            <b/>
            <sz val="8"/>
            <color indexed="81"/>
            <rFont val="Tahoma"/>
            <family val="2"/>
          </rPr>
          <t>mmendoza:</t>
        </r>
        <r>
          <rPr>
            <sz val="8"/>
            <color indexed="81"/>
            <rFont val="Tahoma"/>
            <family val="2"/>
          </rPr>
          <t xml:space="preserve">
( C) Incremento de 62.801 ton desde Artesanales XII Reg (Res N°2308)</t>
        </r>
      </text>
    </comment>
    <comment ref="F57" authorId="0">
      <text>
        <r>
          <rPr>
            <b/>
            <sz val="8"/>
            <color indexed="81"/>
            <rFont val="Tahoma"/>
            <family val="2"/>
          </rPr>
          <t>dcatalan:</t>
        </r>
        <r>
          <rPr>
            <sz val="8"/>
            <color indexed="81"/>
            <rFont val="Tahoma"/>
            <family val="2"/>
          </rPr>
          <t xml:space="preserve">
(A) Cede 0.4 t a Pesca Cisne (Certificado Nº 41).</t>
        </r>
      </text>
    </comment>
    <comment ref="F61" authorId="0">
      <text>
        <r>
          <rPr>
            <b/>
            <sz val="8"/>
            <color indexed="81"/>
            <rFont val="Tahoma"/>
            <family val="2"/>
          </rPr>
          <t>dcatalan:</t>
        </r>
        <r>
          <rPr>
            <sz val="8"/>
            <color indexed="81"/>
            <rFont val="Tahoma"/>
            <family val="2"/>
          </rPr>
          <t xml:space="preserve">
(A) Incremento de 0.4 t desde Deris S.A. (Certificado Nº 41).</t>
        </r>
      </text>
    </comment>
    <comment ref="F64" authorId="0">
      <text>
        <r>
          <rPr>
            <b/>
            <sz val="8"/>
            <color indexed="81"/>
            <rFont val="Tahoma"/>
            <family val="2"/>
          </rPr>
          <t>dcatalan:</t>
        </r>
        <r>
          <rPr>
            <sz val="8"/>
            <color indexed="81"/>
            <rFont val="Tahoma"/>
            <family val="2"/>
          </rPr>
          <t xml:space="preserve">
(A) Cede 2000 t a Emdepes XI-XII (certificado Nº 61).
(A) Cede 1128 t a Emdepes XI-XII (certificado Nº 101)</t>
        </r>
      </text>
    </comment>
    <comment ref="F66" authorId="1">
      <text>
        <r>
          <rPr>
            <b/>
            <sz val="11"/>
            <color indexed="81"/>
            <rFont val="Tahoma"/>
            <family val="2"/>
          </rPr>
          <t>mmendoza:</t>
        </r>
        <r>
          <rPr>
            <sz val="11"/>
            <color indexed="81"/>
            <rFont val="Tahoma"/>
            <family val="2"/>
          </rPr>
          <t xml:space="preserve">
(Co)Cede 0,48206 t a Congelados Pacifico S.A. (Certificado N°158 modificado por N° 106).
(Co) Cede 0,24103 t a Congelados del Pacifico (Certificado Nº 162 modificado por N°107).
(A) Incrementa 0.24105 t desde Congelados del Pacífico S.A. (Certififcado N°358).
(CV) Vende 1500.206875 ton a Pesq Sur Austral (Res N°2010/15)
(T) Incremento de 6.08 ton desde Bio Bio XI-XII (Certificado N°155)</t>
        </r>
      </text>
    </comment>
    <comment ref="F68" authorId="1">
      <text>
        <r>
          <rPr>
            <b/>
            <sz val="11"/>
            <color indexed="81"/>
            <rFont val="Tahoma"/>
            <family val="2"/>
          </rPr>
          <t xml:space="preserve">mmendoza:
</t>
        </r>
        <r>
          <rPr>
            <sz val="11"/>
            <color indexed="81"/>
            <rFont val="Tahoma"/>
            <family val="2"/>
          </rPr>
          <t>(Co) Cede 5411.44889 t a Congelados del Pacifico (Cert N°155 de 2014)
(A) Incrementa en 0.24105 t desde Congelados del Pacifico S.A. (Certificado N°355)</t>
        </r>
      </text>
    </comment>
    <comment ref="F70" authorId="1">
      <text>
        <r>
          <rPr>
            <b/>
            <sz val="8"/>
            <color indexed="81"/>
            <rFont val="Tahoma"/>
            <family val="2"/>
          </rPr>
          <t>mmendoza:</t>
        </r>
        <r>
          <rPr>
            <sz val="8"/>
            <color indexed="81"/>
            <rFont val="Tahoma"/>
            <family val="2"/>
          </rPr>
          <t xml:space="preserve">
(A) Cede 800.017 t a Grimar V-X (Cert N°53)</t>
        </r>
      </text>
    </comment>
    <comment ref="F74" authorId="1">
      <text>
        <r>
          <rPr>
            <b/>
            <sz val="8"/>
            <color indexed="81"/>
            <rFont val="Tahoma"/>
            <family val="2"/>
          </rPr>
          <t>mmendoza:</t>
        </r>
        <r>
          <rPr>
            <sz val="8"/>
            <color indexed="81"/>
            <rFont val="Tahoma"/>
            <family val="2"/>
          </rPr>
          <t xml:space="preserve">
(A) Cede 131 ton a Emdepes XI-XII (Cert N°99)</t>
        </r>
      </text>
    </comment>
    <comment ref="F76" authorId="1">
      <text>
        <r>
          <rPr>
            <b/>
            <sz val="8"/>
            <color indexed="81"/>
            <rFont val="Tahoma"/>
            <family val="2"/>
          </rPr>
          <t>mmendoza:</t>
        </r>
        <r>
          <rPr>
            <sz val="8"/>
            <color indexed="81"/>
            <rFont val="Tahoma"/>
            <family val="2"/>
          </rPr>
          <t xml:space="preserve">
(A) Incremento de 800.017 t desde Bento Inv. (Cert N°53).
(A) Inncremento de 125.577 t desde MG Inv. (Cert N°54).
(A) Incremento de 61.986 t desde Inv Redina (Cert N°55).
(A) Incremento de 750,104 ton desde Camanchaca Pesca S. (Cert. N°76).
(T) Cede 1340,486 ton a Grimar XI-XII (Cert N° 102). Modificado por Cert N°125, dismunuye de 1340.486 a 1040.486 ton.</t>
        </r>
      </text>
    </comment>
    <comment ref="F78" authorId="1">
      <text>
        <r>
          <rPr>
            <b/>
            <sz val="11"/>
            <color indexed="81"/>
            <rFont val="Tahoma"/>
            <family val="2"/>
          </rPr>
          <t>mmendoza:</t>
        </r>
        <r>
          <rPr>
            <sz val="11"/>
            <color indexed="81"/>
            <rFont val="Tahoma"/>
            <family val="2"/>
          </rPr>
          <t xml:space="preserve">
(A) Cede 7.2815163 t a Lota Protein S.A. (Certificado N°342)</t>
        </r>
      </text>
    </comment>
    <comment ref="F80" authorId="1">
      <text>
        <r>
          <rPr>
            <b/>
            <sz val="8"/>
            <color indexed="81"/>
            <rFont val="Tahoma"/>
            <family val="2"/>
          </rPr>
          <t>mmendoza:</t>
        </r>
        <r>
          <rPr>
            <sz val="8"/>
            <color indexed="81"/>
            <rFont val="Tahoma"/>
            <family val="2"/>
          </rPr>
          <t xml:space="preserve">
(A) Cede 125.577 t a Grimar V-X (Cert N°54)</t>
        </r>
      </text>
    </comment>
    <comment ref="F84" authorId="1">
      <text>
        <r>
          <rPr>
            <b/>
            <sz val="8"/>
            <color indexed="81"/>
            <rFont val="Tahoma"/>
            <family val="2"/>
          </rPr>
          <t>mmendoza:</t>
        </r>
        <r>
          <rPr>
            <sz val="8"/>
            <color indexed="81"/>
            <rFont val="Tahoma"/>
            <family val="2"/>
          </rPr>
          <t xml:space="preserve">
(A) Cede 228 ton a Emdepes XI-XII (Cert N°98)
</t>
        </r>
      </text>
    </comment>
    <comment ref="F86" authorId="1">
      <text>
        <r>
          <rPr>
            <b/>
            <sz val="8"/>
            <color indexed="81"/>
            <rFont val="Tahoma"/>
            <family val="2"/>
          </rPr>
          <t>mmendoza:</t>
        </r>
        <r>
          <rPr>
            <sz val="8"/>
            <color indexed="81"/>
            <rFont val="Tahoma"/>
            <family val="2"/>
          </rPr>
          <t xml:space="preserve">
(a) Cede 1085.728 t a Cong del Pac (Cert N°52)</t>
        </r>
      </text>
    </comment>
    <comment ref="F88" authorId="1">
      <text>
        <r>
          <rPr>
            <b/>
            <sz val="9"/>
            <color indexed="81"/>
            <rFont val="Tahoma"/>
            <family val="2"/>
          </rPr>
          <t>mmendoza:</t>
        </r>
        <r>
          <rPr>
            <sz val="9"/>
            <color indexed="81"/>
            <rFont val="Tahoma"/>
            <family val="2"/>
          </rPr>
          <t xml:space="preserve">
(A) Incrementa 7.2815163 t Desde Inostrosa Concha Pelantaro. (Certificado N°342)
(A) Cede 705.724 t a Congelados Pacífico (Certificado N°11).
(SA) Cede 0.24272 t a Enfemar V-X (Certificado Nº 40).
(SA) Cede 0.24272 t a Antonio Cruz Cordova (Certificado Nº 43)</t>
        </r>
      </text>
    </comment>
    <comment ref="F90" authorId="1">
      <text>
        <r>
          <rPr>
            <b/>
            <sz val="8"/>
            <color indexed="81"/>
            <rFont val="Tahoma"/>
            <family val="2"/>
          </rPr>
          <t>mmendoza:</t>
        </r>
        <r>
          <rPr>
            <sz val="8"/>
            <color indexed="81"/>
            <rFont val="Tahoma"/>
            <family val="2"/>
          </rPr>
          <t xml:space="preserve">
(A) Cede 172 ton a Emdepes XI-XII (Cert N°97)</t>
        </r>
      </text>
    </comment>
    <comment ref="F92" authorId="1">
      <text>
        <r>
          <rPr>
            <b/>
            <sz val="8"/>
            <color indexed="81"/>
            <rFont val="Tahoma"/>
            <family val="2"/>
          </rPr>
          <t>mmendoza:</t>
        </r>
        <r>
          <rPr>
            <sz val="8"/>
            <color indexed="81"/>
            <rFont val="Tahoma"/>
            <family val="2"/>
          </rPr>
          <t xml:space="preserve">
(A) Cede 5000 t a Emdepes XI-XII (Cert N°56)</t>
        </r>
      </text>
    </comment>
    <comment ref="F94" authorId="1">
      <text>
        <r>
          <rPr>
            <b/>
            <sz val="8"/>
            <color indexed="81"/>
            <rFont val="Tahoma"/>
            <family val="2"/>
          </rPr>
          <t>mmendoza:</t>
        </r>
        <r>
          <rPr>
            <sz val="8"/>
            <color indexed="81"/>
            <rFont val="Tahoma"/>
            <family val="2"/>
          </rPr>
          <t xml:space="preserve">
(T) Cede 87.222 ton a Deris XI-XII (Cert N°110)</t>
        </r>
      </text>
    </comment>
    <comment ref="F96" authorId="1">
      <text>
        <r>
          <rPr>
            <b/>
            <sz val="8"/>
            <color indexed="81"/>
            <rFont val="Tahoma"/>
            <family val="2"/>
          </rPr>
          <t>mmendoza:</t>
        </r>
        <r>
          <rPr>
            <sz val="8"/>
            <color indexed="81"/>
            <rFont val="Tahoma"/>
            <family val="2"/>
          </rPr>
          <t xml:space="preserve">
(A) Cede 61.986 t a Grimar V-X (Cert N°55)</t>
        </r>
      </text>
    </comment>
    <comment ref="F98" authorId="1">
      <text>
        <r>
          <rPr>
            <b/>
            <sz val="8"/>
            <color indexed="81"/>
            <rFont val="Tahoma"/>
            <family val="2"/>
          </rPr>
          <t>mmendoza:</t>
        </r>
        <r>
          <rPr>
            <sz val="8"/>
            <color indexed="81"/>
            <rFont val="Tahoma"/>
            <family val="2"/>
          </rPr>
          <t xml:space="preserve">
(A) Cede 64 ton a Emdepes XI-XII (Cert N°100)</t>
        </r>
      </text>
    </comment>
    <comment ref="F100" authorId="1">
      <text>
        <r>
          <rPr>
            <b/>
            <sz val="8"/>
            <color indexed="81"/>
            <rFont val="Tahoma"/>
            <family val="2"/>
          </rPr>
          <t>mmendoza:</t>
        </r>
        <r>
          <rPr>
            <sz val="8"/>
            <color indexed="81"/>
            <rFont val="Tahoma"/>
            <family val="2"/>
          </rPr>
          <t xml:space="preserve">
(A) Incrementra en 750.104 ton desde Camanchaca PS v-X (Cert N°64)
(T) Cede 375 ton a Pesquera Sur Austral XI-XII (Cert N°96)
(CV) Incrementa en 1500.206875 ton desde Bio Bio V-X (Res N°2010/15)
(T) Cede 1500.207 ton a Pesq. Sur Austral XI-XII (Cert N°112).  Modificado por Cert N°126, dismunuye de 1500.207 a 581 ton.
(T) Incremento de 105.08472 ton desde Sur Austral XI-XII (Certificado N°156)</t>
        </r>
      </text>
    </comment>
    <comment ref="F102" authorId="1">
      <text>
        <r>
          <rPr>
            <b/>
            <sz val="8"/>
            <color indexed="81"/>
            <rFont val="Tahoma"/>
            <family val="2"/>
          </rPr>
          <t>mmendoza:</t>
        </r>
        <r>
          <rPr>
            <sz val="8"/>
            <color indexed="81"/>
            <rFont val="Tahoma"/>
            <family val="2"/>
          </rPr>
          <t xml:space="preserve">
(A) Cede 750.104 ton a Sur austral V-X (Cert N°64)
(A) Cede 350.225 ton a Emdepes XI-XII (Cert N°65 mod por N° 103).
(A) Cede 750,104 ton a Grimar V-X (Cert. N°76).</t>
        </r>
      </text>
    </comment>
    <comment ref="F104" authorId="1">
      <text>
        <r>
          <rPr>
            <b/>
            <sz val="8"/>
            <color indexed="81"/>
            <rFont val="Tahoma"/>
            <family val="2"/>
          </rPr>
          <t xml:space="preserve">mmendoza:
</t>
        </r>
        <r>
          <rPr>
            <sz val="9"/>
            <color indexed="81"/>
            <rFont val="Tahoma"/>
            <family val="2"/>
          </rPr>
          <t>(Co) Incrementa en 5411.44889 t desde Bumar S.A. (Certificado N°155 de 2014).</t>
        </r>
        <r>
          <rPr>
            <b/>
            <sz val="8"/>
            <color indexed="81"/>
            <rFont val="Tahoma"/>
            <family val="2"/>
          </rPr>
          <t xml:space="preserve">
</t>
        </r>
        <r>
          <rPr>
            <sz val="9"/>
            <color indexed="81"/>
            <rFont val="Tahoma"/>
            <family val="2"/>
          </rPr>
          <t>(Co) Incrementa en 0,48206 t desde Bio Bio S.A. (Certificado N°158 mod por N° 106).
(Co) Incremento en 0,24103 t desde Bio Bio S.A. (Certificado Nº 162 mod por N° 107).
(A) Cede 0.24105 t a Blumar S.A. (Certificado N°355).
(A) Cede 0.24105 t a Bio Bio S.A. (Certificado N°358).
(A) Incrementa en 705.724 t desde Lota Protein (Certificado N°11).
(A) Cede 0.24105 t a Antonio Cruz Cordova V-X (Certificado Nº 38).
(A) Incremento de 1085.728 t desde Landes V-X (Cert N°52)</t>
        </r>
      </text>
    </comment>
    <comment ref="F106" authorId="0">
      <text>
        <r>
          <rPr>
            <b/>
            <sz val="8"/>
            <color indexed="81"/>
            <rFont val="Tahoma"/>
            <family val="2"/>
          </rPr>
          <t>dcatalan:</t>
        </r>
        <r>
          <rPr>
            <sz val="8"/>
            <color indexed="81"/>
            <rFont val="Tahoma"/>
            <family val="2"/>
          </rPr>
          <t xml:space="preserve">
(A) Incremento de 0.24105 t desde Congelados del Pacifico V-X (Certificado Nº 38).</t>
        </r>
      </text>
    </comment>
    <comment ref="F108" authorId="0">
      <text>
        <r>
          <rPr>
            <b/>
            <sz val="8"/>
            <color indexed="81"/>
            <rFont val="Tahoma"/>
            <family val="2"/>
          </rPr>
          <t>dcatalan:</t>
        </r>
        <r>
          <rPr>
            <sz val="8"/>
            <color indexed="81"/>
            <rFont val="Tahoma"/>
            <family val="2"/>
          </rPr>
          <t xml:space="preserve">
(SA) Incremento de 0.24272 t desde Lota protein V-X (Certificado Nº 40).</t>
        </r>
      </text>
    </comment>
    <comment ref="F110" authorId="0">
      <text>
        <r>
          <rPr>
            <b/>
            <sz val="8"/>
            <color indexed="81"/>
            <rFont val="Tahoma"/>
            <family val="2"/>
          </rPr>
          <t>dcatalan:</t>
        </r>
        <r>
          <rPr>
            <sz val="8"/>
            <color indexed="81"/>
            <rFont val="Tahoma"/>
            <family val="2"/>
          </rPr>
          <t xml:space="preserve">
(SA) Incremento de 0.24272 desde Lota protein (Certificado Nº 43)</t>
        </r>
      </text>
    </comment>
    <comment ref="F115" authorId="1">
      <text>
        <r>
          <rPr>
            <b/>
            <sz val="8"/>
            <color indexed="81"/>
            <rFont val="Tahoma"/>
            <family val="2"/>
          </rPr>
          <t>mmendoza:</t>
        </r>
        <r>
          <rPr>
            <sz val="8"/>
            <color indexed="81"/>
            <rFont val="Tahoma"/>
            <family val="2"/>
          </rPr>
          <t xml:space="preserve">
(CV) Vende 6.080104712 ton a Bio Bio XI-XII (Res N°3564)</t>
        </r>
      </text>
    </comment>
    <comment ref="F117" authorId="1">
      <text>
        <r>
          <rPr>
            <b/>
            <sz val="8"/>
            <color indexed="81"/>
            <rFont val="Tahoma"/>
            <family val="2"/>
          </rPr>
          <t>mmendoza:</t>
        </r>
        <r>
          <rPr>
            <sz val="8"/>
            <color indexed="81"/>
            <rFont val="Tahoma"/>
            <family val="2"/>
          </rPr>
          <t xml:space="preserve">
(A) Incremento de 5000 t desde Orizon V-X (Cert N°56).
(A) Incremento de 2000 t desde Alimar V-X (Cert Nº 61).
(SA) Incremento de 350.225 ton desde Camanchaca PS (Certificado Nº 65 modf por N° 103).
(A) Incrementa en 172 ton desde Mar Profundo V-X (Cert  N°97)
(A) Incrementa en 228 ton desde Isla Quihua V-X (Cert  N°98)
(A) Incrementa en 131 ton desde Foodcorp V-X (Cert N°99)
(A) Incrementa en 64 ton desde San Antonio V-X (Cert N°100)
(A) Incrementa en 1128 ton desde Alimar V-X (Cert N°101)</t>
        </r>
      </text>
    </comment>
    <comment ref="F119" authorId="0">
      <text>
        <r>
          <rPr>
            <b/>
            <sz val="9"/>
            <color indexed="81"/>
            <rFont val="Tahoma"/>
            <family val="2"/>
          </rPr>
          <t>dcatalan:</t>
        </r>
        <r>
          <rPr>
            <sz val="9"/>
            <color indexed="81"/>
            <rFont val="Tahoma"/>
            <family val="2"/>
          </rPr>
          <t xml:space="preserve">
(T) Incremento de 1340,486 t desde Grimar V-X. Modificado por Cert N°125, dismunuye de 1340.486 a 1040.486 ton.
</t>
        </r>
      </text>
    </comment>
    <comment ref="F121" authorId="0">
      <text>
        <r>
          <rPr>
            <b/>
            <sz val="8"/>
            <color indexed="81"/>
            <rFont val="Tahoma"/>
            <family val="2"/>
          </rPr>
          <t>dcatalan:</t>
        </r>
        <r>
          <rPr>
            <sz val="8"/>
            <color indexed="81"/>
            <rFont val="Tahoma"/>
            <family val="2"/>
          </rPr>
          <t xml:space="preserve">
(A) Cede 0.4 t a Pesca Cisne XI-XII (Certificado Nº 42).
(T) Incrementa en 87.222 ton desde Deris V-X (Cert N°110)
(CV) Venta de 105.0874758 ton a Sur Austral (Res N°3560)</t>
        </r>
      </text>
    </comment>
    <comment ref="F123" authorId="1">
      <text>
        <r>
          <rPr>
            <b/>
            <sz val="8"/>
            <color indexed="81"/>
            <rFont val="Tahoma"/>
            <family val="2"/>
          </rPr>
          <t>mmendoza:</t>
        </r>
        <r>
          <rPr>
            <sz val="8"/>
            <color indexed="81"/>
            <rFont val="Tahoma"/>
            <family val="2"/>
          </rPr>
          <t xml:space="preserve">
(T) Incrementa en 375 ton desde Pesq. Sur Austral V-X (Cert N°96)
(T) Incrementa en 1500.207 ton desde Pesq. Sur Austral V-X (Cert N°112). Modificado por Cert N°126, dismunuye de 1500.207 a 581 ton.
(T) Traspaso de 105.08472 ton a Sur Austral V-X (Certificado N°156)
(CV) Incremento de 105.0874758 ton desde Deris XI-XII (Res N°3560)</t>
        </r>
      </text>
    </comment>
    <comment ref="F125" authorId="0">
      <text>
        <r>
          <rPr>
            <b/>
            <sz val="8"/>
            <color indexed="81"/>
            <rFont val="Tahoma"/>
            <family val="2"/>
          </rPr>
          <t>dcatalan:</t>
        </r>
        <r>
          <rPr>
            <sz val="8"/>
            <color indexed="81"/>
            <rFont val="Tahoma"/>
            <family val="2"/>
          </rPr>
          <t xml:space="preserve">
(A) Incremento de 0.4 t desde Deris S.A. (Certificado Nº 42).</t>
        </r>
      </text>
    </comment>
    <comment ref="F127" authorId="1">
      <text>
        <r>
          <rPr>
            <b/>
            <sz val="8"/>
            <color indexed="81"/>
            <rFont val="Tahoma"/>
            <family val="2"/>
          </rPr>
          <t>mmendoza:</t>
        </r>
        <r>
          <rPr>
            <sz val="8"/>
            <color indexed="81"/>
            <rFont val="Tahoma"/>
            <family val="2"/>
          </rPr>
          <t xml:space="preserve">
(CV) Incremento de 6.080104712 ton desde Blumar XI-XII (Res N°3564)
(T) Traspaso de 6.08 ton a Bio Bio V-X (Certificado N°155)</t>
        </r>
      </text>
    </comment>
    <comment ref="F132" authorId="1">
      <text>
        <r>
          <rPr>
            <b/>
            <sz val="8"/>
            <color indexed="81"/>
            <rFont val="Tahoma"/>
            <family val="2"/>
          </rPr>
          <t>mmendoza:</t>
        </r>
        <r>
          <rPr>
            <sz val="8"/>
            <color indexed="81"/>
            <rFont val="Tahoma"/>
            <family val="2"/>
          </rPr>
          <t xml:space="preserve">
( C) Cede 113.075 ton a Antonio Cruz C. (Cert N°84)</t>
        </r>
      </text>
    </comment>
    <comment ref="F134" authorId="1">
      <text>
        <r>
          <rPr>
            <b/>
            <sz val="8"/>
            <color indexed="81"/>
            <rFont val="Tahoma"/>
            <family val="2"/>
          </rPr>
          <t>mmendoza:</t>
        </r>
        <r>
          <rPr>
            <sz val="8"/>
            <color indexed="81"/>
            <rFont val="Tahoma"/>
            <family val="2"/>
          </rPr>
          <t xml:space="preserve">
(CV) Vende 23.703 t a Maria Angelica Troncoso (Res N°10)</t>
        </r>
      </text>
    </comment>
    <comment ref="F138" authorId="1">
      <text>
        <r>
          <rPr>
            <b/>
            <sz val="11"/>
            <color indexed="81"/>
            <rFont val="Tahoma"/>
            <family val="2"/>
          </rPr>
          <t>mmendoza:</t>
        </r>
        <r>
          <rPr>
            <sz val="11"/>
            <color indexed="81"/>
            <rFont val="Tahoma"/>
            <family val="2"/>
          </rPr>
          <t xml:space="preserve">
(C) Cede 4000.9839 t a Congelados del Pacifico (Certificado N°163)
(A) Incremento de 0.13542 t desde Congelados del Pacifico (Certificado N°359)
(NT) Incremento de 1000.111232ton desde Grimar (Res N°2012-15)</t>
        </r>
      </text>
    </comment>
    <comment ref="F140" authorId="1">
      <text>
        <r>
          <rPr>
            <b/>
            <sz val="8"/>
            <color indexed="81"/>
            <rFont val="Tahoma"/>
            <family val="2"/>
          </rPr>
          <t xml:space="preserve">mmendoza: 
</t>
        </r>
        <r>
          <rPr>
            <sz val="11"/>
            <color indexed="81"/>
            <rFont val="Tahoma"/>
            <family val="2"/>
          </rPr>
          <t>(C) Cede 4204.065149 t a Congelados del Pacifico (Certificado N°154)</t>
        </r>
        <r>
          <rPr>
            <sz val="8"/>
            <color indexed="81"/>
            <rFont val="Tahoma"/>
            <family val="2"/>
          </rPr>
          <t xml:space="preserve">
</t>
        </r>
        <r>
          <rPr>
            <sz val="11"/>
            <color indexed="81"/>
            <rFont val="Tahoma"/>
            <family val="2"/>
          </rPr>
          <t xml:space="preserve"> (A) Incrementa 0.13542 t desde Congelados del Pacifico (Certificado N°356)
</t>
        </r>
      </text>
    </comment>
    <comment ref="F142" authorId="0">
      <text>
        <r>
          <rPr>
            <b/>
            <sz val="8"/>
            <color indexed="81"/>
            <rFont val="Tahoma"/>
            <family val="2"/>
          </rPr>
          <t>dcatalan:</t>
        </r>
        <r>
          <rPr>
            <sz val="8"/>
            <color indexed="81"/>
            <rFont val="Tahoma"/>
            <family val="2"/>
          </rPr>
          <t xml:space="preserve">
(A) Incremento de 224.559 t desde Genmar (Certificado Nº 37).
(A) Incremento de 113.075 ton desde Alimentos marinos (Cert N°84)
(A) Incrementa en 23.703 ton desde Maria Angelica Troncoso Reyes (Cert N°127)
(A) Incremento de 9.343 t desde Genmar (Certificado Nº 137).</t>
        </r>
      </text>
    </comment>
    <comment ref="F144" authorId="0">
      <text>
        <r>
          <rPr>
            <b/>
            <sz val="8"/>
            <color indexed="81"/>
            <rFont val="Tahoma"/>
            <family val="2"/>
          </rPr>
          <t>dcatalan:</t>
        </r>
        <r>
          <rPr>
            <sz val="8"/>
            <color indexed="81"/>
            <rFont val="Tahoma"/>
            <family val="2"/>
          </rPr>
          <t xml:space="preserve">
(A) Cede 0.271 t a Isladamas (certificado Nº 46).
(A) Incrementa en 71.993 t desde Soc Nordio ltda. (Cert N°131)</t>
        </r>
      </text>
    </comment>
    <comment ref="F146" authorId="0">
      <text>
        <r>
          <rPr>
            <b/>
            <sz val="8"/>
            <color indexed="81"/>
            <rFont val="Tahoma"/>
            <family val="2"/>
          </rPr>
          <t>dcatalan:</t>
        </r>
        <r>
          <rPr>
            <sz val="8"/>
            <color indexed="81"/>
            <rFont val="Tahoma"/>
            <family val="2"/>
          </rPr>
          <t xml:space="preserve">
(A) Cede 0.5 t a Pesq. Quintero (Certificado Nº29).
(A) Incremento de 23.703 t desde Inostroza CP (certificado Nº 39).
(C ) Incremento de 27.476t desde Artesanales (Resol N°556)
(A) Incremento de 399 t desde Marcelino Gonzalez (Cert N°57)
(A) Incremento de 229.771 t desde Leucoton (Cert N°58)
(A) Incrementa en 188.8 ton desde Pessur (Cert N°93)
(A) Cede 3 ton a Enfemar (Cert N°80)</t>
        </r>
      </text>
    </comment>
    <comment ref="F148" authorId="0">
      <text>
        <r>
          <rPr>
            <b/>
            <sz val="8"/>
            <color indexed="81"/>
            <rFont val="Tahoma"/>
            <family val="2"/>
          </rPr>
          <t>dcatalan:</t>
        </r>
        <r>
          <rPr>
            <sz val="8"/>
            <color indexed="81"/>
            <rFont val="Tahoma"/>
            <family val="2"/>
          </rPr>
          <t xml:space="preserve">
(A) Cede 224.559 t a Antonio Cruz Cordoba (Certificado Nº 37).
(A) Cede 9.343 t a Antonio Cruz Cordoba (Certificado Nº 137).</t>
        </r>
      </text>
    </comment>
    <comment ref="F150" authorId="1">
      <text>
        <r>
          <rPr>
            <b/>
            <sz val="8"/>
            <color indexed="81"/>
            <rFont val="Tahoma"/>
            <family val="2"/>
          </rPr>
          <t>mmendoza:</t>
        </r>
        <r>
          <rPr>
            <sz val="8"/>
            <color indexed="81"/>
            <rFont val="Tahoma"/>
            <family val="2"/>
          </rPr>
          <t xml:space="preserve">
(a) Cede 399 t a Enfemar (Cert N°57)</t>
        </r>
      </text>
    </comment>
    <comment ref="F152" authorId="1">
      <text>
        <r>
          <rPr>
            <b/>
            <sz val="8"/>
            <color indexed="81"/>
            <rFont val="Tahoma"/>
            <family val="2"/>
          </rPr>
          <t>mmendoza:</t>
        </r>
        <r>
          <rPr>
            <sz val="8"/>
            <color indexed="81"/>
            <rFont val="Tahoma"/>
            <family val="2"/>
          </rPr>
          <t xml:space="preserve">
(A) Cede 10 t a Bracpesca (Certificado N°07)
(CV) vende 1000.111232 t a Bio Bio S.A. (Res N°2012)
(CV) Incrementa en220.1130222 t desde Sur Austral S.A. (Res N°2144)
(CV) Incrementa en 70.0310988 t desde Deris (Res N°3562)</t>
        </r>
      </text>
    </comment>
    <comment ref="F154" authorId="0">
      <text>
        <r>
          <rPr>
            <b/>
            <sz val="8"/>
            <color indexed="81"/>
            <rFont val="Tahoma"/>
            <family val="2"/>
          </rPr>
          <t>dcatalan:</t>
        </r>
        <r>
          <rPr>
            <sz val="8"/>
            <color indexed="81"/>
            <rFont val="Tahoma"/>
            <family val="2"/>
          </rPr>
          <t xml:space="preserve">
(A) Cede 23.703 t a Enfemar (Certificado Nº 39).</t>
        </r>
      </text>
    </comment>
    <comment ref="F156" authorId="0">
      <text>
        <r>
          <rPr>
            <b/>
            <sz val="8"/>
            <color indexed="81"/>
            <rFont val="Tahoma"/>
            <family val="2"/>
          </rPr>
          <t>dcatalan:</t>
        </r>
        <r>
          <rPr>
            <sz val="8"/>
            <color indexed="81"/>
            <rFont val="Tahoma"/>
            <family val="2"/>
          </rPr>
          <t xml:space="preserve">
(Co) Cede 0.1354 a Rubio y Mahuad (Certificado Nº 30).
(A) Incremento de 0.271 t desde Antonio da venezia (Certificado Nº 46).</t>
        </r>
      </text>
    </comment>
    <comment ref="F160" authorId="1">
      <text>
        <r>
          <rPr>
            <b/>
            <sz val="8"/>
            <color indexed="81"/>
            <rFont val="Tahoma"/>
            <family val="2"/>
          </rPr>
          <t>mmendoza:</t>
        </r>
        <r>
          <rPr>
            <sz val="8"/>
            <color indexed="81"/>
            <rFont val="Tahoma"/>
            <family val="2"/>
          </rPr>
          <t xml:space="preserve">
(a) Cede 229.771 t a Enfemar (Cert N°58)</t>
        </r>
      </text>
    </comment>
    <comment ref="F162" authorId="1">
      <text>
        <r>
          <rPr>
            <b/>
            <sz val="8"/>
            <color indexed="81"/>
            <rFont val="Tahoma"/>
            <family val="2"/>
          </rPr>
          <t>mmendoza:</t>
        </r>
        <r>
          <rPr>
            <sz val="8"/>
            <color indexed="81"/>
            <rFont val="Tahoma"/>
            <family val="2"/>
          </rPr>
          <t xml:space="preserve">
(A) Cede 71.993 t a Artesanal IV Reg (Cert N°131)</t>
        </r>
      </text>
    </comment>
    <comment ref="F166" authorId="1">
      <text>
        <r>
          <rPr>
            <b/>
            <sz val="8"/>
            <color indexed="81"/>
            <rFont val="Tahoma"/>
            <family val="2"/>
          </rPr>
          <t>mmendoza:</t>
        </r>
        <r>
          <rPr>
            <sz val="8"/>
            <color indexed="81"/>
            <rFont val="Tahoma"/>
            <family val="2"/>
          </rPr>
          <t xml:space="preserve">
(CV) Venta de 70.0310988 ton a Grimar (Res N°3562)</t>
        </r>
      </text>
    </comment>
    <comment ref="F168" authorId="1">
      <text>
        <r>
          <rPr>
            <b/>
            <sz val="8"/>
            <color indexed="81"/>
            <rFont val="Tahoma"/>
            <family val="2"/>
          </rPr>
          <t>mmendoza:</t>
        </r>
        <r>
          <rPr>
            <sz val="8"/>
            <color indexed="81"/>
            <rFont val="Tahoma"/>
            <family val="2"/>
          </rPr>
          <t xml:space="preserve">
( A) Cede 188.8 ton a Enfemar (Cert N°93/15)</t>
        </r>
      </text>
    </comment>
    <comment ref="F170" authorId="1">
      <text>
        <r>
          <rPr>
            <b/>
            <sz val="8"/>
            <color indexed="81"/>
            <rFont val="Tahoma"/>
            <family val="2"/>
          </rPr>
          <t>mmendoza:</t>
        </r>
        <r>
          <rPr>
            <sz val="8"/>
            <color indexed="81"/>
            <rFont val="Tahoma"/>
            <family val="2"/>
          </rPr>
          <t xml:space="preserve">
(cv) Vende 220.1130222 t a Grimar S.A. (Res N°2144)</t>
        </r>
      </text>
    </comment>
    <comment ref="F172" authorId="0">
      <text>
        <r>
          <rPr>
            <b/>
            <sz val="8"/>
            <color indexed="81"/>
            <rFont val="Tahoma"/>
            <family val="2"/>
          </rPr>
          <t>dcatalan:</t>
        </r>
        <r>
          <rPr>
            <sz val="8"/>
            <color indexed="81"/>
            <rFont val="Tahoma"/>
            <family val="2"/>
          </rPr>
          <t xml:space="preserve">
(A) Incremento de 0.5 t desde Enfemar (Certificado Nº 29).
(A) Cede 0.13542 t a Soc. Pesq. Quintero Ltda. (Cert. N°129)
</t>
        </r>
      </text>
    </comment>
    <comment ref="F192" authorId="1">
      <text>
        <r>
          <rPr>
            <b/>
            <sz val="8"/>
            <color indexed="81"/>
            <rFont val="Tahoma"/>
            <family val="2"/>
          </rPr>
          <t xml:space="preserve">mmendoza: 
</t>
        </r>
        <r>
          <rPr>
            <sz val="11"/>
            <color indexed="81"/>
            <rFont val="Tahoma"/>
            <family val="2"/>
          </rPr>
          <t>(C) Incrementa 4204.065149 t desde Blumar S.A. (Certificado N°154)
(C) Incrementa 4000.9839 t desde Bio Bio S.A. (Certificado N°163)</t>
        </r>
        <r>
          <rPr>
            <sz val="8"/>
            <color indexed="81"/>
            <rFont val="Tahoma"/>
            <family val="2"/>
          </rPr>
          <t xml:space="preserve">
</t>
        </r>
        <r>
          <rPr>
            <sz val="11"/>
            <color indexed="81"/>
            <rFont val="Tahoma"/>
            <family val="2"/>
          </rPr>
          <t xml:space="preserve"> (A) Cede 0.13542 t a Blumar S.A. (Certificado N°356)
(A) Cede 0.13542 t a Bio Bio S.A. (Certificado N°359)
(A ) Cede 0.135425 t a Jorge Cofre (Cert N°50)
(A) Cede 0.135425 t a Pesq. CMK (Cert N°51)
(A) Cede 0.135425 t a Camanchaca PS (Cert N°49)</t>
        </r>
      </text>
    </comment>
    <comment ref="F194" authorId="1">
      <text>
        <r>
          <rPr>
            <b/>
            <sz val="8"/>
            <color indexed="81"/>
            <rFont val="Tahoma"/>
            <family val="2"/>
          </rPr>
          <t>mmendoza:</t>
        </r>
        <r>
          <rPr>
            <sz val="8"/>
            <color indexed="81"/>
            <rFont val="Tahoma"/>
            <family val="2"/>
          </rPr>
          <t xml:space="preserve">
(A) Incrementa en 10 t desde Grimar (Certificado N°07)</t>
        </r>
      </text>
    </comment>
    <comment ref="F196" authorId="0">
      <text>
        <r>
          <rPr>
            <b/>
            <sz val="8"/>
            <color indexed="81"/>
            <rFont val="Tahoma"/>
            <family val="2"/>
          </rPr>
          <t>dcatalan:</t>
        </r>
        <r>
          <rPr>
            <sz val="8"/>
            <color indexed="81"/>
            <rFont val="Tahoma"/>
            <family val="2"/>
          </rPr>
          <t xml:space="preserve">
(Co) Incremento de 0.1354 desde Isladamas (Certificado Nº 30).</t>
        </r>
      </text>
    </comment>
    <comment ref="F198" authorId="1">
      <text>
        <r>
          <rPr>
            <b/>
            <sz val="8"/>
            <color indexed="81"/>
            <rFont val="Tahoma"/>
            <family val="2"/>
          </rPr>
          <t>mmendoza:</t>
        </r>
        <r>
          <rPr>
            <sz val="8"/>
            <color indexed="81"/>
            <rFont val="Tahoma"/>
            <family val="2"/>
          </rPr>
          <t xml:space="preserve">
(a) Incremento de 0.135425 de Congelados del Pacifico (Cert N°50)
</t>
        </r>
      </text>
    </comment>
    <comment ref="F200" authorId="1">
      <text>
        <r>
          <rPr>
            <b/>
            <sz val="8"/>
            <color indexed="81"/>
            <rFont val="Tahoma"/>
            <family val="2"/>
          </rPr>
          <t>mmendoza:</t>
        </r>
        <r>
          <rPr>
            <sz val="8"/>
            <color indexed="81"/>
            <rFont val="Tahoma"/>
            <family val="2"/>
          </rPr>
          <t xml:space="preserve">
(a) Incremento de 0.135425 de Congelados del Pacifico (Cert N°51
)</t>
        </r>
      </text>
    </comment>
    <comment ref="F202" authorId="1">
      <text>
        <r>
          <rPr>
            <b/>
            <sz val="8"/>
            <color indexed="81"/>
            <rFont val="Tahoma"/>
            <family val="2"/>
          </rPr>
          <t>mmendoza:</t>
        </r>
        <r>
          <rPr>
            <sz val="8"/>
            <color indexed="81"/>
            <rFont val="Tahoma"/>
            <family val="2"/>
          </rPr>
          <t xml:space="preserve">
(a) Incremento de 0.135425 desde Congelados del Pacifico (Cert N°49)
(A) Incremento de 3 ton desde Enfemar (Cert N°80)</t>
        </r>
      </text>
    </comment>
    <comment ref="F204" authorId="1">
      <text>
        <r>
          <rPr>
            <b/>
            <sz val="8"/>
            <color indexed="81"/>
            <rFont val="Tahoma"/>
            <family val="2"/>
          </rPr>
          <t>mmendoza:</t>
        </r>
        <r>
          <rPr>
            <sz val="8"/>
            <color indexed="81"/>
            <rFont val="Tahoma"/>
            <family val="2"/>
          </rPr>
          <t xml:space="preserve">
(CV) Incrementa en 23.703 t desde Jaime Alvarez Armijo (Res N°10)
(A) Cede 23.703 t a Pesquera Antonio Cruz C (Cert N°127)</t>
        </r>
      </text>
    </comment>
    <comment ref="F206" authorId="1">
      <text>
        <r>
          <rPr>
            <b/>
            <sz val="8"/>
            <color indexed="81"/>
            <rFont val="Tahoma"/>
            <family val="2"/>
          </rPr>
          <t>mmendoza:</t>
        </r>
        <r>
          <rPr>
            <sz val="8"/>
            <color indexed="81"/>
            <rFont val="Tahoma"/>
            <family val="2"/>
          </rPr>
          <t xml:space="preserve">
(A) Incrementa en 0.13542 t desde Pesq. Quintero S.A.. (Cert. N°129)</t>
        </r>
      </text>
    </comment>
  </commentList>
</comments>
</file>

<file path=xl/comments3.xml><?xml version="1.0" encoding="utf-8"?>
<comments xmlns="http://schemas.openxmlformats.org/spreadsheetml/2006/main">
  <authors>
    <author>dcatalan</author>
    <author>mmendoza</author>
  </authors>
  <commentList>
    <comment ref="AV8" authorId="0">
      <text>
        <r>
          <rPr>
            <b/>
            <sz val="8"/>
            <color indexed="81"/>
            <rFont val="Tahoma"/>
            <family val="2"/>
          </rPr>
          <t>dcatalan:</t>
        </r>
        <r>
          <rPr>
            <sz val="8"/>
            <color indexed="81"/>
            <rFont val="Tahoma"/>
            <family val="2"/>
          </rPr>
          <t xml:space="preserve">
(Co) Cede 268.265 t a Pesq. Quintero (Certificado Nº 26).</t>
        </r>
      </text>
    </comment>
    <comment ref="R10" authorId="1">
      <text>
        <r>
          <rPr>
            <b/>
            <sz val="11"/>
            <color indexed="81"/>
            <rFont val="Tahoma"/>
            <family val="2"/>
          </rPr>
          <t>mmendoza:</t>
        </r>
        <r>
          <rPr>
            <sz val="11"/>
            <color indexed="81"/>
            <rFont val="Tahoma"/>
            <family val="2"/>
          </rPr>
          <t xml:space="preserve">
(A) Cede 0.04026 t a Congelados del Pacifico IV (Certificado N°357)</t>
        </r>
      </text>
    </comment>
    <comment ref="X10" authorId="1">
      <text>
        <r>
          <rPr>
            <b/>
            <sz val="11"/>
            <color indexed="81"/>
            <rFont val="Tahoma"/>
            <family val="2"/>
          </rPr>
          <t>mmendoza:</t>
        </r>
        <r>
          <rPr>
            <sz val="11"/>
            <color indexed="81"/>
            <rFont val="Tahoma"/>
            <family val="2"/>
          </rPr>
          <t xml:space="preserve">
(A) Cede 0.04026 t a Congelados del Pacifico VI (Certificado N°357)</t>
        </r>
      </text>
    </comment>
    <comment ref="AD10" authorId="1">
      <text>
        <r>
          <rPr>
            <b/>
            <sz val="11"/>
            <color indexed="81"/>
            <rFont val="Tahoma"/>
            <family val="2"/>
          </rPr>
          <t>mmendoza:</t>
        </r>
        <r>
          <rPr>
            <sz val="11"/>
            <color indexed="81"/>
            <rFont val="Tahoma"/>
            <family val="2"/>
          </rPr>
          <t xml:space="preserve">
(A) Cede 0.04026 t a Congelados del Pacifico VI (Certificado N°357)</t>
        </r>
      </text>
    </comment>
    <comment ref="AJ10" authorId="1">
      <text>
        <r>
          <rPr>
            <b/>
            <sz val="11"/>
            <color indexed="81"/>
            <rFont val="Tahoma"/>
            <family val="2"/>
          </rPr>
          <t>mmendoza:</t>
        </r>
        <r>
          <rPr>
            <sz val="11"/>
            <color indexed="81"/>
            <rFont val="Tahoma"/>
            <family val="2"/>
          </rPr>
          <t xml:space="preserve">
(A) Cede 0.04026 t a Congelados del Pacifico VI (Certificado N°357)
(A) Cede 19.245 t a Camanchaca PS VII (Cert N° 121)</t>
        </r>
      </text>
    </comment>
    <comment ref="AP10" authorId="1">
      <text>
        <r>
          <rPr>
            <b/>
            <sz val="11"/>
            <color indexed="81"/>
            <rFont val="Tahoma"/>
            <family val="2"/>
          </rPr>
          <t>mmendoza:</t>
        </r>
        <r>
          <rPr>
            <sz val="11"/>
            <color indexed="81"/>
            <rFont val="Tahoma"/>
            <family val="2"/>
          </rPr>
          <t xml:space="preserve">
(A) Cede 0.04026 t a Congelados del Pacifico VI (Certificado N°357)
(A) Cede 19.406 t a Camanchaca PS VIII (Cert N° 121)</t>
        </r>
      </text>
    </comment>
    <comment ref="AV10" authorId="1">
      <text>
        <r>
          <rPr>
            <b/>
            <sz val="11"/>
            <color indexed="81"/>
            <rFont val="Tahoma"/>
            <family val="2"/>
          </rPr>
          <t>mmendoza:</t>
        </r>
        <r>
          <rPr>
            <sz val="11"/>
            <color indexed="81"/>
            <rFont val="Tahoma"/>
            <family val="2"/>
          </rPr>
          <t xml:space="preserve">
(A) Cede 0.2013 t a Congelados del Pacifico II-VIII (Certificado N°357)
(CV) Vende 0.16104016 t a Bio Bio S.A. (Res N°2853)</t>
        </r>
      </text>
    </comment>
    <comment ref="R12" authorId="1">
      <text>
        <r>
          <rPr>
            <b/>
            <sz val="8"/>
            <color indexed="81"/>
            <rFont val="Tahoma"/>
            <family val="2"/>
          </rPr>
          <t>mmendoza:</t>
        </r>
        <r>
          <rPr>
            <sz val="8"/>
            <color indexed="81"/>
            <rFont val="Tahoma"/>
            <family val="2"/>
          </rPr>
          <t xml:space="preserve">
(C ) Incremento de 20.7 t desde Artesanles (Res N°452). Modificada por Res N°3437, deja sin efecto 20.7 ton.
( C) Cede 39.334 t a Artesanal IV Reg. (Res N°3191). 
(C ) Incremento de 17.772 t desde Artesanal IV Reg (Res N°3217). Deja sin efecto por Res N°3437.</t>
        </r>
      </text>
    </comment>
    <comment ref="X14" authorId="0">
      <text>
        <r>
          <rPr>
            <b/>
            <sz val="8"/>
            <color indexed="81"/>
            <rFont val="Tahoma"/>
            <family val="2"/>
          </rPr>
          <t>dcatalan:</t>
        </r>
        <r>
          <rPr>
            <sz val="8"/>
            <color indexed="81"/>
            <rFont val="Tahoma"/>
            <family val="2"/>
          </rPr>
          <t xml:space="preserve">
(A) Cede 0.0040269 t a Pesq. CMK (Certificado Nº 60).
(A) Cede 0.0040269 ton a Jorge Cofre, V Reg (Cert N°62)</t>
        </r>
      </text>
    </comment>
    <comment ref="AJ14" authorId="1">
      <text>
        <r>
          <rPr>
            <b/>
            <sz val="8"/>
            <color indexed="81"/>
            <rFont val="Tahoma"/>
            <family val="2"/>
          </rPr>
          <t>mmendoza:</t>
        </r>
        <r>
          <rPr>
            <sz val="8"/>
            <color indexed="81"/>
            <rFont val="Tahoma"/>
            <family val="2"/>
          </rPr>
          <t xml:space="preserve">
(A) Incrementa 19.245 t desde Blumar VII (Cert N° 121)</t>
        </r>
      </text>
    </comment>
    <comment ref="AP14" authorId="1">
      <text>
        <r>
          <rPr>
            <b/>
            <sz val="8"/>
            <color indexed="81"/>
            <rFont val="Tahoma"/>
            <family val="2"/>
          </rPr>
          <t>mmendoza:</t>
        </r>
        <r>
          <rPr>
            <sz val="8"/>
            <color indexed="81"/>
            <rFont val="Tahoma"/>
            <family val="2"/>
          </rPr>
          <t xml:space="preserve">
(A) Incrementa 19.406 t desde Blumar VIII (Cert N° 121)</t>
        </r>
      </text>
    </comment>
    <comment ref="X17" authorId="1">
      <text>
        <r>
          <rPr>
            <b/>
            <sz val="8"/>
            <color indexed="81"/>
            <rFont val="Tahoma"/>
            <family val="2"/>
          </rPr>
          <t>mmendoza:</t>
        </r>
        <r>
          <rPr>
            <sz val="8"/>
            <color indexed="81"/>
            <rFont val="Tahoma"/>
            <family val="2"/>
          </rPr>
          <t xml:space="preserve">
(Co) Incremento de 19 ton desde Isladamas V (Cert N°157)</t>
        </r>
      </text>
    </comment>
    <comment ref="AV18" authorId="0">
      <text>
        <r>
          <rPr>
            <b/>
            <sz val="9"/>
            <color indexed="81"/>
            <rFont val="Tahoma"/>
            <family val="2"/>
          </rPr>
          <t>dcatalan:</t>
        </r>
        <r>
          <rPr>
            <sz val="9"/>
            <color indexed="81"/>
            <rFont val="Tahoma"/>
            <family val="2"/>
          </rPr>
          <t xml:space="preserve">
(A) Cede 98,084 t a Pesq. Isladamas (Certificado N°72)</t>
        </r>
      </text>
    </comment>
    <comment ref="X22" authorId="1">
      <text>
        <r>
          <rPr>
            <b/>
            <sz val="8"/>
            <color indexed="81"/>
            <rFont val="Tahoma"/>
            <family val="2"/>
          </rPr>
          <t>mmendoza:</t>
        </r>
        <r>
          <rPr>
            <sz val="8"/>
            <color indexed="81"/>
            <rFont val="Tahoma"/>
            <family val="2"/>
          </rPr>
          <t xml:space="preserve">
(A) Cede 0.004026 ton a Antonio Da Venezia, V Reg (Cert N°63)
(Co) Cede 19 ton a Antonio Cruz cordova, V Reg (Cert N°157)</t>
        </r>
      </text>
    </comment>
    <comment ref="AV22" authorId="0">
      <text>
        <r>
          <rPr>
            <b/>
            <sz val="9"/>
            <color indexed="81"/>
            <rFont val="Tahoma"/>
            <family val="2"/>
          </rPr>
          <t>dcatalan:</t>
        </r>
        <r>
          <rPr>
            <sz val="9"/>
            <color indexed="81"/>
            <rFont val="Tahoma"/>
            <family val="2"/>
          </rPr>
          <t xml:space="preserve">
(A) Incremento de 98,084 t desde Costa Brava (Certificado N°72).
(A) Incremento de 174,829 t desde Sunrise (Certificado N°74).</t>
        </r>
      </text>
    </comment>
    <comment ref="AV26" authorId="0">
      <text>
        <r>
          <rPr>
            <b/>
            <sz val="8"/>
            <color indexed="81"/>
            <rFont val="Tahoma"/>
            <family val="2"/>
          </rPr>
          <t>dcatalan:</t>
        </r>
        <r>
          <rPr>
            <sz val="8"/>
            <color indexed="81"/>
            <rFont val="Tahoma"/>
            <family val="2"/>
          </rPr>
          <t xml:space="preserve">
(Co) Cede 153.868 t a Pesq. Quintero (Certificado Nº 24).</t>
        </r>
      </text>
    </comment>
    <comment ref="AV28" authorId="0">
      <text>
        <r>
          <rPr>
            <b/>
            <sz val="8"/>
            <color indexed="81"/>
            <rFont val="Tahoma"/>
            <family val="2"/>
          </rPr>
          <t>dcatalan:</t>
        </r>
        <r>
          <rPr>
            <sz val="8"/>
            <color indexed="81"/>
            <rFont val="Tahoma"/>
            <family val="2"/>
          </rPr>
          <t xml:space="preserve">
(Co) Cede 347.026 t a Pesq. Quintero (Certificado Nº21).</t>
        </r>
      </text>
    </comment>
    <comment ref="R30" authorId="1">
      <text>
        <r>
          <rPr>
            <b/>
            <sz val="8"/>
            <color indexed="81"/>
            <rFont val="Tahoma"/>
            <family val="2"/>
          </rPr>
          <t>mmendoza:</t>
        </r>
        <r>
          <rPr>
            <sz val="8"/>
            <color indexed="81"/>
            <rFont val="Tahoma"/>
            <family val="2"/>
          </rPr>
          <t xml:space="preserve">
( C) Incrementa en 99.997 t desde Armadores art IV Reg. (Res. N°3072)</t>
        </r>
      </text>
    </comment>
    <comment ref="AV30" authorId="0">
      <text>
        <r>
          <rPr>
            <b/>
            <sz val="8"/>
            <color indexed="81"/>
            <rFont val="Tahoma"/>
            <family val="2"/>
          </rPr>
          <t>dcatalan:</t>
        </r>
        <r>
          <rPr>
            <sz val="8"/>
            <color indexed="81"/>
            <rFont val="Tahoma"/>
            <family val="2"/>
          </rPr>
          <t xml:space="preserve">
(Co) Cede 83.079 t a Pesq. Quintero (Certificado Nº 23)</t>
        </r>
      </text>
    </comment>
    <comment ref="R32" authorId="0">
      <text>
        <r>
          <rPr>
            <b/>
            <sz val="8"/>
            <color indexed="81"/>
            <rFont val="Tahoma"/>
            <family val="2"/>
          </rPr>
          <t>dcatalan:</t>
        </r>
        <r>
          <rPr>
            <sz val="8"/>
            <color indexed="81"/>
            <rFont val="Tahoma"/>
            <family val="2"/>
          </rPr>
          <t xml:space="preserve">
(A) Incremento de 11.516 t desde Rubio y Mahuad IV (Certificado Nº 36).</t>
        </r>
      </text>
    </comment>
    <comment ref="X32" authorId="0">
      <text>
        <r>
          <rPr>
            <b/>
            <sz val="8"/>
            <color indexed="81"/>
            <rFont val="Tahoma"/>
            <family val="2"/>
          </rPr>
          <t>dcatalan:</t>
        </r>
        <r>
          <rPr>
            <sz val="8"/>
            <color indexed="81"/>
            <rFont val="Tahoma"/>
            <family val="2"/>
          </rPr>
          <t xml:space="preserve">
(A) Incremento de 21.825 t desde Rubio y Mahuad V (Certificado Nº 36).
(A) Cede 0.1 t a Enfemar V region (Certificado Nº 44).</t>
        </r>
      </text>
    </comment>
    <comment ref="AD32" authorId="0">
      <text>
        <r>
          <rPr>
            <b/>
            <sz val="8"/>
            <color indexed="81"/>
            <rFont val="Tahoma"/>
            <family val="2"/>
          </rPr>
          <t>dcatalan:</t>
        </r>
        <r>
          <rPr>
            <sz val="8"/>
            <color indexed="81"/>
            <rFont val="Tahoma"/>
            <family val="2"/>
          </rPr>
          <t xml:space="preserve">
(A) Incremento de 37.207 t desde Rubio y Mahuad VI (Certificado Nº 36).</t>
        </r>
      </text>
    </comment>
    <comment ref="AJ32" authorId="0">
      <text>
        <r>
          <rPr>
            <b/>
            <sz val="8"/>
            <color indexed="81"/>
            <rFont val="Tahoma"/>
            <family val="2"/>
          </rPr>
          <t>dcatalan:</t>
        </r>
        <r>
          <rPr>
            <sz val="8"/>
            <color indexed="81"/>
            <rFont val="Tahoma"/>
            <family val="2"/>
          </rPr>
          <t xml:space="preserve">
(A) Incremento de 36.804 t desde Rubio y Mahuad VII (Certificado Nº 36).</t>
        </r>
      </text>
    </comment>
    <comment ref="AP32" authorId="0">
      <text>
        <r>
          <rPr>
            <b/>
            <sz val="8"/>
            <color indexed="81"/>
            <rFont val="Tahoma"/>
            <family val="2"/>
          </rPr>
          <t>dcatalan:</t>
        </r>
        <r>
          <rPr>
            <sz val="8"/>
            <color indexed="81"/>
            <rFont val="Tahoma"/>
            <family val="2"/>
          </rPr>
          <t xml:space="preserve">
(A) Incremento de 37.207 t desde Rubio y Mahuad VIII (Certificado Nº 36).</t>
        </r>
      </text>
    </comment>
    <comment ref="AV32" authorId="0">
      <text>
        <r>
          <rPr>
            <b/>
            <sz val="8"/>
            <color indexed="81"/>
            <rFont val="Tahoma"/>
            <family val="2"/>
          </rPr>
          <t>dcatalan:</t>
        </r>
        <r>
          <rPr>
            <sz val="8"/>
            <color indexed="81"/>
            <rFont val="Tahoma"/>
            <family val="2"/>
          </rPr>
          <t xml:space="preserve">
(Co) Incremento de 347.026 t desde Morozin Yurecic Mario (Certificado Nº 21).
(Co) Incremento de 83.079 t desde Quintero Ltda (Certificado Nº 23).
(Co) Incremento de 153.868 t desde Maria Ana Morozin (Certificado Nº 24).
(Co) Incremento de 268.265 t desde Baycic Baycic maria (Certificado Nº 26).
(A) Incremento de 144.5595 t desde Rubio y Mahuad (Certificado Nº 36)</t>
        </r>
      </text>
    </comment>
    <comment ref="R34" authorId="0">
      <text>
        <r>
          <rPr>
            <b/>
            <sz val="8"/>
            <color indexed="81"/>
            <rFont val="Tahoma"/>
            <family val="2"/>
          </rPr>
          <t>dcatalan:</t>
        </r>
        <r>
          <rPr>
            <sz val="8"/>
            <color indexed="81"/>
            <rFont val="Tahoma"/>
            <family val="2"/>
          </rPr>
          <t xml:space="preserve">
(A) Cede 11.516 t a Pesq. Quintero S.A. IV (Certificado Nº 36)
( C) Incrementa en 35 ton desde Artesanal  (Resol N°3010)</t>
        </r>
      </text>
    </comment>
    <comment ref="X34" authorId="0">
      <text>
        <r>
          <rPr>
            <b/>
            <sz val="8"/>
            <color indexed="81"/>
            <rFont val="Tahoma"/>
            <family val="2"/>
          </rPr>
          <t>dcatalan:</t>
        </r>
        <r>
          <rPr>
            <sz val="8"/>
            <color indexed="81"/>
            <rFont val="Tahoma"/>
            <family val="2"/>
          </rPr>
          <t xml:space="preserve">
(A) Cede 21.825 t a Pesq. Quintero S.A. V (Certificado Nº 36).</t>
        </r>
      </text>
    </comment>
    <comment ref="AD34" authorId="0">
      <text>
        <r>
          <rPr>
            <b/>
            <sz val="8"/>
            <color indexed="81"/>
            <rFont val="Tahoma"/>
            <family val="2"/>
          </rPr>
          <t>dcatalan:</t>
        </r>
        <r>
          <rPr>
            <sz val="8"/>
            <color indexed="81"/>
            <rFont val="Tahoma"/>
            <family val="2"/>
          </rPr>
          <t xml:space="preserve">
(A) Cede 37.207 t a Pesq. Quintero S.A. VI (Certificado Nº 36).</t>
        </r>
      </text>
    </comment>
    <comment ref="AJ34" authorId="0">
      <text>
        <r>
          <rPr>
            <b/>
            <sz val="8"/>
            <color indexed="81"/>
            <rFont val="Tahoma"/>
            <family val="2"/>
          </rPr>
          <t>dcatalan:</t>
        </r>
        <r>
          <rPr>
            <sz val="8"/>
            <color indexed="81"/>
            <rFont val="Tahoma"/>
            <family val="2"/>
          </rPr>
          <t xml:space="preserve">
(A) Cede 36.804 t a Pesq. Quintero S.A. VII (Certificado Nº 36).</t>
        </r>
      </text>
    </comment>
    <comment ref="AP34" authorId="0">
      <text>
        <r>
          <rPr>
            <b/>
            <sz val="8"/>
            <color indexed="81"/>
            <rFont val="Tahoma"/>
            <family val="2"/>
          </rPr>
          <t>dcatalan:</t>
        </r>
        <r>
          <rPr>
            <sz val="8"/>
            <color indexed="81"/>
            <rFont val="Tahoma"/>
            <family val="2"/>
          </rPr>
          <t xml:space="preserve">
(A) Cede 37.207 t a Pesq. Quintero S.A. VIII (Certificado Nº 36).</t>
        </r>
      </text>
    </comment>
    <comment ref="AV34" authorId="0">
      <text>
        <r>
          <rPr>
            <b/>
            <sz val="8"/>
            <color indexed="81"/>
            <rFont val="Tahoma"/>
            <family val="2"/>
          </rPr>
          <t>dcatalan:</t>
        </r>
        <r>
          <rPr>
            <sz val="8"/>
            <color indexed="81"/>
            <rFont val="Tahoma"/>
            <family val="2"/>
          </rPr>
          <t xml:space="preserve">
(A) Cede 144.5595 a Pesq. Quintero (Certificado Nº 36).
( C) Incrementa en 35 ton a Rubio y Mauad II-VIII (Res N°3010)</t>
        </r>
      </text>
    </comment>
    <comment ref="AV36" authorId="0">
      <text>
        <r>
          <rPr>
            <b/>
            <sz val="9"/>
            <color indexed="81"/>
            <rFont val="Tahoma"/>
            <family val="2"/>
          </rPr>
          <t>dcatalan:</t>
        </r>
        <r>
          <rPr>
            <sz val="9"/>
            <color indexed="81"/>
            <rFont val="Tahoma"/>
            <family val="2"/>
          </rPr>
          <t xml:space="preserve">
(A) Cede 174,829 t a Isladamas (Certificado N°74).</t>
        </r>
      </text>
    </comment>
    <comment ref="R38" authorId="1">
      <text>
        <r>
          <rPr>
            <b/>
            <sz val="11"/>
            <color indexed="81"/>
            <rFont val="Tahoma"/>
            <family val="2"/>
          </rPr>
          <t>mmendoza:</t>
        </r>
        <r>
          <rPr>
            <sz val="11"/>
            <color indexed="81"/>
            <rFont val="Tahoma"/>
            <family val="2"/>
          </rPr>
          <t xml:space="preserve">
(A) Incremento de 0.04026 t desde Blumar S.A. IV (Certificado N°357)</t>
        </r>
      </text>
    </comment>
    <comment ref="X38" authorId="1">
      <text>
        <r>
          <rPr>
            <b/>
            <sz val="11"/>
            <color indexed="81"/>
            <rFont val="Tahoma"/>
            <family val="2"/>
          </rPr>
          <t>mmendoza:</t>
        </r>
        <r>
          <rPr>
            <sz val="11"/>
            <color indexed="81"/>
            <rFont val="Tahoma"/>
            <family val="2"/>
          </rPr>
          <t xml:space="preserve">
(A) Incremento de 0.04026 t desde Blumar S.A. IV (Certificado N°357)</t>
        </r>
      </text>
    </comment>
    <comment ref="AD38" authorId="1">
      <text>
        <r>
          <rPr>
            <b/>
            <sz val="11"/>
            <color indexed="81"/>
            <rFont val="Tahoma"/>
            <family val="2"/>
          </rPr>
          <t>mmendoza:</t>
        </r>
        <r>
          <rPr>
            <sz val="11"/>
            <color indexed="81"/>
            <rFont val="Tahoma"/>
            <family val="2"/>
          </rPr>
          <t xml:space="preserve">
(A) Incremento de 0.04026 t desde Blumar S.A. IV (Certificado N°357)</t>
        </r>
      </text>
    </comment>
    <comment ref="AJ38" authorId="1">
      <text>
        <r>
          <rPr>
            <b/>
            <sz val="11"/>
            <color indexed="81"/>
            <rFont val="Tahoma"/>
            <family val="2"/>
          </rPr>
          <t>mmendoza:</t>
        </r>
        <r>
          <rPr>
            <sz val="11"/>
            <color indexed="81"/>
            <rFont val="Tahoma"/>
            <family val="2"/>
          </rPr>
          <t xml:space="preserve">
(A) Incremento de 0.04026 t desde Blumar S.A. IV (Certificado N°357)</t>
        </r>
      </text>
    </comment>
    <comment ref="AP38" authorId="1">
      <text>
        <r>
          <rPr>
            <b/>
            <sz val="11"/>
            <color indexed="81"/>
            <rFont val="Tahoma"/>
            <family val="2"/>
          </rPr>
          <t>mmendoza:</t>
        </r>
        <r>
          <rPr>
            <sz val="11"/>
            <color indexed="81"/>
            <rFont val="Tahoma"/>
            <family val="2"/>
          </rPr>
          <t xml:space="preserve">
(A) Incremento de 0.04026 t desde Blumar S.A. IV (Certificado N°357)</t>
        </r>
      </text>
    </comment>
    <comment ref="AV38" authorId="1">
      <text>
        <r>
          <rPr>
            <b/>
            <sz val="11"/>
            <color indexed="81"/>
            <rFont val="Tahoma"/>
            <family val="2"/>
          </rPr>
          <t>mmendoza:</t>
        </r>
        <r>
          <rPr>
            <sz val="11"/>
            <color indexed="81"/>
            <rFont val="Tahoma"/>
            <family val="2"/>
          </rPr>
          <t xml:space="preserve">
(A) Incremento de 0.2013 t desde Blumar S.A. II-VIII (Certificado N°357)</t>
        </r>
      </text>
    </comment>
    <comment ref="X40" authorId="0">
      <text>
        <r>
          <rPr>
            <b/>
            <sz val="8"/>
            <color indexed="81"/>
            <rFont val="Tahoma"/>
            <family val="2"/>
          </rPr>
          <t>dcatalan:</t>
        </r>
        <r>
          <rPr>
            <sz val="8"/>
            <color indexed="81"/>
            <rFont val="Tahoma"/>
            <family val="2"/>
          </rPr>
          <t xml:space="preserve">
(A) Incremento de 0.1 t desde Quintero S.A. V region (Certificado Nº44)</t>
        </r>
      </text>
    </comment>
    <comment ref="X42" authorId="0">
      <text>
        <r>
          <rPr>
            <b/>
            <sz val="8"/>
            <color indexed="81"/>
            <rFont val="Tahoma"/>
            <family val="2"/>
          </rPr>
          <t>dcatalan:</t>
        </r>
        <r>
          <rPr>
            <sz val="8"/>
            <color indexed="81"/>
            <rFont val="Tahoma"/>
            <family val="2"/>
          </rPr>
          <t xml:space="preserve">
(A) Incremento de 0.0040269 t desde Camanchaca pesca Sur (Certificado Nº 60).</t>
        </r>
      </text>
    </comment>
    <comment ref="X44" authorId="0">
      <text>
        <r>
          <rPr>
            <b/>
            <sz val="8"/>
            <color indexed="81"/>
            <rFont val="Tahoma"/>
            <family val="2"/>
          </rPr>
          <t>dcatalan:</t>
        </r>
        <r>
          <rPr>
            <sz val="8"/>
            <color indexed="81"/>
            <rFont val="Tahoma"/>
            <family val="2"/>
          </rPr>
          <t xml:space="preserve">
(A) Incremento de 0.0040269 t desde Camanchaca pesca Sur, V Reg (Certificado Nº 62).</t>
        </r>
      </text>
    </comment>
    <comment ref="X46" authorId="0">
      <text>
        <r>
          <rPr>
            <b/>
            <sz val="8"/>
            <color indexed="81"/>
            <rFont val="Tahoma"/>
            <family val="2"/>
          </rPr>
          <t>dcatalan:</t>
        </r>
        <r>
          <rPr>
            <sz val="8"/>
            <color indexed="81"/>
            <rFont val="Tahoma"/>
            <family val="2"/>
          </rPr>
          <t xml:space="preserve">
(A) Incremento de 0.0040269 t desde Isladamas, V Reg (Certificado Nº 63).</t>
        </r>
      </text>
    </comment>
    <comment ref="AV48" authorId="1">
      <text>
        <r>
          <rPr>
            <b/>
            <sz val="8"/>
            <color indexed="81"/>
            <rFont val="Tahoma"/>
            <family val="2"/>
          </rPr>
          <t>mmendoza:</t>
        </r>
        <r>
          <rPr>
            <sz val="8"/>
            <color indexed="81"/>
            <rFont val="Tahoma"/>
            <family val="2"/>
          </rPr>
          <t xml:space="preserve">
(CV) Incrementa en 0.16104016 t desde Blumar S.A. (Res N°2853)
</t>
        </r>
      </text>
    </comment>
    <comment ref="R56" authorId="0">
      <text>
        <r>
          <rPr>
            <b/>
            <sz val="8"/>
            <color indexed="81"/>
            <rFont val="Tahoma"/>
            <family val="2"/>
          </rPr>
          <t>dcatalan:</t>
        </r>
        <r>
          <rPr>
            <sz val="8"/>
            <color indexed="81"/>
            <rFont val="Tahoma"/>
            <family val="2"/>
          </rPr>
          <t xml:space="preserve">
(Co) Cede 50.228 t a Pesq. Quintero (Certificado Nº 27).</t>
        </r>
      </text>
    </comment>
    <comment ref="L58" authorId="1">
      <text>
        <r>
          <rPr>
            <b/>
            <sz val="8"/>
            <color indexed="81"/>
            <rFont val="Tahoma"/>
            <family val="2"/>
          </rPr>
          <t>mmendoza:</t>
        </r>
        <r>
          <rPr>
            <sz val="8"/>
            <color indexed="81"/>
            <rFont val="Tahoma"/>
            <family val="2"/>
          </rPr>
          <t xml:space="preserve">
</t>
        </r>
        <r>
          <rPr>
            <sz val="10"/>
            <color indexed="81"/>
            <rFont val="Tahoma"/>
            <family val="2"/>
          </rPr>
          <t>(A) Cede 1 t a Grimar IV (Certificado N°09)
(C ) Incremento de 136.5 t desde artesanales (Res N°452)</t>
        </r>
      </text>
    </comment>
    <comment ref="L60" authorId="1">
      <text>
        <r>
          <rPr>
            <b/>
            <sz val="8"/>
            <color indexed="81"/>
            <rFont val="Tahoma"/>
            <family val="2"/>
          </rPr>
          <t>mmendoza:</t>
        </r>
        <r>
          <rPr>
            <sz val="8"/>
            <color indexed="81"/>
            <rFont val="Tahoma"/>
            <family val="2"/>
          </rPr>
          <t xml:space="preserve">
</t>
        </r>
        <r>
          <rPr>
            <sz val="10"/>
            <color indexed="81"/>
            <rFont val="Calibri"/>
            <family val="2"/>
          </rPr>
          <t>(A) Incrementa en 1 t desde Bracpesca IV (Certificado N°09)</t>
        </r>
      </text>
    </comment>
    <comment ref="R62" authorId="0">
      <text>
        <r>
          <rPr>
            <b/>
            <sz val="9"/>
            <color indexed="81"/>
            <rFont val="Tahoma"/>
            <family val="2"/>
          </rPr>
          <t>dcatalan:</t>
        </r>
        <r>
          <rPr>
            <sz val="9"/>
            <color indexed="81"/>
            <rFont val="Tahoma"/>
            <family val="2"/>
          </rPr>
          <t xml:space="preserve">
(A) Incremento de 45,362 t desde Sunrise (Certificado N°75).</t>
        </r>
      </text>
    </comment>
    <comment ref="R64" authorId="0">
      <text>
        <r>
          <rPr>
            <b/>
            <sz val="8"/>
            <color indexed="81"/>
            <rFont val="Tahoma"/>
            <family val="2"/>
          </rPr>
          <t>dcatalan:</t>
        </r>
        <r>
          <rPr>
            <sz val="8"/>
            <color indexed="81"/>
            <rFont val="Tahoma"/>
            <family val="2"/>
          </rPr>
          <t xml:space="preserve">
(Co) Cede 12.488 t a Pesq. Quintero (Certificado Nº 25).</t>
        </r>
      </text>
    </comment>
    <comment ref="R66" authorId="0">
      <text>
        <r>
          <rPr>
            <b/>
            <sz val="8"/>
            <color indexed="81"/>
            <rFont val="Tahoma"/>
            <family val="2"/>
          </rPr>
          <t>dcatalan:</t>
        </r>
        <r>
          <rPr>
            <sz val="8"/>
            <color indexed="81"/>
            <rFont val="Tahoma"/>
            <family val="2"/>
          </rPr>
          <t xml:space="preserve">
(Co) Cede 5.605 t a pesq. Quintero (Certificado Nº22).</t>
        </r>
      </text>
    </comment>
    <comment ref="L68" authorId="0">
      <text>
        <r>
          <rPr>
            <b/>
            <sz val="8"/>
            <color indexed="81"/>
            <rFont val="Tahoma"/>
            <family val="2"/>
          </rPr>
          <t>dcatalan:</t>
        </r>
        <r>
          <rPr>
            <sz val="8"/>
            <color indexed="81"/>
            <rFont val="Tahoma"/>
            <family val="2"/>
          </rPr>
          <t xml:space="preserve">
(A) Cede 0.1 t a Enfemar IV Region (Certificado Nº 45).
( A) Cede  0.0178 t a Soc. Pesq. Quintero Ltda. IV (Cert N°129)</t>
        </r>
      </text>
    </comment>
    <comment ref="R68" authorId="0">
      <text>
        <r>
          <rPr>
            <b/>
            <sz val="8"/>
            <color indexed="81"/>
            <rFont val="Tahoma"/>
            <family val="2"/>
          </rPr>
          <t>dcatalan:</t>
        </r>
        <r>
          <rPr>
            <sz val="8"/>
            <color indexed="81"/>
            <rFont val="Tahoma"/>
            <family val="2"/>
          </rPr>
          <t xml:space="preserve">
(Co) Incremento de 5.605 t desde Morozin Yurecic Mario (Certificado Nº22).
(Co) Incremento de 12.488 t desde Maria Ana Morozin (Certificado Nº 25).
(Co) Incremento de 50.228 t desde baycic Baycic Maria (Certificado Nº 27)
( A) Cede 0.0178 t a Soc. Pesq. Quintero Ltda. IV (Cert N°129)</t>
        </r>
      </text>
    </comment>
    <comment ref="R72" authorId="0">
      <text>
        <r>
          <rPr>
            <b/>
            <sz val="9"/>
            <color indexed="81"/>
            <rFont val="Tahoma"/>
            <family val="2"/>
          </rPr>
          <t>dcatalan:</t>
        </r>
        <r>
          <rPr>
            <sz val="9"/>
            <color indexed="81"/>
            <rFont val="Tahoma"/>
            <family val="2"/>
          </rPr>
          <t xml:space="preserve">
(A) Cede 45,362 t a Isladamas (Certificado N°75).</t>
        </r>
      </text>
    </comment>
    <comment ref="L74" authorId="0">
      <text>
        <r>
          <rPr>
            <b/>
            <sz val="8"/>
            <color indexed="81"/>
            <rFont val="Tahoma"/>
            <family val="2"/>
          </rPr>
          <t>dcatalan:</t>
        </r>
        <r>
          <rPr>
            <sz val="8"/>
            <color indexed="81"/>
            <rFont val="Tahoma"/>
            <family val="2"/>
          </rPr>
          <t xml:space="preserve">
(A) Incremento de 0.1 t desde Quintero S.A. IV Region (Certificado Nº45).</t>
        </r>
      </text>
    </comment>
    <comment ref="L76" authorId="1">
      <text>
        <r>
          <rPr>
            <b/>
            <sz val="8"/>
            <color indexed="81"/>
            <rFont val="Tahoma"/>
            <family val="2"/>
          </rPr>
          <t>mmendoza:</t>
        </r>
        <r>
          <rPr>
            <sz val="8"/>
            <color indexed="81"/>
            <rFont val="Tahoma"/>
            <family val="2"/>
          </rPr>
          <t xml:space="preserve">
( A) Incrementa en 0.0178 t desde Pesq. Quintero S.A. IV (Cert N°129)</t>
        </r>
      </text>
    </comment>
    <comment ref="R82" authorId="1">
      <text>
        <r>
          <rPr>
            <b/>
            <sz val="8"/>
            <color indexed="81"/>
            <rFont val="Tahoma"/>
            <family val="2"/>
          </rPr>
          <t>mmendoza:</t>
        </r>
        <r>
          <rPr>
            <sz val="8"/>
            <color indexed="81"/>
            <rFont val="Tahoma"/>
            <family val="2"/>
          </rPr>
          <t xml:space="preserve">
( C) Incrementa en 15 ton desde Artesanal IV Reg (Res N°2285)</t>
        </r>
      </text>
    </comment>
    <comment ref="X82" authorId="1">
      <text>
        <r>
          <rPr>
            <b/>
            <sz val="8"/>
            <color indexed="81"/>
            <rFont val="Tahoma"/>
            <family val="2"/>
          </rPr>
          <t>mmendoza:</t>
        </r>
        <r>
          <rPr>
            <sz val="8"/>
            <color indexed="81"/>
            <rFont val="Tahoma"/>
            <family val="2"/>
          </rPr>
          <t xml:space="preserve">
( C) Incrementa en 15 ton desde Artesanal IV Reg (Res N°2285)</t>
        </r>
      </text>
    </comment>
    <comment ref="R84" authorId="1">
      <text>
        <r>
          <rPr>
            <b/>
            <sz val="8"/>
            <color indexed="81"/>
            <rFont val="Tahoma"/>
            <family val="2"/>
          </rPr>
          <t>mmendoza:</t>
        </r>
        <r>
          <rPr>
            <sz val="8"/>
            <color indexed="81"/>
            <rFont val="Tahoma"/>
            <family val="2"/>
          </rPr>
          <t xml:space="preserve">
(A) Cede 1 t a Grimar IV (Certificado N°10)
(A) Cede 0.2 t a Pesq. Quintero IV (Certificado Nº28).
(C ) Incremento de 76.65 t desde artesaneles (Res N°452)</t>
        </r>
      </text>
    </comment>
    <comment ref="R86" authorId="1">
      <text>
        <r>
          <rPr>
            <b/>
            <sz val="8"/>
            <color indexed="81"/>
            <rFont val="Tahoma"/>
            <family val="2"/>
          </rPr>
          <t>mmendoza:</t>
        </r>
        <r>
          <rPr>
            <sz val="8"/>
            <color indexed="81"/>
            <rFont val="Tahoma"/>
            <family val="2"/>
          </rPr>
          <t xml:space="preserve">
(A) Incrementa en 0.01 t desde Bracpesca IV (Certificado N°10).</t>
        </r>
      </text>
    </comment>
    <comment ref="X86" authorId="0">
      <text>
        <r>
          <rPr>
            <b/>
            <sz val="9"/>
            <color indexed="81"/>
            <rFont val="Tahoma"/>
            <family val="2"/>
          </rPr>
          <t>dcatalan:</t>
        </r>
        <r>
          <rPr>
            <sz val="9"/>
            <color indexed="81"/>
            <rFont val="Tahoma"/>
            <family val="2"/>
          </rPr>
          <t xml:space="preserve">
(A) Incremento de 6,948 t desde Sunrise (Certificado N° 73).</t>
        </r>
      </text>
    </comment>
    <comment ref="X90" authorId="0">
      <text>
        <r>
          <rPr>
            <b/>
            <sz val="9"/>
            <color indexed="81"/>
            <rFont val="Tahoma"/>
            <family val="2"/>
          </rPr>
          <t>dcatalan:</t>
        </r>
        <r>
          <rPr>
            <sz val="9"/>
            <color indexed="81"/>
            <rFont val="Tahoma"/>
            <family val="2"/>
          </rPr>
          <t xml:space="preserve">
(A) Cede 6,948 t a Isladamas (Certificado N°73).</t>
        </r>
      </text>
    </comment>
    <comment ref="R92" authorId="0">
      <text>
        <r>
          <rPr>
            <b/>
            <sz val="9"/>
            <color indexed="81"/>
            <rFont val="Tahoma"/>
            <family val="2"/>
          </rPr>
          <t>dcatalan:</t>
        </r>
        <r>
          <rPr>
            <sz val="9"/>
            <color indexed="81"/>
            <rFont val="Tahoma"/>
            <family val="2"/>
          </rPr>
          <t xml:space="preserve">
Incremento de 1 t desde Bracpesca IV Región (Certificado N° 10)</t>
        </r>
      </text>
    </comment>
    <comment ref="R94" authorId="0">
      <text>
        <r>
          <rPr>
            <b/>
            <sz val="8"/>
            <color indexed="81"/>
            <rFont val="Tahoma"/>
            <family val="2"/>
          </rPr>
          <t>dcatalan:</t>
        </r>
        <r>
          <rPr>
            <sz val="8"/>
            <color indexed="81"/>
            <rFont val="Tahoma"/>
            <family val="2"/>
          </rPr>
          <t xml:space="preserve">
(A) Incremento de 0.2 t desde Bracpesca IV (Certificado Nº 28).
(A) Cede  0.01056 t a  Soc. Pesq. Quintero  Ltda. IV Region (Cert N°128)</t>
        </r>
      </text>
    </comment>
    <comment ref="X94" authorId="1">
      <text>
        <r>
          <rPr>
            <b/>
            <sz val="8"/>
            <color indexed="81"/>
            <rFont val="Tahoma"/>
            <family val="2"/>
          </rPr>
          <t>mmendoza:</t>
        </r>
        <r>
          <rPr>
            <sz val="8"/>
            <color indexed="81"/>
            <rFont val="Tahoma"/>
            <family val="2"/>
          </rPr>
          <t xml:space="preserve">
(A) cede 0.01056 t a Soc. Pesq. Quintero Ltda. IV Region (Cert N°128)</t>
        </r>
      </text>
    </comment>
    <comment ref="R96" authorId="1">
      <text>
        <r>
          <rPr>
            <b/>
            <sz val="8"/>
            <color indexed="81"/>
            <rFont val="Tahoma"/>
            <family val="2"/>
          </rPr>
          <t>mmendoza:</t>
        </r>
        <r>
          <rPr>
            <sz val="8"/>
            <color indexed="81"/>
            <rFont val="Tahoma"/>
            <family val="2"/>
          </rPr>
          <t xml:space="preserve">
(A) Incrementa en 0.01056 t desde Pesq. Quintero S.A. IV Region (Cert N°128)</t>
        </r>
      </text>
    </comment>
    <comment ref="X96" authorId="1">
      <text>
        <r>
          <rPr>
            <b/>
            <sz val="8"/>
            <color indexed="81"/>
            <rFont val="Tahoma"/>
            <family val="2"/>
          </rPr>
          <t>mmendoza:</t>
        </r>
        <r>
          <rPr>
            <sz val="8"/>
            <color indexed="81"/>
            <rFont val="Tahoma"/>
            <family val="2"/>
          </rPr>
          <t xml:space="preserve">
(A) Incrementa en 0.01056 t desde Pesq. Quintero S.A. IV Region (Cert N°128)</t>
        </r>
      </text>
    </comment>
  </commentList>
</comments>
</file>

<file path=xl/sharedStrings.xml><?xml version="1.0" encoding="utf-8"?>
<sst xmlns="http://schemas.openxmlformats.org/spreadsheetml/2006/main" count="1014" uniqueCount="425">
  <si>
    <t>Arica Seafood Producer S.A.</t>
  </si>
  <si>
    <t>Camanchaca S.A. Cia. Pesq.</t>
  </si>
  <si>
    <t>Anchoveta XV - I - II</t>
  </si>
  <si>
    <t>Desembarque (t)</t>
  </si>
  <si>
    <t>Saldo (t)</t>
  </si>
  <si>
    <t>% consumido</t>
  </si>
  <si>
    <t>Operación</t>
  </si>
  <si>
    <t>Lota Protein S.A.</t>
  </si>
  <si>
    <t>Camanchaca Pesca Sur S.A.</t>
  </si>
  <si>
    <t>Anchoveta III - IV</t>
  </si>
  <si>
    <t>Blumar S.A.</t>
  </si>
  <si>
    <t xml:space="preserve">Genmar Ltda. Soc. Pesq. </t>
  </si>
  <si>
    <t>Landes S.A. Soc. Pesq.</t>
  </si>
  <si>
    <t>Orizón S.A.</t>
  </si>
  <si>
    <t>Anchoveta V-X</t>
  </si>
  <si>
    <t>Arica Seafood Producer S.A</t>
  </si>
  <si>
    <t>Camanchaca S.A. CIA. Pesq.</t>
  </si>
  <si>
    <t>Isladamas S.A. Pesq.</t>
  </si>
  <si>
    <t xml:space="preserve">Da Venezia Retamales Antonio. </t>
  </si>
  <si>
    <t>Enfemar Ltda. Soc. Pesq.</t>
  </si>
  <si>
    <t>Nordio Ltda. Soc.</t>
  </si>
  <si>
    <t>Bio Bio S.A. Pesq.</t>
  </si>
  <si>
    <t>Sur Austral S.A. Pesq.</t>
  </si>
  <si>
    <t>Arica Seafood Producer  S.A.</t>
  </si>
  <si>
    <t>Sardina española XV - I - II</t>
  </si>
  <si>
    <t>Sardina española III - IV</t>
  </si>
  <si>
    <t>Antarctic Seafood S.A.</t>
  </si>
  <si>
    <t>Baycic Baycic Maria</t>
  </si>
  <si>
    <t>Bracpesca S.A</t>
  </si>
  <si>
    <t>Morozin Baycic Maria Ana</t>
  </si>
  <si>
    <t>Morozin Yurecic Mario</t>
  </si>
  <si>
    <t>Quintero Ltda. Soc. Pesq.</t>
  </si>
  <si>
    <t>Quintero S.A., Pesquera</t>
  </si>
  <si>
    <t>Antarctic Seafood S.A</t>
  </si>
  <si>
    <t>Mororzin Yurecic Mario</t>
  </si>
  <si>
    <t>Langostino amarillo III-IV</t>
  </si>
  <si>
    <t xml:space="preserve">Unidad de pesquería </t>
  </si>
  <si>
    <t>Pesca Cisne S.A</t>
  </si>
  <si>
    <t>Congrio dorado NE H/F (41º28,6 LS hasta 47º)</t>
  </si>
  <si>
    <t>Congrio dorado SE (47º hasta 57º)</t>
  </si>
  <si>
    <t>Pesca Cisne S.A.</t>
  </si>
  <si>
    <t>Merluza tres aletas NE/SE (41º28,6 LS hasta 57º)</t>
  </si>
  <si>
    <t>Merluza cola V-X</t>
  </si>
  <si>
    <t>Da Venezia Retamales Antonio</t>
  </si>
  <si>
    <t>Genmar Ltda. Soc. Pesq.</t>
  </si>
  <si>
    <t>Inostroza Concha Pelantaro</t>
  </si>
  <si>
    <t>Leucoton Ltda. Soc Pesq.</t>
  </si>
  <si>
    <t>Pessur Ltda. Soc. Pesq.</t>
  </si>
  <si>
    <t>Merluza común IV a 41°28,6'LS</t>
  </si>
  <si>
    <t>Corpesca S.A.</t>
  </si>
  <si>
    <t>Bahia Caldera S.A. Pesq.</t>
  </si>
  <si>
    <t xml:space="preserve">Alimentos Marinos S.A., </t>
  </si>
  <si>
    <t xml:space="preserve">Camanchaca S.A. Cia. Pesq. </t>
  </si>
  <si>
    <t>Foodcorp S.A.</t>
  </si>
  <si>
    <t>Isla Quihua S.A. Pesq.</t>
  </si>
  <si>
    <t>Mar profundo S.A. Soc. Pesq.</t>
  </si>
  <si>
    <t>Alimentos Marinos S.A.</t>
  </si>
  <si>
    <t>Berta Elena Ltda. Soc. Pesq.</t>
  </si>
  <si>
    <t>Centro Sur S.A. Pesq.</t>
  </si>
  <si>
    <t xml:space="preserve">Corpesca S.A. </t>
  </si>
  <si>
    <t>Lota protein S.A.</t>
  </si>
  <si>
    <t>San Antonio S.A. Pesq.</t>
  </si>
  <si>
    <t>Mar Profundo S.A. Soc. Pesq</t>
  </si>
  <si>
    <t>Rubio y Mauad Ltda.</t>
  </si>
  <si>
    <t>Grimar S.A. Pesq.</t>
  </si>
  <si>
    <t>Sunrise S.A. Pesq.</t>
  </si>
  <si>
    <t>Camarón nailon II-VIII</t>
  </si>
  <si>
    <t>Costa Brava Ltda. Pesq.</t>
  </si>
  <si>
    <t xml:space="preserve">Grimar S.A. Pesq. </t>
  </si>
  <si>
    <t xml:space="preserve">Isladamas S.A. </t>
  </si>
  <si>
    <t>Grimar S.A.Pesq.</t>
  </si>
  <si>
    <t>Emdepes S.A.</t>
  </si>
  <si>
    <t xml:space="preserve">Emdepes S.A.,  </t>
  </si>
  <si>
    <t xml:space="preserve">Sur Austral S.A. Pesq. </t>
  </si>
  <si>
    <t>Inostroza Concha Pelantaro.</t>
  </si>
  <si>
    <t>Bio Bio S.A.Pesq.</t>
  </si>
  <si>
    <t>Bio Bio S.A.</t>
  </si>
  <si>
    <t xml:space="preserve">Blumar S.A. </t>
  </si>
  <si>
    <t>Alvarez Armijo Jaime</t>
  </si>
  <si>
    <t xml:space="preserve">Enfemar Ltda. Soc. Pesq. </t>
  </si>
  <si>
    <t>Sur Austral S.A. Pesq</t>
  </si>
  <si>
    <t>Unidad de Pesquería</t>
  </si>
  <si>
    <t>Zona</t>
  </si>
  <si>
    <t>Cuota Global (t)</t>
  </si>
  <si>
    <t>Cuota Período</t>
  </si>
  <si>
    <t xml:space="preserve">% Disponible </t>
  </si>
  <si>
    <t>Fecha cierre /Prom (t/día)</t>
  </si>
  <si>
    <t>Período</t>
  </si>
  <si>
    <t>autorizada</t>
  </si>
  <si>
    <t>efectiva</t>
  </si>
  <si>
    <t>Camarón nailon</t>
  </si>
  <si>
    <t>II</t>
  </si>
  <si>
    <t>III</t>
  </si>
  <si>
    <t>IV</t>
  </si>
  <si>
    <t>V</t>
  </si>
  <si>
    <t>VI</t>
  </si>
  <si>
    <t>VII</t>
  </si>
  <si>
    <t>VIII</t>
  </si>
  <si>
    <t>Langostino amarillo</t>
  </si>
  <si>
    <t>Langostino amarillo                                            Licitado</t>
  </si>
  <si>
    <t>Langostino colorado</t>
  </si>
  <si>
    <t>Langostino colorado                                           Licitado</t>
  </si>
  <si>
    <t>Langostino amarillo V-VIII</t>
  </si>
  <si>
    <t>Armador</t>
  </si>
  <si>
    <t>% Licitado</t>
  </si>
  <si>
    <t>Cuota licitada (t)</t>
  </si>
  <si>
    <t>Sanción (t)</t>
  </si>
  <si>
    <t>Transferencias</t>
  </si>
  <si>
    <t>Cuota efectiva (t)</t>
  </si>
  <si>
    <t>Ingresos (t)</t>
  </si>
  <si>
    <t>Egresos (t)</t>
  </si>
  <si>
    <t xml:space="preserve">Resumen </t>
  </si>
  <si>
    <t>Langostino colorado V-VIII</t>
  </si>
  <si>
    <t>RUBIO Y MAUAD LTDA.</t>
  </si>
  <si>
    <t>Bacalao de profundidad</t>
  </si>
  <si>
    <t>Pesca Chile</t>
  </si>
  <si>
    <t>ARTESANALES</t>
  </si>
  <si>
    <t>Fecha cierre</t>
  </si>
  <si>
    <t>Merluza común</t>
  </si>
  <si>
    <t>Merluza de cola</t>
  </si>
  <si>
    <t>Merluza del sur</t>
  </si>
  <si>
    <t>Congrio Dorado</t>
  </si>
  <si>
    <t>V Región</t>
  </si>
  <si>
    <t>Enero-Junio</t>
  </si>
  <si>
    <t>Julio-Diciembre</t>
  </si>
  <si>
    <t>VI Región</t>
  </si>
  <si>
    <t>VII Región</t>
  </si>
  <si>
    <t>VIII Región</t>
  </si>
  <si>
    <t>IX Región</t>
  </si>
  <si>
    <t>XIV Región</t>
  </si>
  <si>
    <t>X Región (al norte del 41º28,6´S)</t>
  </si>
  <si>
    <t>Recursos sin cuota</t>
  </si>
  <si>
    <t>Cuota</t>
  </si>
  <si>
    <t>Sector</t>
  </si>
  <si>
    <t>Desem. (ton)</t>
  </si>
  <si>
    <t>Total Desem. (ton)</t>
  </si>
  <si>
    <t>Saldo</t>
  </si>
  <si>
    <t>S/cuota</t>
  </si>
  <si>
    <t>enero  - diciembre</t>
  </si>
  <si>
    <t>Artesanal</t>
  </si>
  <si>
    <t>Industrial</t>
  </si>
  <si>
    <t>Reineta</t>
  </si>
  <si>
    <t xml:space="preserve">Recursos con cuota Global </t>
  </si>
  <si>
    <t>Fecha de Cierre</t>
  </si>
  <si>
    <t>Raya Volantín</t>
  </si>
  <si>
    <t>VIII-41º28,6´LS</t>
  </si>
  <si>
    <t xml:space="preserve">Artesanal </t>
  </si>
  <si>
    <t>III-IV</t>
  </si>
  <si>
    <t xml:space="preserve">Desembarque de Besugo como Fauna Acompañante </t>
  </si>
  <si>
    <t xml:space="preserve">Armador </t>
  </si>
  <si>
    <t>De Esp Ob. Crustaceos demersales</t>
  </si>
  <si>
    <t>De Esp. Obj. Peces arrastre</t>
  </si>
  <si>
    <t xml:space="preserve"> De Esp. Obj. Peces palangre </t>
  </si>
  <si>
    <t xml:space="preserve">Total </t>
  </si>
  <si>
    <t>Bracpesca S.A.</t>
  </si>
  <si>
    <t>Concepción S.A.</t>
  </si>
  <si>
    <t xml:space="preserve">Quintero Ltda. </t>
  </si>
  <si>
    <t>Quintero S.A. Pesq.</t>
  </si>
  <si>
    <t>Total</t>
  </si>
  <si>
    <t xml:space="preserve">Informe </t>
  </si>
  <si>
    <t>Desembarque total (t)</t>
  </si>
  <si>
    <t>Aguas internacionales</t>
  </si>
  <si>
    <t>Saldo total (t)</t>
  </si>
  <si>
    <t>Anchoveta</t>
  </si>
  <si>
    <t>XV- I - II</t>
  </si>
  <si>
    <t>III - IV</t>
  </si>
  <si>
    <t>V - X</t>
  </si>
  <si>
    <t>II-VIII</t>
  </si>
  <si>
    <t>Congrio dorado</t>
  </si>
  <si>
    <t>NE F + H</t>
  </si>
  <si>
    <t xml:space="preserve"> SE</t>
  </si>
  <si>
    <t>Jurel</t>
  </si>
  <si>
    <t>XV - I - II</t>
  </si>
  <si>
    <t>V - IX</t>
  </si>
  <si>
    <t>XIV - X</t>
  </si>
  <si>
    <t>I -IV</t>
  </si>
  <si>
    <t>IV- 41º 28, 6</t>
  </si>
  <si>
    <t xml:space="preserve">V -X </t>
  </si>
  <si>
    <t>XI -XII</t>
  </si>
  <si>
    <t>Merluza de tres aletas</t>
  </si>
  <si>
    <t>41º28,6 - XII</t>
  </si>
  <si>
    <t>Sardina común</t>
  </si>
  <si>
    <t>V -X</t>
  </si>
  <si>
    <t>Sardina española</t>
  </si>
  <si>
    <t>Merluza de Cola XI-XII</t>
  </si>
  <si>
    <t>Gonzalez Silva Marcelino.</t>
  </si>
  <si>
    <t>Arriendos u otro</t>
  </si>
  <si>
    <t>Objetivo</t>
  </si>
  <si>
    <t>F. Acompañante</t>
  </si>
  <si>
    <t>Ene- Dic.</t>
  </si>
  <si>
    <t>Ene -Dic.</t>
  </si>
  <si>
    <t>Desembarques</t>
  </si>
  <si>
    <t>Fracción</t>
  </si>
  <si>
    <t>XV hasta paralelo 47º LS</t>
  </si>
  <si>
    <t>Grimar</t>
  </si>
  <si>
    <t>Pesquera Antonio Cruz Cordoba Nakouzi EIRL</t>
  </si>
  <si>
    <t xml:space="preserve">Cuota Final </t>
  </si>
  <si>
    <t>Inicial</t>
  </si>
  <si>
    <t xml:space="preserve">Final </t>
  </si>
  <si>
    <t>Periodo</t>
  </si>
  <si>
    <t xml:space="preserve">Cuota Asignada </t>
  </si>
  <si>
    <t>Traspaso, Cesion, Arriendo, etc)</t>
  </si>
  <si>
    <t>Cuota Efectiva</t>
  </si>
  <si>
    <t>Cuota (t)</t>
  </si>
  <si>
    <t xml:space="preserve">Antonio Cruz Cordova nakouzi E.I.R.L. </t>
  </si>
  <si>
    <t>Cuota II Región (t)</t>
  </si>
  <si>
    <t>Operación II región</t>
  </si>
  <si>
    <t>Cuota III Región (t)</t>
  </si>
  <si>
    <t>Operación III Región</t>
  </si>
  <si>
    <t>Cuota IV Región (t)</t>
  </si>
  <si>
    <t>Operación IV Región</t>
  </si>
  <si>
    <t>Cuota V Región (t)</t>
  </si>
  <si>
    <t>Operación V Región</t>
  </si>
  <si>
    <t>Cuota VI Región (t)</t>
  </si>
  <si>
    <t>Operación VI Región</t>
  </si>
  <si>
    <t>Cuota VII Región (t)</t>
  </si>
  <si>
    <t>Operación VII Región</t>
  </si>
  <si>
    <t>Cuota VIII Región (t)</t>
  </si>
  <si>
    <t>Operación VIII Región</t>
  </si>
  <si>
    <t>Cuota Total</t>
  </si>
  <si>
    <t>Cuota Asignada  II-VIII</t>
  </si>
  <si>
    <t>Desembarque (t) II-VIII</t>
  </si>
  <si>
    <t>Cuota y Operación Camaron Nailon II-VIII</t>
  </si>
  <si>
    <t>Operación III región</t>
  </si>
  <si>
    <t>Cuota Asignada  III-IV</t>
  </si>
  <si>
    <t>Desembarque (t) III-IV</t>
  </si>
  <si>
    <t>Cuota y Operación Langostino amarillo III-IV</t>
  </si>
  <si>
    <t>Cuota  (t)</t>
  </si>
  <si>
    <t>Jibia o calamar rojo XV-XII</t>
  </si>
  <si>
    <t>Investigación</t>
  </si>
  <si>
    <t>Caballa XV-XII</t>
  </si>
  <si>
    <t>Pez espada XV-XII</t>
  </si>
  <si>
    <t>CAMANCHACA PESCA SUR</t>
  </si>
  <si>
    <t>BLUMAR S.A.</t>
  </si>
  <si>
    <t>SUNRISE</t>
  </si>
  <si>
    <t>BRACPESCA</t>
  </si>
  <si>
    <t>ISLADAMAS</t>
  </si>
  <si>
    <t>VELIZ Y VELIZ</t>
  </si>
  <si>
    <t>DISTRIMAR</t>
  </si>
  <si>
    <t>ANTARTIC SEAFOOD</t>
  </si>
  <si>
    <t>GRIMAR S.A.</t>
  </si>
  <si>
    <t>MARIO MOROZIN YURECIC</t>
  </si>
  <si>
    <t>SOC. PESQUERA QUINTERO LTDA.</t>
  </si>
  <si>
    <t>PESQUERA QUINTERO S.A.</t>
  </si>
  <si>
    <t>CONGELADOS PACIFICO S.A.</t>
  </si>
  <si>
    <t>PESQUERA BIO BIO S.A.</t>
  </si>
  <si>
    <t>EMPACADORA DEL PACIFICO</t>
  </si>
  <si>
    <t>ALIMAR</t>
  </si>
  <si>
    <t>ARTIC S.A. ELAB</t>
  </si>
  <si>
    <t>PESQUERA GRIMAR S.A.</t>
  </si>
  <si>
    <t>PESQUERA FRAPOLI S.A.</t>
  </si>
  <si>
    <t>INDUSTRIALES</t>
  </si>
  <si>
    <t>PESQUERA ENFEMAR LTDA.</t>
  </si>
  <si>
    <t>JOSE ACEVEDO CORNEJO</t>
  </si>
  <si>
    <t>ROBERTO GONZALEZ NAVARRO</t>
  </si>
  <si>
    <t>PAOLA MORA BURGOS</t>
  </si>
  <si>
    <t>TOMAS NEIRA PARRA</t>
  </si>
  <si>
    <t>* Traspaso, Cesion, Arriendo, etc)</t>
  </si>
  <si>
    <t>* registra la sumatoria de los traspasos en todas las regiones</t>
  </si>
  <si>
    <t>IV-VII</t>
  </si>
  <si>
    <t xml:space="preserve"> Ene- Dic.</t>
  </si>
  <si>
    <t>Artesanal e industrial</t>
  </si>
  <si>
    <t>DANIEL MOLINA CISTERNAS</t>
  </si>
  <si>
    <t>Congelados del Pacifico</t>
  </si>
  <si>
    <t>Titular de cuota LTP</t>
  </si>
  <si>
    <t>Da venezia Retamales Antonio</t>
  </si>
  <si>
    <t>JORGE COFRE REYES</t>
  </si>
  <si>
    <t>RAUL GONZALEZ HURTADO</t>
  </si>
  <si>
    <t>BOLIVAR GUZMAN ACUÑA</t>
  </si>
  <si>
    <t>JOSE MORA MOYA</t>
  </si>
  <si>
    <t>LM Inversiones SpA</t>
  </si>
  <si>
    <t>CE Inversiones SpA</t>
  </si>
  <si>
    <t>ME Inversiones SpA</t>
  </si>
  <si>
    <t>Cabo Austral SpA</t>
  </si>
  <si>
    <t>Operaciones Braga SpA</t>
  </si>
  <si>
    <t>JUAN JOSE GUZMAN ROJAS</t>
  </si>
  <si>
    <t>Deris S.A.</t>
  </si>
  <si>
    <t>Inversiones Pesqueras S.p.A</t>
  </si>
  <si>
    <t>Operaciones Arandu SpA.</t>
  </si>
  <si>
    <t>Centro Sur SpA. Pesq.</t>
  </si>
  <si>
    <t xml:space="preserve">Inversiones Pesqueras SpA. </t>
  </si>
  <si>
    <t>Burita Inversiones SpA.</t>
  </si>
  <si>
    <t>Isla Quhua S.A. Pesq.</t>
  </si>
  <si>
    <t>Landes S.A. Soc Pesq.</t>
  </si>
  <si>
    <t>Mar profundo S.A. Soc Pesq.</t>
  </si>
  <si>
    <t>Orizon S.A.</t>
  </si>
  <si>
    <t>Santana SpA. Inv.</t>
  </si>
  <si>
    <t>Inversiones Pesqueras SpA.</t>
  </si>
  <si>
    <t>MV Inversiones SpA.</t>
  </si>
  <si>
    <t>Enfemar Ltda Soc. Pesq.</t>
  </si>
  <si>
    <t>Nordio Ltda. Soc</t>
  </si>
  <si>
    <t>Santa Victoria SpA Inv.</t>
  </si>
  <si>
    <t>Adustinas Inversiones spA.</t>
  </si>
  <si>
    <t>Inversiones Garo SpA.</t>
  </si>
  <si>
    <t>Inversiones Progreso SpA.</t>
  </si>
  <si>
    <t>Delta SpA. Inv.</t>
  </si>
  <si>
    <t>Soc. de Inversiones Predi SpA.</t>
  </si>
  <si>
    <t>Operaciones Calubi SpA.</t>
  </si>
  <si>
    <t>SC Inversiones SpA.</t>
  </si>
  <si>
    <t>Inversiones Borebi SpA.</t>
  </si>
  <si>
    <t>Vista Inversiones SpA.</t>
  </si>
  <si>
    <t>Diapo Inversiones SpA.</t>
  </si>
  <si>
    <t>Inversiones Aral SpA.</t>
  </si>
  <si>
    <t>Londrina SpA. Inv.</t>
  </si>
  <si>
    <t>Pesca Cisne S.A. Pesq.</t>
  </si>
  <si>
    <t>Bento Inversiones SpA.</t>
  </si>
  <si>
    <t>MG Inversiones SpA.</t>
  </si>
  <si>
    <t>Landes S.A. Soc  Pesq.</t>
  </si>
  <si>
    <t>Mar Profundo S.a. Pesq.</t>
  </si>
  <si>
    <t>Redina SpA. INV.</t>
  </si>
  <si>
    <t>San Antonio S.A. pesq.</t>
  </si>
  <si>
    <t>% consumido 2015</t>
  </si>
  <si>
    <t>Resumen LTP 2015</t>
  </si>
  <si>
    <t>Cuotas Regionales Crustaceos Industriales, 2015</t>
  </si>
  <si>
    <t>Enero - Julio</t>
  </si>
  <si>
    <t>Marzo - Agosto</t>
  </si>
  <si>
    <t>Octubre - Diciembre</t>
  </si>
  <si>
    <t>V-VI</t>
  </si>
  <si>
    <t>VII-VIII</t>
  </si>
  <si>
    <t>Cuotas Industriales Licitadas, año 2015</t>
  </si>
  <si>
    <t xml:space="preserve">F. Acompañante </t>
  </si>
  <si>
    <t>Ene Dic</t>
  </si>
  <si>
    <t>Cuotas globales Sin LTP (en conjunto con artesanales), 2015</t>
  </si>
  <si>
    <t>Cuota LTP R.Ex Nº 3510</t>
  </si>
  <si>
    <t>Resumen anual</t>
  </si>
  <si>
    <t>Congelados del Pacífico S.A.</t>
  </si>
  <si>
    <t>Congelados del Pacifico S.A.</t>
  </si>
  <si>
    <t>Ene-Dic.</t>
  </si>
  <si>
    <t xml:space="preserve">SUNRISE </t>
  </si>
  <si>
    <t>ANTONIO DA VENEZIA RETAMALES</t>
  </si>
  <si>
    <t>PESQUERA CMK LTDA.</t>
  </si>
  <si>
    <t>Rubio</t>
  </si>
  <si>
    <t>Cuota asignada (t)</t>
  </si>
  <si>
    <t>RESUMEN ANUAL</t>
  </si>
  <si>
    <t>OPERACIÓN</t>
  </si>
  <si>
    <t>CUOTA (TONELADAS)</t>
  </si>
  <si>
    <t>Cuota Total efectiva</t>
  </si>
  <si>
    <t>Resumen global anual XV-IV</t>
  </si>
  <si>
    <t>Cuota y Operación Langostino colorado XV-IV</t>
  </si>
  <si>
    <t>Resumen Global Anual Langostino amarillo  III-IV</t>
  </si>
  <si>
    <t>Resumen Global Anual  II-VIII</t>
  </si>
  <si>
    <t>Langostino colorado XV- IV</t>
  </si>
  <si>
    <t xml:space="preserve">Foodcorp S.A. </t>
  </si>
  <si>
    <t>Enfemar Pesq. S.A.</t>
  </si>
  <si>
    <t xml:space="preserve">BLUE OCEAN SEAFOOD </t>
  </si>
  <si>
    <t>DERIS S.A.</t>
  </si>
  <si>
    <t>PESCA CISNE</t>
  </si>
  <si>
    <t>GLOBALPESCA S.P.A.</t>
  </si>
  <si>
    <t>D. CISTERNAS G.</t>
  </si>
  <si>
    <t>B. CEBALLOS MANCILLA</t>
  </si>
  <si>
    <t>A. POBLETE ARAVENA</t>
  </si>
  <si>
    <t>PESQUERA ANTONIO CORDOVA NAKOUZI E.I.R.L.</t>
  </si>
  <si>
    <t>16 Ene-30 Nov</t>
  </si>
  <si>
    <t>Merluza común/Arrastre/1%</t>
  </si>
  <si>
    <t>Cuota Total(t)</t>
  </si>
  <si>
    <t>Congrio dorado/Espinel/1%</t>
  </si>
  <si>
    <t>Crustáceos demersales/Arrastre/1%</t>
  </si>
  <si>
    <t>Fraccionamiento</t>
  </si>
  <si>
    <t>Raya Espinosa</t>
  </si>
  <si>
    <t>Jorge Cofre Reyes</t>
  </si>
  <si>
    <t>CMK</t>
  </si>
  <si>
    <t>Camachaca Pesca Sur</t>
  </si>
  <si>
    <t>% CONSUMO</t>
  </si>
  <si>
    <t>Cuota Global asignada (t)</t>
  </si>
  <si>
    <t>Landes</t>
  </si>
  <si>
    <t>Pesquera CMK</t>
  </si>
  <si>
    <t>Antonio Da Venezia Retamales</t>
  </si>
  <si>
    <t>Objetivo (XV-I-IX-XIV-X)</t>
  </si>
  <si>
    <t>Objetivo (IX-XIV-X)</t>
  </si>
  <si>
    <t>Objetivo (XV-I-II-IX-XIV-X)</t>
  </si>
  <si>
    <t xml:space="preserve">41º28,6´LS - XII </t>
  </si>
  <si>
    <t>2013-2015</t>
  </si>
  <si>
    <t>Merluza del sur/Espinel/1%</t>
  </si>
  <si>
    <t>Congrio dorado/Espinel/20%</t>
  </si>
  <si>
    <t>Merluza del Sur y Congrio dorado/1%</t>
  </si>
  <si>
    <t>41º28,6´LS - XII</t>
  </si>
  <si>
    <t>Operaciones Sanse Inversiones SpA</t>
  </si>
  <si>
    <r>
      <rPr>
        <b/>
        <sz val="16"/>
        <color indexed="8"/>
        <rFont val="Calibri"/>
        <family val="2"/>
      </rPr>
      <t xml:space="preserve">Jurel XV-I-II </t>
    </r>
    <r>
      <rPr>
        <b/>
        <sz val="14"/>
        <color rgb="FF7030A0"/>
        <rFont val="Calibri"/>
        <family val="2"/>
      </rPr>
      <t>(Res N° 3510 modificada por Res N° 908)</t>
    </r>
  </si>
  <si>
    <r>
      <t xml:space="preserve">Jurel III - IV  </t>
    </r>
    <r>
      <rPr>
        <b/>
        <sz val="14"/>
        <color rgb="FF7030A0"/>
        <rFont val="Calibri"/>
        <family val="2"/>
      </rPr>
      <t>(Res N° 3510 modificada por Res N° 908)</t>
    </r>
  </si>
  <si>
    <r>
      <t>Jurel V-IX</t>
    </r>
    <r>
      <rPr>
        <b/>
        <sz val="14"/>
        <color rgb="FF7030A0"/>
        <rFont val="Calibri"/>
        <family val="2"/>
      </rPr>
      <t xml:space="preserve"> (Res N° 3510 modificada por Res N° 908)</t>
    </r>
  </si>
  <si>
    <r>
      <rPr>
        <b/>
        <sz val="16"/>
        <color indexed="8"/>
        <rFont val="Calibri"/>
        <family val="2"/>
      </rPr>
      <t>Jurel XIV-X</t>
    </r>
    <r>
      <rPr>
        <b/>
        <sz val="11"/>
        <color indexed="8"/>
        <rFont val="Calibri"/>
        <family val="2"/>
      </rPr>
      <t xml:space="preserve"> </t>
    </r>
    <r>
      <rPr>
        <b/>
        <sz val="14"/>
        <color rgb="FF7030A0"/>
        <rFont val="Calibri"/>
        <family val="2"/>
      </rPr>
      <t>(Res N° 3510 modificada por Res N° 908)</t>
    </r>
  </si>
  <si>
    <t>Veda Extractiva Raya Volantin y Raya Espinosa   D.Ex.N°21 de 22/01/2014</t>
  </si>
  <si>
    <t>Veda Extractiva Raya Volantin y Raya Espinosa D.Ex.N°113 de 2013; Modif por N°367-2013; N°501-2013; N°527-2013; N°20-2014</t>
  </si>
  <si>
    <t>Cuotas globales Fuera Unidad de Pesquería</t>
  </si>
  <si>
    <t>Nota: El desembarque de aguas internacionales (columna G) Jurel desde III a X regiones, esta incorporado en la columna de desembarque total. Solo se incorpora el dato en la columna G para tenerlo de referencia</t>
  </si>
  <si>
    <t xml:space="preserve">Cuota Asignada por Res N° 3510 mod por Res N° 908 </t>
  </si>
  <si>
    <t>Merluza del sur NE F/H (41º28,6 LS al 47º LS)
(Res Ex. N°3510/14. Modificada por Res Ex. N°1919/15</t>
  </si>
  <si>
    <t>Merluza Del Sur SE Fabrica (47º LS al 57º LS)
(Res Ex. N°3510/14. Modificada por Res Ex. N°1919/15</t>
  </si>
  <si>
    <t>Octubre  - Diciembre</t>
  </si>
  <si>
    <t xml:space="preserve">Imputa a reserva de Inv. </t>
  </si>
  <si>
    <t>Cuota (ton)</t>
  </si>
  <si>
    <t>Desembarque (ton)</t>
  </si>
  <si>
    <t>V-VIII</t>
  </si>
  <si>
    <t>XV-IV</t>
  </si>
  <si>
    <t>Merluza Común</t>
  </si>
  <si>
    <t>IV-VIII</t>
  </si>
  <si>
    <t>Camaron nailón</t>
  </si>
  <si>
    <t>Dec. Nº 953/2014</t>
  </si>
  <si>
    <t>Dec. Nº 790/2014</t>
  </si>
  <si>
    <t>Pesca de Investigación: Resolucion Nº 1920. Del 15.07.15 al 30.12.15</t>
  </si>
  <si>
    <t>Dec. Nº 791/2014</t>
  </si>
  <si>
    <t>Dec. Nº 958/2014</t>
  </si>
  <si>
    <t>Bacalao de profundidad
D ex. N°816-14</t>
  </si>
  <si>
    <t>Bacalao de profundidad
D ex. N°862-15 (modif. D ex.N°816-14)</t>
  </si>
  <si>
    <t xml:space="preserve"> Nov - Dic</t>
  </si>
  <si>
    <t xml:space="preserve">Pesqueria Conjunta Anchoveta y Sardina comun V-X </t>
  </si>
  <si>
    <t>Final</t>
  </si>
  <si>
    <t>PERIODO</t>
  </si>
  <si>
    <t>Sardina común V-X (Res N° 3510 modificada por Res N° 1404; Res N°2773)</t>
  </si>
  <si>
    <t>Maria Angelica Troncoso Reyes</t>
  </si>
  <si>
    <t>MIGUEL SERVANDO SILVA SILVA</t>
  </si>
  <si>
    <t>ELSA DEL ROSARIO NEIRA PARRA</t>
  </si>
  <si>
    <t>Pesquera Bio Bio S.A.</t>
  </si>
  <si>
    <t>Chafic I</t>
  </si>
  <si>
    <r>
      <t xml:space="preserve">2015. CUOTAS LTP Y SU CONSUMO DE </t>
    </r>
    <r>
      <rPr>
        <b/>
        <sz val="18"/>
        <color indexed="13"/>
        <rFont val="Calibri"/>
        <family val="2"/>
      </rPr>
      <t>RECURSOS PELÁGICOS</t>
    </r>
    <r>
      <rPr>
        <b/>
        <sz val="18"/>
        <rFont val="Calibri"/>
        <family val="2"/>
      </rPr>
      <t xml:space="preserve">      al  31 de diciembre de 2015</t>
    </r>
  </si>
  <si>
    <t>Al 31 de diciembre de 2015</t>
  </si>
  <si>
    <r>
      <t xml:space="preserve">2015. CUOTAS LTP Y SU CONSUMO DE </t>
    </r>
    <r>
      <rPr>
        <b/>
        <sz val="16"/>
        <color indexed="53"/>
        <rFont val="Calibri"/>
        <family val="2"/>
      </rPr>
      <t>RECURSOS PECES DEMERSALES</t>
    </r>
    <r>
      <rPr>
        <b/>
        <sz val="16"/>
        <rFont val="Calibri"/>
        <family val="2"/>
      </rPr>
      <t xml:space="preserve">      al 31 de diciembre de 2015.</t>
    </r>
  </si>
  <si>
    <t>Del 31 de diciembre de 2015</t>
  </si>
  <si>
    <r>
      <t xml:space="preserve">2015. CUOTAS LTP Y SU CONSUMO DE </t>
    </r>
    <r>
      <rPr>
        <b/>
        <sz val="18"/>
        <color indexed="53"/>
        <rFont val="Calibri"/>
        <family val="2"/>
      </rPr>
      <t xml:space="preserve">RECURSOS CRUSTÁCEOS </t>
    </r>
    <r>
      <rPr>
        <b/>
        <sz val="18"/>
        <rFont val="Calibri"/>
        <family val="2"/>
      </rPr>
      <t>al 31 de diciembre del  2015</t>
    </r>
  </si>
  <si>
    <t>BRACPESCA S.A.</t>
  </si>
  <si>
    <t>PESQUERA LANDES S.A.</t>
  </si>
  <si>
    <t>SOC. PESQUERA LANDES S.A.</t>
  </si>
  <si>
    <t>% Consumo</t>
  </si>
  <si>
    <t>Total Desembarque (ton)</t>
  </si>
  <si>
    <t>ahora</t>
  </si>
</sst>
</file>

<file path=xl/styles.xml><?xml version="1.0" encoding="utf-8"?>
<styleSheet xmlns="http://schemas.openxmlformats.org/spreadsheetml/2006/main">
  <numFmts count="18">
    <numFmt numFmtId="164" formatCode="d\-mmm\-yy"/>
    <numFmt numFmtId="165" formatCode="0.00_ ;[Red]\-0.00\ "/>
    <numFmt numFmtId="166" formatCode="d\-mmm"/>
    <numFmt numFmtId="167" formatCode="#,##0.00_ ;[Red]\-#,##0.00\ "/>
    <numFmt numFmtId="168" formatCode="#,##0.000"/>
    <numFmt numFmtId="169" formatCode="0.000"/>
    <numFmt numFmtId="170" formatCode="#,##0.000_ ;[Red]\-#,##0.000\ "/>
    <numFmt numFmtId="171" formatCode="#,##0_ ;[Red]\-#,##0\ "/>
    <numFmt numFmtId="172" formatCode="0.0"/>
    <numFmt numFmtId="173" formatCode="0.000%"/>
    <numFmt numFmtId="174" formatCode="[$-C0A]d\-mmm;@"/>
    <numFmt numFmtId="175" formatCode="0.000_ ;[Red]\-0.000\ "/>
    <numFmt numFmtId="176" formatCode="#,##0.0000"/>
    <numFmt numFmtId="177" formatCode="#,##0.00_ ;\-#,##0.00\ "/>
    <numFmt numFmtId="178" formatCode="#,##0.000\ _€;[Red]\-#,##0.000\ _€"/>
    <numFmt numFmtId="179" formatCode="#,##0.00000_ ;[Red]\-#,##0.00000\ "/>
    <numFmt numFmtId="180" formatCode="d/m/yy;@"/>
    <numFmt numFmtId="181" formatCode="0.0%"/>
  </numFmts>
  <fonts count="83">
    <font>
      <sz val="11"/>
      <color theme="1"/>
      <name val="Calibri"/>
      <family val="2"/>
      <scheme val="minor"/>
    </font>
    <font>
      <sz val="11"/>
      <color indexed="8"/>
      <name val="Calibri"/>
      <family val="2"/>
    </font>
    <font>
      <sz val="11"/>
      <color indexed="8"/>
      <name val="Calibri"/>
      <family val="2"/>
    </font>
    <font>
      <b/>
      <sz val="11"/>
      <color indexed="8"/>
      <name val="Calibri"/>
      <family val="2"/>
    </font>
    <font>
      <sz val="10"/>
      <name val="Arial"/>
      <family val="2"/>
    </font>
    <font>
      <sz val="10"/>
      <name val="Arial"/>
      <family val="2"/>
    </font>
    <font>
      <b/>
      <sz val="10"/>
      <name val="Calibri"/>
      <family val="2"/>
    </font>
    <font>
      <sz val="10"/>
      <name val="Calibri"/>
      <family val="2"/>
    </font>
    <font>
      <sz val="10"/>
      <color indexed="8"/>
      <name val="Calibri"/>
      <family val="2"/>
    </font>
    <font>
      <sz val="10"/>
      <name val="Calibri"/>
      <family val="2"/>
    </font>
    <font>
      <b/>
      <sz val="10"/>
      <name val="Calibri"/>
      <family val="2"/>
    </font>
    <font>
      <sz val="10"/>
      <color indexed="8"/>
      <name val="Calibri"/>
      <family val="2"/>
    </font>
    <font>
      <b/>
      <sz val="10"/>
      <color indexed="8"/>
      <name val="Calibri"/>
      <family val="2"/>
    </font>
    <font>
      <b/>
      <sz val="12"/>
      <name val="Calibri"/>
      <family val="2"/>
    </font>
    <font>
      <sz val="10"/>
      <name val="@Arial Unicode MS"/>
      <family val="2"/>
    </font>
    <font>
      <sz val="10"/>
      <color indexed="8"/>
      <name val="Arial"/>
      <family val="2"/>
    </font>
    <font>
      <b/>
      <sz val="8"/>
      <name val="Arial"/>
      <family val="2"/>
    </font>
    <font>
      <b/>
      <sz val="10"/>
      <name val="Arial"/>
      <family val="2"/>
    </font>
    <font>
      <b/>
      <sz val="14"/>
      <color indexed="8"/>
      <name val="Calibri"/>
      <family val="2"/>
    </font>
    <font>
      <b/>
      <sz val="16"/>
      <color indexed="8"/>
      <name val="Calibri"/>
      <family val="2"/>
    </font>
    <font>
      <b/>
      <sz val="16"/>
      <name val="Calibri"/>
      <family val="2"/>
    </font>
    <font>
      <b/>
      <sz val="18"/>
      <name val="Calibri"/>
      <family val="2"/>
    </font>
    <font>
      <b/>
      <sz val="18"/>
      <color indexed="13"/>
      <name val="Calibri"/>
      <family val="2"/>
    </font>
    <font>
      <b/>
      <sz val="12"/>
      <color indexed="8"/>
      <name val="Calibri"/>
      <family val="2"/>
    </font>
    <font>
      <b/>
      <sz val="18"/>
      <color indexed="53"/>
      <name val="Calibri"/>
      <family val="2"/>
    </font>
    <font>
      <b/>
      <sz val="16"/>
      <color indexed="53"/>
      <name val="Calibri"/>
      <family val="2"/>
    </font>
    <font>
      <sz val="8"/>
      <name val="Arial"/>
      <family val="2"/>
    </font>
    <font>
      <sz val="8"/>
      <color indexed="81"/>
      <name val="Tahoma"/>
      <family val="2"/>
    </font>
    <font>
      <b/>
      <sz val="8"/>
      <color indexed="81"/>
      <name val="Tahoma"/>
      <family val="2"/>
    </font>
    <font>
      <sz val="11"/>
      <color indexed="81"/>
      <name val="Tahoma"/>
      <family val="2"/>
    </font>
    <font>
      <b/>
      <sz val="11"/>
      <color indexed="81"/>
      <name val="Tahoma"/>
      <family val="2"/>
    </font>
    <font>
      <sz val="10"/>
      <color indexed="81"/>
      <name val="Tahoma"/>
      <family val="2"/>
    </font>
    <font>
      <b/>
      <sz val="9"/>
      <color indexed="81"/>
      <name val="Tahoma"/>
      <family val="2"/>
    </font>
    <font>
      <sz val="9"/>
      <color indexed="81"/>
      <name val="Tahoma"/>
      <family val="2"/>
    </font>
    <font>
      <sz val="10"/>
      <color indexed="81"/>
      <name val="Calibri"/>
      <family val="2"/>
    </font>
    <font>
      <sz val="11"/>
      <color theme="1"/>
      <name val="Calibri"/>
      <family val="2"/>
      <scheme val="minor"/>
    </font>
    <font>
      <sz val="11"/>
      <color theme="1"/>
      <name val="gobCL"/>
      <family val="2"/>
    </font>
    <font>
      <sz val="11"/>
      <color rgb="FFFF0000"/>
      <name val="Calibri"/>
      <family val="2"/>
      <scheme val="minor"/>
    </font>
    <font>
      <sz val="10"/>
      <name val="Calibri"/>
      <family val="2"/>
      <scheme val="minor"/>
    </font>
    <font>
      <sz val="12"/>
      <name val="Calibri"/>
      <family val="2"/>
      <scheme val="minor"/>
    </font>
    <font>
      <b/>
      <sz val="10"/>
      <name val="Calibri"/>
      <family val="2"/>
      <scheme val="minor"/>
    </font>
    <font>
      <sz val="8"/>
      <name val="Calibri"/>
      <family val="2"/>
      <scheme val="minor"/>
    </font>
    <font>
      <sz val="11"/>
      <color indexed="8"/>
      <name val="Calibri"/>
      <family val="2"/>
      <scheme val="minor"/>
    </font>
    <font>
      <sz val="10"/>
      <color rgb="FF0070C0"/>
      <name val="Calibri"/>
      <family val="2"/>
      <scheme val="minor"/>
    </font>
    <font>
      <b/>
      <sz val="10"/>
      <color rgb="FFFF0000"/>
      <name val="Calibri"/>
      <family val="2"/>
      <scheme val="minor"/>
    </font>
    <font>
      <b/>
      <sz val="12"/>
      <name val="Calibri"/>
      <family val="2"/>
      <scheme val="minor"/>
    </font>
    <font>
      <sz val="12"/>
      <color indexed="8"/>
      <name val="Calibri"/>
      <family val="2"/>
      <scheme val="minor"/>
    </font>
    <font>
      <sz val="10"/>
      <color indexed="8"/>
      <name val="Calibri"/>
      <family val="2"/>
      <scheme val="minor"/>
    </font>
    <font>
      <sz val="10"/>
      <color rgb="FFFF0000"/>
      <name val="Calibri"/>
      <family val="2"/>
      <scheme val="minor"/>
    </font>
    <font>
      <sz val="11"/>
      <name val="Calibri"/>
      <family val="2"/>
      <scheme val="minor"/>
    </font>
    <font>
      <sz val="10"/>
      <color theme="1"/>
      <name val="Calibri"/>
      <family val="2"/>
      <scheme val="minor"/>
    </font>
    <font>
      <b/>
      <sz val="10"/>
      <color rgb="FF00B0F0"/>
      <name val="Calibri"/>
      <family val="2"/>
    </font>
    <font>
      <b/>
      <sz val="10"/>
      <color rgb="FF00B050"/>
      <name val="Calibri"/>
      <family val="2"/>
    </font>
    <font>
      <b/>
      <sz val="10"/>
      <color theme="1"/>
      <name val="Calibri"/>
      <family val="2"/>
      <scheme val="minor"/>
    </font>
    <font>
      <b/>
      <sz val="10"/>
      <color theme="0"/>
      <name val="Calibri"/>
      <family val="2"/>
    </font>
    <font>
      <sz val="10"/>
      <color rgb="FF00B0F0"/>
      <name val="Calibri"/>
      <family val="2"/>
      <scheme val="minor"/>
    </font>
    <font>
      <sz val="11"/>
      <color rgb="FF00B0F0"/>
      <name val="Calibri"/>
      <family val="2"/>
      <scheme val="minor"/>
    </font>
    <font>
      <b/>
      <sz val="10"/>
      <color indexed="10"/>
      <name val="Calibri"/>
      <family val="2"/>
      <scheme val="minor"/>
    </font>
    <font>
      <b/>
      <sz val="9"/>
      <color rgb="FF00B050"/>
      <name val="Calibri"/>
      <family val="2"/>
      <scheme val="minor"/>
    </font>
    <font>
      <sz val="11"/>
      <color rgb="FF1F497D"/>
      <name val="Calibri"/>
      <family val="2"/>
      <scheme val="minor"/>
    </font>
    <font>
      <sz val="10"/>
      <color rgb="FFFF0000"/>
      <name val="Calibri"/>
      <family val="2"/>
    </font>
    <font>
      <sz val="10"/>
      <color theme="1"/>
      <name val="Calibri"/>
      <family val="2"/>
    </font>
    <font>
      <sz val="10"/>
      <color rgb="FF00B0F0"/>
      <name val="Calibri"/>
      <family val="2"/>
    </font>
    <font>
      <sz val="11"/>
      <color rgb="FFFF0000"/>
      <name val="Calibri"/>
      <family val="2"/>
    </font>
    <font>
      <sz val="11"/>
      <color rgb="FF00B0F0"/>
      <name val="Calibri"/>
      <family val="2"/>
    </font>
    <font>
      <b/>
      <sz val="11"/>
      <name val="Calibri"/>
      <family val="2"/>
      <scheme val="minor"/>
    </font>
    <font>
      <b/>
      <sz val="12"/>
      <color rgb="FF00B050"/>
      <name val="Calibri"/>
      <family val="2"/>
      <scheme val="minor"/>
    </font>
    <font>
      <b/>
      <sz val="12"/>
      <color rgb="FF00B0F0"/>
      <name val="Calibri"/>
      <family val="2"/>
      <scheme val="minor"/>
    </font>
    <font>
      <b/>
      <sz val="12"/>
      <color theme="0"/>
      <name val="Calibri"/>
      <family val="2"/>
      <scheme val="minor"/>
    </font>
    <font>
      <sz val="11"/>
      <color indexed="8"/>
      <name val="Calibri"/>
      <family val="2"/>
    </font>
    <font>
      <sz val="10"/>
      <color indexed="8"/>
      <name val="Arial"/>
      <family val="2"/>
    </font>
    <font>
      <b/>
      <sz val="11"/>
      <color rgb="FFFF0000"/>
      <name val="Calibri"/>
      <family val="2"/>
      <scheme val="minor"/>
    </font>
    <font>
      <b/>
      <sz val="14"/>
      <color rgb="FF7030A0"/>
      <name val="Calibri"/>
      <family val="2"/>
    </font>
    <font>
      <b/>
      <sz val="10"/>
      <color indexed="81"/>
      <name val="Tahoma"/>
      <family val="2"/>
    </font>
    <font>
      <sz val="11"/>
      <color indexed="8"/>
      <name val="Calibri"/>
      <family val="2"/>
    </font>
    <font>
      <sz val="10"/>
      <color indexed="8"/>
      <name val="Arial"/>
      <family val="2"/>
    </font>
    <font>
      <b/>
      <sz val="14"/>
      <name val="Calibri"/>
      <family val="2"/>
      <scheme val="minor"/>
    </font>
    <font>
      <b/>
      <sz val="12"/>
      <name val="Arial"/>
      <family val="2"/>
    </font>
    <font>
      <b/>
      <sz val="12"/>
      <color theme="1"/>
      <name val="Calibri"/>
      <family val="2"/>
      <scheme val="minor"/>
    </font>
    <font>
      <b/>
      <sz val="11"/>
      <color theme="1"/>
      <name val="Calibri"/>
      <family val="2"/>
      <scheme val="minor"/>
    </font>
    <font>
      <b/>
      <sz val="18"/>
      <color theme="1"/>
      <name val="Calibri"/>
      <family val="2"/>
      <scheme val="minor"/>
    </font>
    <font>
      <i/>
      <sz val="11"/>
      <color theme="1"/>
      <name val="Calibri"/>
      <family val="2"/>
      <scheme val="minor"/>
    </font>
    <font>
      <sz val="8"/>
      <color rgb="FF000000"/>
      <name val="Arial"/>
      <family val="2"/>
    </font>
  </fonts>
  <fills count="31">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indexed="45"/>
        <bgColor indexed="64"/>
      </patternFill>
    </fill>
    <fill>
      <patternFill patternType="solid">
        <fgColor indexed="46"/>
        <bgColor indexed="64"/>
      </patternFill>
    </fill>
    <fill>
      <patternFill patternType="solid">
        <fgColor indexed="13"/>
        <bgColor indexed="64"/>
      </patternFill>
    </fill>
    <fill>
      <patternFill patternType="solid">
        <fgColor indexed="51"/>
        <bgColor indexed="64"/>
      </patternFill>
    </fill>
    <fill>
      <patternFill patternType="solid">
        <fgColor indexed="27"/>
        <bgColor indexed="64"/>
      </patternFill>
    </fill>
    <fill>
      <patternFill patternType="solid">
        <fgColor indexed="14"/>
        <bgColor indexed="64"/>
      </patternFill>
    </fill>
    <fill>
      <patternFill patternType="solid">
        <fgColor theme="0"/>
        <bgColor indexed="64"/>
      </patternFill>
    </fill>
    <fill>
      <patternFill patternType="solid">
        <fgColor rgb="FF99CCFF"/>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rgb="FF92D050"/>
        <bgColor indexed="64"/>
      </patternFill>
    </fill>
    <fill>
      <patternFill patternType="solid">
        <fgColor theme="0" tint="-4.9989318521683403E-2"/>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22"/>
      </left>
      <right style="hair">
        <color indexed="22"/>
      </right>
      <top style="thin">
        <color indexed="22"/>
      </top>
      <bottom style="thin">
        <color indexed="22"/>
      </bottom>
      <diagonal/>
    </border>
    <border>
      <left style="hair">
        <color indexed="22"/>
      </left>
      <right style="hair">
        <color indexed="22"/>
      </right>
      <top style="thin">
        <color indexed="22"/>
      </top>
      <bottom style="thin">
        <color indexed="22"/>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hair">
        <color indexed="64"/>
      </left>
      <right style="thin">
        <color indexed="64"/>
      </right>
      <top style="hair">
        <color indexed="64"/>
      </top>
      <bottom style="thin">
        <color indexed="64"/>
      </bottom>
      <diagonal/>
    </border>
    <border>
      <left style="thin">
        <color indexed="22"/>
      </left>
      <right style="thin">
        <color indexed="22"/>
      </right>
      <top style="thin">
        <color indexed="22"/>
      </top>
      <bottom style="thin">
        <color indexed="22"/>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style="thin">
        <color indexed="22"/>
      </left>
      <right style="thin">
        <color indexed="22"/>
      </right>
      <top style="thin">
        <color indexed="22"/>
      </top>
      <bottom/>
      <diagonal/>
    </border>
    <border>
      <left style="thin">
        <color indexed="64"/>
      </left>
      <right style="thin">
        <color indexed="64"/>
      </right>
      <top style="medium">
        <color indexed="64"/>
      </top>
      <bottom style="medium">
        <color indexed="64"/>
      </bottom>
      <diagonal/>
    </border>
  </borders>
  <cellStyleXfs count="897">
    <xf numFmtId="0" fontId="0"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35" fillId="0" borderId="0"/>
    <xf numFmtId="0" fontId="5" fillId="0" borderId="0"/>
    <xf numFmtId="0" fontId="35" fillId="0" borderId="0"/>
    <xf numFmtId="0" fontId="5" fillId="0" borderId="0"/>
    <xf numFmtId="0" fontId="35"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35" fillId="0" borderId="0"/>
    <xf numFmtId="0" fontId="4" fillId="0" borderId="0"/>
    <xf numFmtId="0" fontId="35" fillId="0" borderId="0"/>
    <xf numFmtId="0" fontId="35" fillId="0" borderId="0"/>
    <xf numFmtId="0" fontId="35" fillId="0" borderId="0"/>
    <xf numFmtId="0" fontId="5" fillId="0" borderId="0"/>
    <xf numFmtId="0" fontId="35"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35" fillId="0" borderId="0"/>
    <xf numFmtId="0" fontId="5" fillId="0" borderId="0"/>
    <xf numFmtId="0" fontId="3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4" fillId="0" borderId="0"/>
    <xf numFmtId="0" fontId="35" fillId="0" borderId="0"/>
    <xf numFmtId="0" fontId="35" fillId="0" borderId="0"/>
    <xf numFmtId="0" fontId="35" fillId="0" borderId="0"/>
    <xf numFmtId="0" fontId="35" fillId="0" borderId="0"/>
    <xf numFmtId="0" fontId="5" fillId="0" borderId="0"/>
    <xf numFmtId="0" fontId="35"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4" fillId="0" borderId="0"/>
    <xf numFmtId="0" fontId="35" fillId="0" borderId="0"/>
    <xf numFmtId="0" fontId="5" fillId="0" borderId="0"/>
    <xf numFmtId="0" fontId="4" fillId="0" borderId="0"/>
    <xf numFmtId="0" fontId="35" fillId="0" borderId="0"/>
    <xf numFmtId="0" fontId="5" fillId="0" borderId="0"/>
    <xf numFmtId="0" fontId="3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5" fillId="0" borderId="0"/>
    <xf numFmtId="0" fontId="35" fillId="0" borderId="0"/>
    <xf numFmtId="0" fontId="5" fillId="0" borderId="0"/>
    <xf numFmtId="0" fontId="35"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35" fillId="0" borderId="0"/>
    <xf numFmtId="0" fontId="4" fillId="0" borderId="0"/>
    <xf numFmtId="0" fontId="35" fillId="0" borderId="0"/>
    <xf numFmtId="0" fontId="35" fillId="0" borderId="0"/>
    <xf numFmtId="0" fontId="5" fillId="0" borderId="0"/>
    <xf numFmtId="0" fontId="35"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5" fillId="0" borderId="0"/>
    <xf numFmtId="0" fontId="3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5" fillId="0" borderId="0"/>
    <xf numFmtId="0" fontId="35" fillId="0" borderId="0"/>
    <xf numFmtId="0" fontId="5" fillId="0" borderId="0"/>
    <xf numFmtId="0" fontId="35"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35" fillId="0" borderId="0"/>
    <xf numFmtId="0" fontId="4" fillId="0" borderId="0"/>
    <xf numFmtId="0" fontId="35" fillId="0" borderId="0"/>
    <xf numFmtId="0" fontId="35" fillId="0" borderId="0"/>
    <xf numFmtId="0" fontId="35" fillId="0" borderId="0"/>
    <xf numFmtId="0" fontId="5" fillId="0" borderId="0"/>
    <xf numFmtId="0" fontId="35"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5" fillId="0" borderId="0"/>
    <xf numFmtId="0" fontId="3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5" fillId="0" borderId="0"/>
    <xf numFmtId="0" fontId="35" fillId="0" borderId="0"/>
    <xf numFmtId="0" fontId="5" fillId="0" borderId="0"/>
    <xf numFmtId="0" fontId="35"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35" fillId="0" borderId="0"/>
    <xf numFmtId="0" fontId="4" fillId="0" borderId="0"/>
    <xf numFmtId="0" fontId="5" fillId="0" borderId="0"/>
    <xf numFmtId="0" fontId="4" fillId="0" borderId="0"/>
    <xf numFmtId="0" fontId="35" fillId="0" borderId="0"/>
    <xf numFmtId="0" fontId="5" fillId="0" borderId="0"/>
    <xf numFmtId="0" fontId="4" fillId="0" borderId="0"/>
    <xf numFmtId="0" fontId="35" fillId="0" borderId="0"/>
    <xf numFmtId="0" fontId="5" fillId="0" borderId="0"/>
    <xf numFmtId="0" fontId="3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5" fillId="0" borderId="0"/>
    <xf numFmtId="0" fontId="35" fillId="0" borderId="0"/>
    <xf numFmtId="0" fontId="5" fillId="0" borderId="0"/>
    <xf numFmtId="0" fontId="35"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35" fillId="0" borderId="0"/>
    <xf numFmtId="0" fontId="4" fillId="0" borderId="0"/>
    <xf numFmtId="0" fontId="35" fillId="0" borderId="0"/>
    <xf numFmtId="0" fontId="35" fillId="0" borderId="0"/>
    <xf numFmtId="0" fontId="5" fillId="0" borderId="0"/>
    <xf numFmtId="0" fontId="35"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4" fillId="0" borderId="0"/>
    <xf numFmtId="0" fontId="35" fillId="0" borderId="0"/>
    <xf numFmtId="0" fontId="35" fillId="0" borderId="0"/>
    <xf numFmtId="0" fontId="35" fillId="0" borderId="0"/>
    <xf numFmtId="0" fontId="35" fillId="0" borderId="0"/>
    <xf numFmtId="0" fontId="5" fillId="0" borderId="0"/>
    <xf numFmtId="0" fontId="35"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5" fillId="0" borderId="0"/>
    <xf numFmtId="0" fontId="35" fillId="0" borderId="0"/>
    <xf numFmtId="0" fontId="5" fillId="0" borderId="0"/>
    <xf numFmtId="0" fontId="35"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35" fillId="0" borderId="0"/>
    <xf numFmtId="0" fontId="4" fillId="0" borderId="0"/>
    <xf numFmtId="0" fontId="35" fillId="0" borderId="0"/>
    <xf numFmtId="0" fontId="35" fillId="0" borderId="0"/>
    <xf numFmtId="0" fontId="35" fillId="0" borderId="0"/>
    <xf numFmtId="0" fontId="5" fillId="0" borderId="0"/>
    <xf numFmtId="0" fontId="35"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5" fillId="0" borderId="0"/>
    <xf numFmtId="0" fontId="3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5" fillId="0" borderId="0"/>
    <xf numFmtId="0" fontId="35" fillId="0" borderId="0"/>
    <xf numFmtId="0" fontId="5" fillId="0" borderId="0"/>
    <xf numFmtId="0" fontId="35"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35" fillId="0" borderId="0"/>
    <xf numFmtId="0" fontId="4" fillId="0" borderId="0"/>
    <xf numFmtId="0" fontId="35" fillId="0" borderId="0"/>
    <xf numFmtId="0" fontId="5" fillId="0" borderId="0"/>
    <xf numFmtId="0" fontId="4" fillId="0" borderId="0"/>
    <xf numFmtId="0" fontId="35" fillId="0" borderId="0"/>
    <xf numFmtId="0" fontId="5" fillId="0" borderId="0"/>
    <xf numFmtId="0" fontId="3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5" fillId="0" borderId="0"/>
    <xf numFmtId="0" fontId="35" fillId="0" borderId="0"/>
    <xf numFmtId="0" fontId="5" fillId="0" borderId="0"/>
    <xf numFmtId="0" fontId="35"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35" fillId="0" borderId="0"/>
    <xf numFmtId="0" fontId="4" fillId="0" borderId="0"/>
    <xf numFmtId="0" fontId="35" fillId="0" borderId="0"/>
    <xf numFmtId="0" fontId="35" fillId="0" borderId="0"/>
    <xf numFmtId="0" fontId="5" fillId="0" borderId="0"/>
    <xf numFmtId="0" fontId="35"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5" fillId="0" borderId="0"/>
    <xf numFmtId="0" fontId="3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5" fillId="0" borderId="0"/>
    <xf numFmtId="0" fontId="35" fillId="0" borderId="0"/>
    <xf numFmtId="0" fontId="5" fillId="0" borderId="0"/>
    <xf numFmtId="0" fontId="35"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35" fillId="0" borderId="0"/>
    <xf numFmtId="0" fontId="4" fillId="0" borderId="0"/>
    <xf numFmtId="0" fontId="35" fillId="0" borderId="0"/>
    <xf numFmtId="0" fontId="35" fillId="0" borderId="0"/>
    <xf numFmtId="0" fontId="35" fillId="0" borderId="0"/>
    <xf numFmtId="0" fontId="5" fillId="0" borderId="0"/>
    <xf numFmtId="0" fontId="35"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5" fillId="0" borderId="0"/>
    <xf numFmtId="0" fontId="3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36"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15" fillId="0" borderId="0"/>
    <xf numFmtId="0" fontId="15" fillId="0" borderId="0"/>
    <xf numFmtId="0" fontId="15" fillId="0" borderId="0"/>
    <xf numFmtId="9" fontId="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0" fontId="70" fillId="0" borderId="0"/>
    <xf numFmtId="0" fontId="75" fillId="0" borderId="0"/>
  </cellStyleXfs>
  <cellXfs count="1393">
    <xf numFmtId="0" fontId="0" fillId="0" borderId="0" xfId="0"/>
    <xf numFmtId="0" fontId="10" fillId="2" borderId="1" xfId="815" applyFont="1" applyFill="1" applyBorder="1" applyAlignment="1">
      <alignment horizontal="center"/>
    </xf>
    <xf numFmtId="0" fontId="10" fillId="2" borderId="2" xfId="815" applyFont="1" applyFill="1" applyBorder="1" applyAlignment="1">
      <alignment horizontal="center" vertical="center" wrapText="1"/>
    </xf>
    <xf numFmtId="0" fontId="0" fillId="10" borderId="0" xfId="0" applyFill="1"/>
    <xf numFmtId="0" fontId="14" fillId="0" borderId="0" xfId="0" applyFont="1"/>
    <xf numFmtId="10" fontId="38" fillId="0" borderId="3" xfId="891" applyNumberFormat="1" applyFont="1" applyFill="1" applyBorder="1" applyAlignment="1">
      <alignment horizontal="center"/>
    </xf>
    <xf numFmtId="10" fontId="38" fillId="0" borderId="0" xfId="891" applyNumberFormat="1" applyFont="1" applyFill="1" applyBorder="1" applyAlignment="1">
      <alignment horizontal="center"/>
    </xf>
    <xf numFmtId="0" fontId="39" fillId="11" borderId="2" xfId="0" applyFont="1" applyFill="1" applyBorder="1" applyAlignment="1">
      <alignment horizontal="center"/>
    </xf>
    <xf numFmtId="0" fontId="40" fillId="11" borderId="2" xfId="0" applyFont="1" applyFill="1" applyBorder="1" applyAlignment="1">
      <alignment horizontal="center"/>
    </xf>
    <xf numFmtId="0" fontId="38" fillId="0" borderId="0" xfId="0" applyFont="1"/>
    <xf numFmtId="0" fontId="38" fillId="0" borderId="0" xfId="0" applyFont="1" applyAlignment="1">
      <alignment horizontal="center"/>
    </xf>
    <xf numFmtId="0" fontId="38" fillId="0" borderId="0" xfId="0" applyFont="1" applyFill="1" applyBorder="1"/>
    <xf numFmtId="168" fontId="38" fillId="0" borderId="1" xfId="0" applyNumberFormat="1" applyFont="1" applyFill="1" applyBorder="1" applyAlignment="1">
      <alignment horizontal="center"/>
    </xf>
    <xf numFmtId="167" fontId="38" fillId="0" borderId="1" xfId="0" applyNumberFormat="1" applyFont="1" applyFill="1" applyBorder="1" applyAlignment="1">
      <alignment horizontal="center"/>
    </xf>
    <xf numFmtId="10" fontId="38" fillId="0" borderId="1" xfId="892" applyNumberFormat="1" applyFont="1" applyFill="1" applyBorder="1" applyAlignment="1">
      <alignment horizontal="center"/>
    </xf>
    <xf numFmtId="0" fontId="38" fillId="0" borderId="1" xfId="0" applyFont="1" applyBorder="1" applyAlignment="1">
      <alignment horizontal="left" vertical="center" wrapText="1"/>
    </xf>
    <xf numFmtId="4" fontId="38" fillId="0" borderId="1" xfId="0" applyNumberFormat="1" applyFont="1" applyBorder="1" applyAlignment="1">
      <alignment horizontal="center"/>
    </xf>
    <xf numFmtId="165" fontId="38" fillId="0" borderId="0" xfId="0" applyNumberFormat="1" applyFont="1" applyFill="1" applyBorder="1" applyAlignment="1">
      <alignment horizontal="center" vertical="center"/>
    </xf>
    <xf numFmtId="0" fontId="38" fillId="0" borderId="0" xfId="0" applyFont="1" applyBorder="1"/>
    <xf numFmtId="0" fontId="16" fillId="0" borderId="0" xfId="890" applyFont="1" applyFill="1" applyBorder="1" applyAlignment="1">
      <alignment horizontal="center" vertical="top" wrapText="1"/>
    </xf>
    <xf numFmtId="0" fontId="17" fillId="0" borderId="0" xfId="890" applyFont="1" applyFill="1" applyBorder="1" applyAlignment="1">
      <alignment horizontal="center" vertical="top" wrapText="1"/>
    </xf>
    <xf numFmtId="0" fontId="0" fillId="0" borderId="0" xfId="0" applyFill="1" applyBorder="1"/>
    <xf numFmtId="4" fontId="0" fillId="0" borderId="0" xfId="0" applyNumberFormat="1" applyFill="1" applyBorder="1"/>
    <xf numFmtId="3" fontId="0" fillId="0" borderId="0" xfId="0" applyNumberFormat="1" applyFill="1" applyBorder="1"/>
    <xf numFmtId="168" fontId="38" fillId="0" borderId="1" xfId="0" applyNumberFormat="1" applyFont="1" applyBorder="1" applyAlignment="1">
      <alignment horizontal="center"/>
    </xf>
    <xf numFmtId="0" fontId="38" fillId="0" borderId="1" xfId="0" applyFont="1" applyBorder="1"/>
    <xf numFmtId="4" fontId="38" fillId="0" borderId="0" xfId="0" applyNumberFormat="1" applyFont="1"/>
    <xf numFmtId="172" fontId="38" fillId="0" borderId="0" xfId="0" applyNumberFormat="1" applyFont="1" applyBorder="1"/>
    <xf numFmtId="172" fontId="0" fillId="0" borderId="0" xfId="0" applyNumberFormat="1" applyBorder="1"/>
    <xf numFmtId="2" fontId="38" fillId="0" borderId="0" xfId="0" applyNumberFormat="1" applyFont="1" applyFill="1" applyBorder="1" applyAlignment="1">
      <alignment horizontal="center" vertical="center"/>
    </xf>
    <xf numFmtId="9" fontId="38" fillId="0" borderId="1" xfId="892" applyFont="1" applyBorder="1" applyAlignment="1">
      <alignment horizontal="center"/>
    </xf>
    <xf numFmtId="0" fontId="38" fillId="0" borderId="0" xfId="0" applyFont="1" applyFill="1"/>
    <xf numFmtId="0" fontId="41" fillId="0" borderId="0" xfId="0" applyFont="1" applyFill="1" applyBorder="1"/>
    <xf numFmtId="0" fontId="39" fillId="0" borderId="0" xfId="0" applyFont="1" applyFill="1" applyBorder="1" applyAlignment="1">
      <alignment horizontal="center"/>
    </xf>
    <xf numFmtId="0" fontId="0" fillId="0" borderId="0" xfId="0" applyFill="1"/>
    <xf numFmtId="0" fontId="42" fillId="0" borderId="0" xfId="889" applyFont="1" applyFill="1" applyBorder="1" applyAlignment="1">
      <alignment horizontal="right" wrapText="1"/>
    </xf>
    <xf numFmtId="0" fontId="43" fillId="0" borderId="0" xfId="0" applyFont="1" applyFill="1" applyBorder="1" applyAlignment="1">
      <alignment horizontal="center" vertical="center" wrapText="1"/>
    </xf>
    <xf numFmtId="0" fontId="38" fillId="0" borderId="0" xfId="0" applyFont="1" applyFill="1" applyBorder="1" applyAlignment="1">
      <alignment horizontal="center" vertical="center"/>
    </xf>
    <xf numFmtId="3" fontId="38" fillId="0" borderId="0" xfId="0" applyNumberFormat="1" applyFont="1" applyFill="1" applyBorder="1" applyAlignment="1">
      <alignment horizontal="center" vertical="center"/>
    </xf>
    <xf numFmtId="0" fontId="38" fillId="0" borderId="0" xfId="0" applyFont="1" applyFill="1" applyBorder="1" applyAlignment="1">
      <alignment horizontal="center"/>
    </xf>
    <xf numFmtId="171" fontId="38" fillId="0" borderId="0" xfId="0" applyNumberFormat="1" applyFont="1" applyFill="1" applyBorder="1" applyAlignment="1">
      <alignment horizontal="center" vertical="center"/>
    </xf>
    <xf numFmtId="171" fontId="38" fillId="0" borderId="0" xfId="0" applyNumberFormat="1" applyFont="1" applyFill="1" applyBorder="1" applyAlignment="1">
      <alignment horizontal="center"/>
    </xf>
    <xf numFmtId="167" fontId="38" fillId="0" borderId="0" xfId="0" applyNumberFormat="1" applyFont="1" applyFill="1" applyBorder="1" applyAlignment="1">
      <alignment horizontal="center"/>
    </xf>
    <xf numFmtId="10" fontId="38" fillId="0" borderId="0" xfId="892" applyNumberFormat="1" applyFont="1" applyFill="1" applyBorder="1" applyAlignment="1">
      <alignment horizontal="center"/>
    </xf>
    <xf numFmtId="167" fontId="44" fillId="0" borderId="0" xfId="0" applyNumberFormat="1" applyFont="1" applyFill="1" applyBorder="1" applyAlignment="1">
      <alignment horizontal="center"/>
    </xf>
    <xf numFmtId="0" fontId="0" fillId="0" borderId="0" xfId="0" applyBorder="1"/>
    <xf numFmtId="4" fontId="39" fillId="0" borderId="0" xfId="0" applyNumberFormat="1" applyFont="1" applyFill="1" applyBorder="1" applyAlignment="1"/>
    <xf numFmtId="4" fontId="38" fillId="0" borderId="0" xfId="0" applyNumberFormat="1" applyFont="1" applyBorder="1"/>
    <xf numFmtId="0" fontId="0" fillId="0" borderId="1" xfId="0" applyFill="1" applyBorder="1" applyAlignment="1">
      <alignment horizontal="center"/>
    </xf>
    <xf numFmtId="0" fontId="38" fillId="0" borderId="1" xfId="0" applyFont="1" applyBorder="1" applyAlignment="1">
      <alignment horizontal="center"/>
    </xf>
    <xf numFmtId="0" fontId="38" fillId="0" borderId="5" xfId="0" applyFont="1" applyBorder="1" applyAlignment="1"/>
    <xf numFmtId="169" fontId="38" fillId="0" borderId="7" xfId="0" applyNumberFormat="1" applyFont="1" applyFill="1" applyBorder="1" applyAlignment="1">
      <alignment horizontal="center"/>
    </xf>
    <xf numFmtId="0" fontId="38" fillId="3" borderId="0" xfId="0" applyFont="1" applyFill="1"/>
    <xf numFmtId="0" fontId="0" fillId="3" borderId="0" xfId="0" applyFill="1"/>
    <xf numFmtId="0" fontId="38" fillId="10" borderId="0" xfId="0" applyFont="1" applyFill="1" applyBorder="1"/>
    <xf numFmtId="0" fontId="0" fillId="10" borderId="0" xfId="0" applyFill="1" applyBorder="1"/>
    <xf numFmtId="0" fontId="45" fillId="10" borderId="0" xfId="0" applyFont="1" applyFill="1" applyBorder="1" applyAlignment="1"/>
    <xf numFmtId="9" fontId="38" fillId="3" borderId="0" xfId="892" applyFont="1" applyFill="1"/>
    <xf numFmtId="3" fontId="38" fillId="3" borderId="0" xfId="0" applyNumberFormat="1" applyFont="1" applyFill="1" applyAlignment="1">
      <alignment horizontal="center"/>
    </xf>
    <xf numFmtId="0" fontId="38" fillId="3" borderId="0" xfId="0" applyFont="1" applyFill="1" applyAlignment="1">
      <alignment horizontal="center"/>
    </xf>
    <xf numFmtId="3" fontId="0" fillId="3" borderId="0" xfId="0" applyNumberFormat="1" applyFill="1"/>
    <xf numFmtId="9" fontId="35" fillId="3" borderId="0" xfId="892" applyFont="1" applyFill="1"/>
    <xf numFmtId="0" fontId="39" fillId="11" borderId="1" xfId="0" applyFont="1" applyFill="1" applyBorder="1" applyAlignment="1">
      <alignment horizontal="center"/>
    </xf>
    <xf numFmtId="0" fontId="4" fillId="11" borderId="1" xfId="0" applyFont="1" applyFill="1" applyBorder="1" applyAlignment="1">
      <alignment horizontal="center" wrapText="1"/>
    </xf>
    <xf numFmtId="0" fontId="4" fillId="11" borderId="1" xfId="0" applyFont="1" applyFill="1" applyBorder="1"/>
    <xf numFmtId="0" fontId="40" fillId="11" borderId="1" xfId="0" applyFont="1" applyFill="1" applyBorder="1" applyAlignment="1">
      <alignment horizontal="center"/>
    </xf>
    <xf numFmtId="0" fontId="39" fillId="11" borderId="1" xfId="0" applyFont="1" applyFill="1" applyBorder="1" applyAlignment="1">
      <alignment horizontal="center" vertical="center"/>
    </xf>
    <xf numFmtId="0" fontId="39" fillId="11" borderId="8" xfId="0" applyFont="1" applyFill="1" applyBorder="1" applyAlignment="1">
      <alignment horizontal="center"/>
    </xf>
    <xf numFmtId="0" fontId="39" fillId="11" borderId="9" xfId="0" applyFont="1" applyFill="1" applyBorder="1" applyAlignment="1">
      <alignment horizontal="center"/>
    </xf>
    <xf numFmtId="0" fontId="0" fillId="0" borderId="5" xfId="0" applyFill="1" applyBorder="1" applyAlignment="1">
      <alignment horizontal="center"/>
    </xf>
    <xf numFmtId="3" fontId="38" fillId="0" borderId="0" xfId="0" applyNumberFormat="1" applyFont="1" applyFill="1" applyBorder="1" applyAlignment="1">
      <alignment horizontal="center"/>
    </xf>
    <xf numFmtId="168" fontId="47" fillId="0" borderId="0" xfId="888" applyNumberFormat="1" applyFont="1" applyFill="1" applyBorder="1" applyAlignment="1">
      <alignment horizontal="center"/>
    </xf>
    <xf numFmtId="4" fontId="38" fillId="0" borderId="0" xfId="0" applyNumberFormat="1" applyFont="1" applyFill="1" applyBorder="1" applyAlignment="1">
      <alignment horizontal="center"/>
    </xf>
    <xf numFmtId="0" fontId="38" fillId="0" borderId="3" xfId="0" applyFont="1" applyFill="1" applyBorder="1" applyAlignment="1">
      <alignment horizontal="center"/>
    </xf>
    <xf numFmtId="3" fontId="38" fillId="0" borderId="3" xfId="0" applyNumberFormat="1" applyFont="1" applyFill="1" applyBorder="1" applyAlignment="1">
      <alignment horizontal="center"/>
    </xf>
    <xf numFmtId="167" fontId="38" fillId="0" borderId="3" xfId="0" applyNumberFormat="1" applyFont="1" applyFill="1" applyBorder="1" applyAlignment="1">
      <alignment horizontal="center"/>
    </xf>
    <xf numFmtId="0" fontId="38" fillId="0" borderId="4" xfId="0" applyFont="1" applyFill="1" applyBorder="1" applyAlignment="1">
      <alignment horizontal="center"/>
    </xf>
    <xf numFmtId="3" fontId="38" fillId="0" borderId="4" xfId="0" applyNumberFormat="1" applyFont="1" applyFill="1" applyBorder="1" applyAlignment="1">
      <alignment horizontal="center"/>
    </xf>
    <xf numFmtId="167" fontId="38" fillId="0" borderId="4" xfId="0" applyNumberFormat="1" applyFont="1" applyFill="1" applyBorder="1" applyAlignment="1">
      <alignment horizontal="center"/>
    </xf>
    <xf numFmtId="16" fontId="40" fillId="0" borderId="10" xfId="0" applyNumberFormat="1" applyFont="1" applyFill="1" applyBorder="1" applyAlignment="1">
      <alignment horizontal="center"/>
    </xf>
    <xf numFmtId="0" fontId="40" fillId="0" borderId="10" xfId="0" applyFont="1" applyFill="1" applyBorder="1" applyAlignment="1">
      <alignment horizontal="center"/>
    </xf>
    <xf numFmtId="0" fontId="0" fillId="0" borderId="11" xfId="0" applyFill="1" applyBorder="1"/>
    <xf numFmtId="0" fontId="0" fillId="0" borderId="11" xfId="0" applyFill="1" applyBorder="1" applyAlignment="1">
      <alignment horizontal="center" wrapText="1"/>
    </xf>
    <xf numFmtId="0" fontId="12" fillId="2" borderId="2" xfId="0" applyFont="1" applyFill="1" applyBorder="1" applyAlignment="1">
      <alignment horizontal="center" vertical="center" wrapText="1"/>
    </xf>
    <xf numFmtId="167" fontId="0" fillId="0" borderId="0" xfId="0" applyNumberFormat="1"/>
    <xf numFmtId="169" fontId="48" fillId="0" borderId="7" xfId="0" applyNumberFormat="1" applyFont="1" applyFill="1" applyBorder="1" applyAlignment="1">
      <alignment horizontal="center"/>
    </xf>
    <xf numFmtId="0" fontId="6" fillId="2" borderId="2" xfId="846" applyFont="1" applyFill="1" applyBorder="1" applyAlignment="1">
      <alignment horizontal="center" vertical="center" wrapText="1"/>
    </xf>
    <xf numFmtId="0" fontId="10" fillId="2" borderId="2" xfId="872" applyFont="1" applyFill="1" applyBorder="1" applyAlignment="1">
      <alignment horizontal="center" vertical="center" wrapText="1"/>
    </xf>
    <xf numFmtId="166" fontId="40" fillId="0" borderId="7" xfId="0" applyNumberFormat="1" applyFont="1" applyFill="1" applyBorder="1" applyAlignment="1">
      <alignment horizontal="center" vertical="center"/>
    </xf>
    <xf numFmtId="166" fontId="40" fillId="0" borderId="12" xfId="0" applyNumberFormat="1" applyFont="1" applyFill="1" applyBorder="1" applyAlignment="1">
      <alignment horizontal="center" vertical="center"/>
    </xf>
    <xf numFmtId="0" fontId="49" fillId="0" borderId="0" xfId="0" applyFont="1"/>
    <xf numFmtId="169" fontId="48" fillId="0" borderId="12" xfId="0" applyNumberFormat="1" applyFont="1" applyFill="1" applyBorder="1" applyAlignment="1">
      <alignment horizontal="center"/>
    </xf>
    <xf numFmtId="169" fontId="38" fillId="0" borderId="12" xfId="0" applyNumberFormat="1" applyFont="1" applyFill="1" applyBorder="1" applyAlignment="1">
      <alignment horizontal="center"/>
    </xf>
    <xf numFmtId="169" fontId="38" fillId="0" borderId="0" xfId="0" applyNumberFormat="1" applyFont="1" applyFill="1" applyBorder="1" applyAlignment="1">
      <alignment horizontal="center"/>
    </xf>
    <xf numFmtId="169" fontId="50" fillId="0" borderId="0" xfId="0" applyNumberFormat="1" applyFont="1" applyFill="1" applyBorder="1" applyAlignment="1">
      <alignment horizontal="center"/>
    </xf>
    <xf numFmtId="166" fontId="40" fillId="0" borderId="13" xfId="0" applyNumberFormat="1" applyFont="1" applyFill="1" applyBorder="1" applyAlignment="1">
      <alignment horizontal="center" vertical="center"/>
    </xf>
    <xf numFmtId="166" fontId="40" fillId="0" borderId="14" xfId="0" applyNumberFormat="1" applyFont="1" applyFill="1" applyBorder="1" applyAlignment="1">
      <alignment horizontal="center" vertical="center"/>
    </xf>
    <xf numFmtId="166" fontId="40" fillId="0" borderId="15" xfId="0" applyNumberFormat="1" applyFont="1" applyFill="1" applyBorder="1" applyAlignment="1">
      <alignment horizontal="center" vertical="center"/>
    </xf>
    <xf numFmtId="0" fontId="6" fillId="2" borderId="2" xfId="872" applyFont="1" applyFill="1" applyBorder="1" applyAlignment="1">
      <alignment horizontal="center" vertical="center" wrapText="1"/>
    </xf>
    <xf numFmtId="0" fontId="12" fillId="12" borderId="2" xfId="0" applyFont="1" applyFill="1" applyBorder="1" applyAlignment="1">
      <alignment horizontal="center" vertical="center" wrapText="1"/>
    </xf>
    <xf numFmtId="0" fontId="10" fillId="12" borderId="2" xfId="872" applyFont="1" applyFill="1" applyBorder="1" applyAlignment="1">
      <alignment horizontal="center" vertical="center" wrapText="1"/>
    </xf>
    <xf numFmtId="0" fontId="12" fillId="13" borderId="2" xfId="0" applyFont="1" applyFill="1" applyBorder="1" applyAlignment="1">
      <alignment horizontal="center" vertical="center" wrapText="1"/>
    </xf>
    <xf numFmtId="0" fontId="10" fillId="13" borderId="2" xfId="872" applyFont="1" applyFill="1" applyBorder="1" applyAlignment="1">
      <alignment horizontal="center" vertical="center" wrapText="1"/>
    </xf>
    <xf numFmtId="0" fontId="12" fillId="14" borderId="2" xfId="0" applyFont="1" applyFill="1" applyBorder="1" applyAlignment="1">
      <alignment horizontal="center" vertical="center" wrapText="1"/>
    </xf>
    <xf numFmtId="0" fontId="10" fillId="14" borderId="2" xfId="872" applyFont="1" applyFill="1" applyBorder="1" applyAlignment="1">
      <alignment horizontal="center" vertical="center" wrapText="1"/>
    </xf>
    <xf numFmtId="0" fontId="12" fillId="15" borderId="2" xfId="0" applyFont="1" applyFill="1" applyBorder="1" applyAlignment="1">
      <alignment horizontal="center" vertical="center" wrapText="1"/>
    </xf>
    <xf numFmtId="0" fontId="10" fillId="15" borderId="2" xfId="872" applyFont="1" applyFill="1" applyBorder="1" applyAlignment="1">
      <alignment horizontal="center" vertical="center" wrapText="1"/>
    </xf>
    <xf numFmtId="0" fontId="12" fillId="16" borderId="2" xfId="0" applyFont="1" applyFill="1" applyBorder="1" applyAlignment="1">
      <alignment horizontal="center" vertical="center" wrapText="1"/>
    </xf>
    <xf numFmtId="0" fontId="10" fillId="16" borderId="2" xfId="872" applyFont="1" applyFill="1" applyBorder="1" applyAlignment="1">
      <alignment horizontal="center" vertical="center" wrapText="1"/>
    </xf>
    <xf numFmtId="0" fontId="12" fillId="17" borderId="2" xfId="0" applyFont="1" applyFill="1" applyBorder="1" applyAlignment="1">
      <alignment horizontal="center" vertical="center" wrapText="1"/>
    </xf>
    <xf numFmtId="0" fontId="10" fillId="17" borderId="2" xfId="872" applyFont="1" applyFill="1" applyBorder="1" applyAlignment="1">
      <alignment horizontal="center" vertical="center" wrapText="1"/>
    </xf>
    <xf numFmtId="0" fontId="6" fillId="14" borderId="2" xfId="872" applyFont="1" applyFill="1" applyBorder="1" applyAlignment="1">
      <alignment horizontal="center" vertical="center" wrapText="1"/>
    </xf>
    <xf numFmtId="0" fontId="6" fillId="17" borderId="2" xfId="872" applyFont="1" applyFill="1" applyBorder="1" applyAlignment="1">
      <alignment horizontal="center" vertical="center" wrapText="1"/>
    </xf>
    <xf numFmtId="0" fontId="50" fillId="0" borderId="0" xfId="0" applyFont="1" applyFill="1" applyBorder="1" applyAlignment="1">
      <alignment horizontal="center"/>
    </xf>
    <xf numFmtId="0" fontId="50" fillId="0" borderId="7" xfId="0" applyFont="1" applyFill="1" applyBorder="1" applyAlignment="1">
      <alignment horizontal="center"/>
    </xf>
    <xf numFmtId="169" fontId="50" fillId="0" borderId="7" xfId="0" applyNumberFormat="1" applyFont="1" applyFill="1" applyBorder="1" applyAlignment="1">
      <alignment horizontal="center"/>
    </xf>
    <xf numFmtId="0" fontId="50" fillId="0" borderId="12" xfId="0" applyFont="1" applyFill="1" applyBorder="1" applyAlignment="1">
      <alignment horizontal="center"/>
    </xf>
    <xf numFmtId="169" fontId="50" fillId="0" borderId="12" xfId="0" applyNumberFormat="1" applyFont="1" applyFill="1" applyBorder="1" applyAlignment="1">
      <alignment horizontal="center"/>
    </xf>
    <xf numFmtId="0" fontId="50" fillId="10" borderId="0" xfId="0" applyFont="1" applyFill="1" applyBorder="1" applyAlignment="1">
      <alignment horizontal="center"/>
    </xf>
    <xf numFmtId="0" fontId="6" fillId="2" borderId="2" xfId="815" applyFont="1" applyFill="1" applyBorder="1" applyAlignment="1">
      <alignment horizontal="center" vertical="center" wrapText="1"/>
    </xf>
    <xf numFmtId="0" fontId="50" fillId="10" borderId="12" xfId="0" applyFont="1" applyFill="1" applyBorder="1" applyAlignment="1"/>
    <xf numFmtId="0" fontId="10" fillId="0" borderId="0" xfId="815" applyFont="1" applyFill="1" applyBorder="1" applyAlignment="1">
      <alignment horizontal="center"/>
    </xf>
    <xf numFmtId="0" fontId="12" fillId="0" borderId="0" xfId="0" applyFont="1" applyFill="1" applyBorder="1" applyAlignment="1">
      <alignment horizontal="center"/>
    </xf>
    <xf numFmtId="0" fontId="0" fillId="0" borderId="12" xfId="0" applyFill="1" applyBorder="1"/>
    <xf numFmtId="0" fontId="6" fillId="13" borderId="16" xfId="872" applyFont="1" applyFill="1" applyBorder="1" applyAlignment="1">
      <alignment horizontal="center" vertical="center" wrapText="1"/>
    </xf>
    <xf numFmtId="0" fontId="51" fillId="18" borderId="2" xfId="0" applyFont="1" applyFill="1" applyBorder="1" applyAlignment="1">
      <alignment horizontal="center" vertical="center" wrapText="1"/>
    </xf>
    <xf numFmtId="0" fontId="51" fillId="18" borderId="2" xfId="872" applyFont="1" applyFill="1" applyBorder="1" applyAlignment="1">
      <alignment horizontal="center" vertical="center" wrapText="1"/>
    </xf>
    <xf numFmtId="0" fontId="52" fillId="19" borderId="2" xfId="0" applyFont="1" applyFill="1" applyBorder="1" applyAlignment="1">
      <alignment horizontal="center" vertical="center" wrapText="1"/>
    </xf>
    <xf numFmtId="0" fontId="52" fillId="19" borderId="2" xfId="872" applyFont="1" applyFill="1" applyBorder="1" applyAlignment="1">
      <alignment horizontal="center" vertical="center" wrapText="1"/>
    </xf>
    <xf numFmtId="0" fontId="10" fillId="2" borderId="1" xfId="815" applyFont="1" applyFill="1" applyBorder="1" applyAlignment="1">
      <alignment horizontal="center" vertical="center" wrapText="1"/>
    </xf>
    <xf numFmtId="166" fontId="40" fillId="0" borderId="17" xfId="0" applyNumberFormat="1" applyFont="1" applyFill="1" applyBorder="1" applyAlignment="1">
      <alignment horizontal="center" vertical="center"/>
    </xf>
    <xf numFmtId="166" fontId="40" fillId="0" borderId="18" xfId="0" applyNumberFormat="1" applyFont="1" applyFill="1" applyBorder="1" applyAlignment="1">
      <alignment horizontal="center" vertical="center"/>
    </xf>
    <xf numFmtId="166" fontId="40" fillId="0" borderId="19" xfId="0" applyNumberFormat="1" applyFont="1" applyFill="1" applyBorder="1" applyAlignment="1">
      <alignment horizontal="center" vertical="center"/>
    </xf>
    <xf numFmtId="166" fontId="40" fillId="0" borderId="20" xfId="0" applyNumberFormat="1" applyFont="1" applyFill="1" applyBorder="1" applyAlignment="1">
      <alignment horizontal="center" vertical="center"/>
    </xf>
    <xf numFmtId="166" fontId="40" fillId="0" borderId="21" xfId="0" applyNumberFormat="1" applyFont="1" applyFill="1" applyBorder="1" applyAlignment="1">
      <alignment horizontal="center" vertical="center"/>
    </xf>
    <xf numFmtId="166" fontId="40" fillId="0" borderId="22" xfId="0" applyNumberFormat="1" applyFont="1" applyFill="1" applyBorder="1" applyAlignment="1">
      <alignment horizontal="center" vertical="center"/>
    </xf>
    <xf numFmtId="166" fontId="40" fillId="0" borderId="23" xfId="0" applyNumberFormat="1" applyFont="1" applyFill="1" applyBorder="1" applyAlignment="1">
      <alignment horizontal="center" vertical="center"/>
    </xf>
    <xf numFmtId="166" fontId="40" fillId="0" borderId="24" xfId="0" applyNumberFormat="1" applyFont="1" applyFill="1" applyBorder="1" applyAlignment="1">
      <alignment horizontal="center" vertical="center"/>
    </xf>
    <xf numFmtId="166" fontId="40" fillId="0" borderId="25" xfId="0" applyNumberFormat="1" applyFont="1" applyFill="1" applyBorder="1" applyAlignment="1">
      <alignment horizontal="center" vertical="center"/>
    </xf>
    <xf numFmtId="174" fontId="53" fillId="0" borderId="7" xfId="0" applyNumberFormat="1" applyFont="1" applyFill="1" applyBorder="1" applyAlignment="1">
      <alignment horizontal="center"/>
    </xf>
    <xf numFmtId="174" fontId="53" fillId="0" borderId="0" xfId="0" applyNumberFormat="1" applyFont="1" applyFill="1" applyBorder="1" applyAlignment="1">
      <alignment horizontal="center"/>
    </xf>
    <xf numFmtId="174" fontId="53" fillId="0" borderId="12" xfId="0" applyNumberFormat="1" applyFont="1" applyFill="1" applyBorder="1" applyAlignment="1">
      <alignment horizontal="center"/>
    </xf>
    <xf numFmtId="174" fontId="53" fillId="0" borderId="13" xfId="0" applyNumberFormat="1" applyFont="1" applyFill="1" applyBorder="1" applyAlignment="1">
      <alignment horizontal="center"/>
    </xf>
    <xf numFmtId="174" fontId="53" fillId="0" borderId="23" xfId="0" applyNumberFormat="1" applyFont="1" applyFill="1" applyBorder="1" applyAlignment="1">
      <alignment horizontal="center"/>
    </xf>
    <xf numFmtId="174" fontId="53" fillId="0" borderId="15" xfId="0" applyNumberFormat="1" applyFont="1" applyFill="1" applyBorder="1" applyAlignment="1">
      <alignment horizontal="center"/>
    </xf>
    <xf numFmtId="174" fontId="53" fillId="0" borderId="24" xfId="0" applyNumberFormat="1" applyFont="1" applyFill="1" applyBorder="1" applyAlignment="1">
      <alignment horizontal="center"/>
    </xf>
    <xf numFmtId="174" fontId="53" fillId="0" borderId="14" xfId="0" applyNumberFormat="1" applyFont="1" applyFill="1" applyBorder="1" applyAlignment="1">
      <alignment horizontal="center"/>
    </xf>
    <xf numFmtId="174" fontId="53" fillId="0" borderId="25" xfId="0" applyNumberFormat="1" applyFont="1" applyFill="1" applyBorder="1" applyAlignment="1">
      <alignment horizontal="center"/>
    </xf>
    <xf numFmtId="169" fontId="49" fillId="0" borderId="0" xfId="0" applyNumberFormat="1" applyFont="1" applyFill="1" applyBorder="1"/>
    <xf numFmtId="0" fontId="3" fillId="0" borderId="0" xfId="0" applyFont="1" applyFill="1" applyBorder="1" applyAlignment="1">
      <alignment horizontal="center" vertical="center"/>
    </xf>
    <xf numFmtId="0" fontId="0" fillId="0" borderId="0" xfId="0" applyFill="1" applyBorder="1" applyAlignment="1">
      <alignment horizontal="center"/>
    </xf>
    <xf numFmtId="0" fontId="6" fillId="15" borderId="13" xfId="872" applyFont="1" applyFill="1" applyBorder="1" applyAlignment="1">
      <alignment horizontal="center" vertical="center" wrapText="1"/>
    </xf>
    <xf numFmtId="0" fontId="10" fillId="2" borderId="13" xfId="872" applyFont="1" applyFill="1" applyBorder="1" applyAlignment="1">
      <alignment horizontal="center" vertical="center" wrapText="1"/>
    </xf>
    <xf numFmtId="10" fontId="0" fillId="0" borderId="23" xfId="0" applyNumberFormat="1" applyFill="1" applyBorder="1" applyAlignment="1">
      <alignment horizontal="center"/>
    </xf>
    <xf numFmtId="10" fontId="0" fillId="0" borderId="25" xfId="0" applyNumberFormat="1" applyFill="1" applyBorder="1" applyAlignment="1">
      <alignment horizontal="center"/>
    </xf>
    <xf numFmtId="0" fontId="50" fillId="0" borderId="13" xfId="0" applyFont="1" applyFill="1" applyBorder="1" applyAlignment="1">
      <alignment horizontal="center"/>
    </xf>
    <xf numFmtId="169" fontId="50" fillId="0" borderId="23" xfId="0" applyNumberFormat="1" applyFont="1" applyFill="1" applyBorder="1" applyAlignment="1">
      <alignment horizontal="center"/>
    </xf>
    <xf numFmtId="0" fontId="50" fillId="0" borderId="14" xfId="0" applyFont="1" applyFill="1" applyBorder="1" applyAlignment="1">
      <alignment horizontal="center"/>
    </xf>
    <xf numFmtId="169" fontId="50" fillId="0" borderId="25" xfId="0" applyNumberFormat="1" applyFont="1" applyFill="1" applyBorder="1" applyAlignment="1">
      <alignment horizontal="center"/>
    </xf>
    <xf numFmtId="0" fontId="50" fillId="0" borderId="23" xfId="0" applyFont="1" applyFill="1" applyBorder="1" applyAlignment="1">
      <alignment horizontal="center"/>
    </xf>
    <xf numFmtId="0" fontId="50" fillId="0" borderId="25" xfId="0" applyFont="1" applyFill="1" applyBorder="1" applyAlignment="1">
      <alignment horizontal="center"/>
    </xf>
    <xf numFmtId="169" fontId="50" fillId="0" borderId="13" xfId="0" applyNumberFormat="1" applyFont="1" applyFill="1" applyBorder="1" applyAlignment="1">
      <alignment horizontal="center"/>
    </xf>
    <xf numFmtId="169" fontId="50" fillId="0" borderId="14" xfId="0" applyNumberFormat="1" applyFont="1" applyFill="1" applyBorder="1" applyAlignment="1">
      <alignment horizontal="center"/>
    </xf>
    <xf numFmtId="0" fontId="38" fillId="0" borderId="7" xfId="0" applyFont="1" applyFill="1" applyBorder="1" applyAlignment="1">
      <alignment horizontal="center"/>
    </xf>
    <xf numFmtId="0" fontId="38" fillId="0" borderId="12" xfId="0" applyFont="1" applyFill="1" applyBorder="1" applyAlignment="1">
      <alignment horizontal="center"/>
    </xf>
    <xf numFmtId="0" fontId="50" fillId="0" borderId="15" xfId="0" applyFont="1" applyFill="1" applyBorder="1" applyAlignment="1">
      <alignment horizontal="center"/>
    </xf>
    <xf numFmtId="0" fontId="50" fillId="0" borderId="24" xfId="0" applyFont="1" applyFill="1" applyBorder="1" applyAlignment="1">
      <alignment horizontal="center"/>
    </xf>
    <xf numFmtId="10" fontId="0" fillId="0" borderId="13" xfId="0" applyNumberFormat="1" applyFill="1" applyBorder="1" applyAlignment="1">
      <alignment horizontal="center"/>
    </xf>
    <xf numFmtId="10" fontId="0" fillId="0" borderId="14" xfId="0" applyNumberFormat="1" applyFill="1" applyBorder="1" applyAlignment="1">
      <alignment horizontal="center"/>
    </xf>
    <xf numFmtId="10" fontId="0" fillId="0" borderId="15" xfId="0" applyNumberFormat="1" applyFill="1" applyBorder="1" applyAlignment="1">
      <alignment horizontal="center"/>
    </xf>
    <xf numFmtId="169" fontId="55" fillId="0" borderId="7" xfId="0" applyNumberFormat="1" applyFont="1" applyFill="1" applyBorder="1" applyAlignment="1">
      <alignment horizontal="center"/>
    </xf>
    <xf numFmtId="2" fontId="50" fillId="0" borderId="13" xfId="0" applyNumberFormat="1" applyFont="1" applyFill="1" applyBorder="1" applyAlignment="1">
      <alignment horizontal="center"/>
    </xf>
    <xf numFmtId="2" fontId="38" fillId="0" borderId="13" xfId="0" applyNumberFormat="1" applyFont="1" applyFill="1" applyBorder="1" applyAlignment="1">
      <alignment horizontal="center"/>
    </xf>
    <xf numFmtId="2" fontId="38" fillId="0" borderId="14" xfId="0" applyNumberFormat="1" applyFont="1" applyFill="1" applyBorder="1" applyAlignment="1">
      <alignment horizontal="center"/>
    </xf>
    <xf numFmtId="2" fontId="50" fillId="0" borderId="0" xfId="0" applyNumberFormat="1" applyFont="1" applyFill="1" applyBorder="1" applyAlignment="1">
      <alignment horizontal="center"/>
    </xf>
    <xf numFmtId="2" fontId="50" fillId="0" borderId="13" xfId="0" applyNumberFormat="1" applyFont="1" applyBorder="1" applyAlignment="1">
      <alignment horizontal="center"/>
    </xf>
    <xf numFmtId="2" fontId="50" fillId="0" borderId="14" xfId="0" applyNumberFormat="1" applyFont="1" applyBorder="1" applyAlignment="1">
      <alignment horizontal="center"/>
    </xf>
    <xf numFmtId="2" fontId="50" fillId="0" borderId="7" xfId="0" applyNumberFormat="1" applyFont="1" applyBorder="1" applyAlignment="1">
      <alignment horizontal="center"/>
    </xf>
    <xf numFmtId="2" fontId="50" fillId="0" borderId="12" xfId="0" applyNumberFormat="1" applyFont="1" applyBorder="1" applyAlignment="1">
      <alignment horizontal="center"/>
    </xf>
    <xf numFmtId="2" fontId="38" fillId="0" borderId="7" xfId="0" applyNumberFormat="1" applyFont="1" applyFill="1" applyBorder="1" applyAlignment="1">
      <alignment horizontal="center"/>
    </xf>
    <xf numFmtId="2" fontId="38" fillId="0" borderId="0" xfId="0" applyNumberFormat="1" applyFont="1" applyFill="1" applyBorder="1" applyAlignment="1">
      <alignment horizontal="center"/>
    </xf>
    <xf numFmtId="168" fontId="38" fillId="3" borderId="1" xfId="0" applyNumberFormat="1" applyFont="1" applyFill="1" applyBorder="1" applyAlignment="1">
      <alignment horizontal="center" vertical="center"/>
    </xf>
    <xf numFmtId="3" fontId="47" fillId="3" borderId="1" xfId="0" applyNumberFormat="1" applyFont="1" applyFill="1" applyBorder="1" applyAlignment="1">
      <alignment horizontal="center"/>
    </xf>
    <xf numFmtId="168" fontId="38" fillId="3" borderId="1" xfId="0" applyNumberFormat="1" applyFont="1" applyFill="1" applyBorder="1" applyAlignment="1">
      <alignment horizontal="center"/>
    </xf>
    <xf numFmtId="10" fontId="38" fillId="3" borderId="1" xfId="892" applyNumberFormat="1" applyFont="1" applyFill="1" applyBorder="1" applyAlignment="1">
      <alignment horizontal="center"/>
    </xf>
    <xf numFmtId="168" fontId="38" fillId="0" borderId="1" xfId="0" applyNumberFormat="1" applyFont="1" applyFill="1" applyBorder="1" applyAlignment="1">
      <alignment horizontal="center" vertical="center"/>
    </xf>
    <xf numFmtId="4" fontId="47" fillId="3" borderId="1" xfId="0" applyNumberFormat="1" applyFont="1" applyFill="1" applyBorder="1" applyAlignment="1">
      <alignment horizontal="center"/>
    </xf>
    <xf numFmtId="4" fontId="38" fillId="3" borderId="1" xfId="0" applyNumberFormat="1" applyFont="1" applyFill="1" applyBorder="1" applyAlignment="1">
      <alignment horizontal="center" vertical="center"/>
    </xf>
    <xf numFmtId="10" fontId="0" fillId="0" borderId="0" xfId="0" applyNumberFormat="1"/>
    <xf numFmtId="0" fontId="45" fillId="0" borderId="0" xfId="0" applyFont="1" applyFill="1" applyBorder="1" applyAlignment="1">
      <alignment vertical="center" wrapText="1"/>
    </xf>
    <xf numFmtId="4" fontId="39" fillId="0" borderId="0" xfId="0" applyNumberFormat="1" applyFont="1" applyFill="1" applyBorder="1" applyAlignment="1">
      <alignment horizontal="center"/>
    </xf>
    <xf numFmtId="0" fontId="55" fillId="0" borderId="7" xfId="0" applyFont="1" applyFill="1" applyBorder="1" applyAlignment="1">
      <alignment horizontal="center"/>
    </xf>
    <xf numFmtId="169" fontId="55" fillId="0" borderId="0" xfId="0" applyNumberFormat="1" applyFont="1" applyFill="1" applyBorder="1" applyAlignment="1">
      <alignment horizontal="center"/>
    </xf>
    <xf numFmtId="2" fontId="55" fillId="0" borderId="7" xfId="0" applyNumberFormat="1" applyFont="1" applyFill="1" applyBorder="1" applyAlignment="1">
      <alignment horizontal="center"/>
    </xf>
    <xf numFmtId="0" fontId="48" fillId="0" borderId="7" xfId="0" applyFont="1" applyFill="1" applyBorder="1" applyAlignment="1">
      <alignment horizontal="center"/>
    </xf>
    <xf numFmtId="0" fontId="55" fillId="0" borderId="0" xfId="0" applyFont="1" applyFill="1" applyBorder="1" applyAlignment="1">
      <alignment horizontal="center"/>
    </xf>
    <xf numFmtId="0" fontId="50" fillId="0" borderId="13" xfId="0" applyFont="1" applyBorder="1" applyAlignment="1">
      <alignment horizontal="center"/>
    </xf>
    <xf numFmtId="0" fontId="55" fillId="0" borderId="7" xfId="0" applyFont="1" applyBorder="1" applyAlignment="1">
      <alignment horizontal="center"/>
    </xf>
    <xf numFmtId="0" fontId="50" fillId="0" borderId="7" xfId="0" applyFont="1" applyBorder="1" applyAlignment="1">
      <alignment horizontal="center"/>
    </xf>
    <xf numFmtId="0" fontId="50" fillId="0" borderId="14" xfId="0" applyFont="1" applyBorder="1" applyAlignment="1">
      <alignment horizontal="center"/>
    </xf>
    <xf numFmtId="0" fontId="50" fillId="0" borderId="12" xfId="0" applyFont="1" applyBorder="1"/>
    <xf numFmtId="0" fontId="50" fillId="0" borderId="12" xfId="0" applyFont="1" applyBorder="1" applyAlignment="1">
      <alignment horizontal="center"/>
    </xf>
    <xf numFmtId="10" fontId="0" fillId="0" borderId="13" xfId="0" applyNumberFormat="1" applyFont="1" applyFill="1" applyBorder="1" applyAlignment="1">
      <alignment horizontal="center"/>
    </xf>
    <xf numFmtId="10" fontId="0" fillId="0" borderId="14" xfId="0" applyNumberFormat="1" applyFont="1" applyFill="1" applyBorder="1" applyAlignment="1">
      <alignment horizontal="center"/>
    </xf>
    <xf numFmtId="170" fontId="38" fillId="0" borderId="0" xfId="0" applyNumberFormat="1" applyFont="1" applyFill="1" applyBorder="1" applyAlignment="1">
      <alignment horizontal="center"/>
    </xf>
    <xf numFmtId="167" fontId="38" fillId="0" borderId="0" xfId="0" applyNumberFormat="1" applyFont="1" applyFill="1" applyBorder="1" applyAlignment="1">
      <alignment horizontal="center" vertical="center"/>
    </xf>
    <xf numFmtId="0" fontId="42" fillId="0" borderId="0" xfId="889" applyFont="1" applyFill="1" applyBorder="1" applyAlignment="1">
      <alignment horizontal="center" wrapText="1"/>
    </xf>
    <xf numFmtId="0" fontId="38" fillId="0" borderId="28" xfId="0" applyFont="1" applyFill="1" applyBorder="1" applyAlignment="1">
      <alignment horizontal="center" vertical="center"/>
    </xf>
    <xf numFmtId="3" fontId="38" fillId="0" borderId="28" xfId="0" applyNumberFormat="1" applyFont="1" applyFill="1" applyBorder="1" applyAlignment="1">
      <alignment horizontal="center" vertical="center"/>
    </xf>
    <xf numFmtId="171" fontId="38" fillId="0" borderId="28" xfId="0" applyNumberFormat="1" applyFont="1" applyFill="1" applyBorder="1" applyAlignment="1">
      <alignment horizontal="center" vertical="center"/>
    </xf>
    <xf numFmtId="170" fontId="38" fillId="0" borderId="28" xfId="0" applyNumberFormat="1" applyFont="1" applyFill="1" applyBorder="1" applyAlignment="1">
      <alignment horizontal="center"/>
    </xf>
    <xf numFmtId="167" fontId="38" fillId="0" borderId="28" xfId="0" applyNumberFormat="1" applyFont="1" applyFill="1" applyBorder="1" applyAlignment="1">
      <alignment horizontal="center"/>
    </xf>
    <xf numFmtId="10" fontId="38" fillId="0" borderId="28" xfId="892" applyNumberFormat="1" applyFont="1" applyFill="1" applyBorder="1" applyAlignment="1">
      <alignment horizontal="center"/>
    </xf>
    <xf numFmtId="0" fontId="38" fillId="0" borderId="28" xfId="0" applyFont="1" applyFill="1" applyBorder="1" applyAlignment="1">
      <alignment horizontal="center"/>
    </xf>
    <xf numFmtId="0" fontId="0" fillId="0" borderId="29" xfId="0" applyFill="1" applyBorder="1" applyAlignment="1">
      <alignment horizontal="center"/>
    </xf>
    <xf numFmtId="171" fontId="38" fillId="0" borderId="3" xfId="0" applyNumberFormat="1" applyFont="1" applyFill="1" applyBorder="1" applyAlignment="1">
      <alignment horizontal="center" vertical="center"/>
    </xf>
    <xf numFmtId="170" fontId="38" fillId="0" borderId="3" xfId="0" applyNumberFormat="1" applyFont="1" applyFill="1" applyBorder="1" applyAlignment="1">
      <alignment horizontal="center"/>
    </xf>
    <xf numFmtId="10" fontId="38" fillId="0" borderId="3" xfId="892" applyNumberFormat="1" applyFont="1" applyFill="1" applyBorder="1" applyAlignment="1">
      <alignment horizontal="center"/>
    </xf>
    <xf numFmtId="0" fontId="0" fillId="0" borderId="30" xfId="0" applyFill="1" applyBorder="1" applyAlignment="1">
      <alignment horizontal="center"/>
    </xf>
    <xf numFmtId="171" fontId="38" fillId="0" borderId="4" xfId="0" applyNumberFormat="1" applyFont="1" applyFill="1" applyBorder="1" applyAlignment="1">
      <alignment horizontal="center" vertical="center"/>
    </xf>
    <xf numFmtId="170" fontId="38" fillId="0" borderId="4" xfId="0" applyNumberFormat="1" applyFont="1" applyFill="1" applyBorder="1" applyAlignment="1">
      <alignment horizontal="center"/>
    </xf>
    <xf numFmtId="10" fontId="38" fillId="0" borderId="4" xfId="892" applyNumberFormat="1" applyFont="1" applyFill="1" applyBorder="1" applyAlignment="1">
      <alignment horizontal="center"/>
    </xf>
    <xf numFmtId="167" fontId="57" fillId="0" borderId="4" xfId="0" applyNumberFormat="1" applyFont="1" applyFill="1" applyBorder="1" applyAlignment="1">
      <alignment horizontal="center"/>
    </xf>
    <xf numFmtId="0" fontId="0" fillId="0" borderId="31" xfId="0" applyFill="1" applyBorder="1" applyAlignment="1">
      <alignment horizontal="center"/>
    </xf>
    <xf numFmtId="167" fontId="38" fillId="0" borderId="3" xfId="0" applyNumberFormat="1" applyFont="1" applyFill="1" applyBorder="1" applyAlignment="1">
      <alignment horizontal="center" vertical="center"/>
    </xf>
    <xf numFmtId="167" fontId="44" fillId="0" borderId="3" xfId="0" applyNumberFormat="1" applyFont="1" applyFill="1" applyBorder="1" applyAlignment="1">
      <alignment horizontal="center"/>
    </xf>
    <xf numFmtId="0" fontId="42" fillId="0" borderId="3" xfId="889" applyFont="1" applyFill="1" applyBorder="1" applyAlignment="1">
      <alignment horizontal="center" wrapText="1"/>
    </xf>
    <xf numFmtId="0" fontId="0" fillId="0" borderId="10" xfId="0" applyFill="1" applyBorder="1" applyAlignment="1">
      <alignment horizontal="center"/>
    </xf>
    <xf numFmtId="167" fontId="38" fillId="0" borderId="4" xfId="0" applyNumberFormat="1" applyFont="1" applyFill="1" applyBorder="1" applyAlignment="1">
      <alignment horizontal="center" vertical="center"/>
    </xf>
    <xf numFmtId="167" fontId="44" fillId="0" borderId="4" xfId="0" applyNumberFormat="1" applyFont="1" applyFill="1" applyBorder="1" applyAlignment="1">
      <alignment horizontal="center"/>
    </xf>
    <xf numFmtId="0" fontId="42" fillId="0" borderId="4" xfId="889" applyFont="1" applyFill="1" applyBorder="1" applyAlignment="1">
      <alignment horizontal="center" wrapText="1"/>
    </xf>
    <xf numFmtId="0" fontId="43" fillId="21" borderId="32" xfId="0" applyFont="1" applyFill="1" applyBorder="1" applyAlignment="1">
      <alignment horizontal="center" vertical="center"/>
    </xf>
    <xf numFmtId="167" fontId="38" fillId="0" borderId="7" xfId="0" applyNumberFormat="1" applyFont="1" applyFill="1" applyBorder="1" applyAlignment="1">
      <alignment horizontal="center" vertical="center"/>
    </xf>
    <xf numFmtId="170" fontId="38" fillId="0" borderId="7" xfId="0" applyNumberFormat="1" applyFont="1" applyFill="1" applyBorder="1" applyAlignment="1">
      <alignment horizontal="center"/>
    </xf>
    <xf numFmtId="167" fontId="38" fillId="0" borderId="7" xfId="0" applyNumberFormat="1" applyFont="1" applyFill="1" applyBorder="1" applyAlignment="1">
      <alignment horizontal="center"/>
    </xf>
    <xf numFmtId="10" fontId="38" fillId="0" borderId="7" xfId="892" applyNumberFormat="1" applyFont="1" applyFill="1" applyBorder="1" applyAlignment="1">
      <alignment horizontal="center"/>
    </xf>
    <xf numFmtId="167" fontId="44" fillId="0" borderId="7" xfId="0" applyNumberFormat="1" applyFont="1" applyFill="1" applyBorder="1" applyAlignment="1">
      <alignment horizontal="center"/>
    </xf>
    <xf numFmtId="0" fontId="42" fillId="0" borderId="7" xfId="889" applyFont="1" applyFill="1" applyBorder="1" applyAlignment="1">
      <alignment horizontal="center" wrapText="1"/>
    </xf>
    <xf numFmtId="0" fontId="38" fillId="0" borderId="12" xfId="0" applyFont="1" applyFill="1" applyBorder="1" applyAlignment="1">
      <alignment horizontal="center" vertical="center"/>
    </xf>
    <xf numFmtId="167" fontId="38" fillId="0" borderId="12" xfId="0" applyNumberFormat="1" applyFont="1" applyFill="1" applyBorder="1" applyAlignment="1">
      <alignment horizontal="center" vertical="center"/>
    </xf>
    <xf numFmtId="170" fontId="38" fillId="0" borderId="12" xfId="0" applyNumberFormat="1" applyFont="1" applyFill="1" applyBorder="1" applyAlignment="1">
      <alignment horizontal="center"/>
    </xf>
    <xf numFmtId="167" fontId="38" fillId="0" borderId="12" xfId="0" applyNumberFormat="1" applyFont="1" applyFill="1" applyBorder="1" applyAlignment="1">
      <alignment horizontal="center"/>
    </xf>
    <xf numFmtId="10" fontId="38" fillId="0" borderId="12" xfId="892" applyNumberFormat="1" applyFont="1" applyFill="1" applyBorder="1" applyAlignment="1">
      <alignment horizontal="center"/>
    </xf>
    <xf numFmtId="167" fontId="44" fillId="0" borderId="12" xfId="0" applyNumberFormat="1" applyFont="1" applyFill="1" applyBorder="1" applyAlignment="1">
      <alignment horizontal="center"/>
    </xf>
    <xf numFmtId="0" fontId="42" fillId="0" borderId="12" xfId="889" applyFont="1" applyFill="1" applyBorder="1" applyAlignment="1">
      <alignment horizontal="center" wrapText="1"/>
    </xf>
    <xf numFmtId="0" fontId="38" fillId="0" borderId="7" xfId="0" applyFont="1" applyFill="1" applyBorder="1" applyAlignment="1">
      <alignment horizontal="center" vertical="center"/>
    </xf>
    <xf numFmtId="0" fontId="0" fillId="0" borderId="33" xfId="0" applyFill="1" applyBorder="1" applyAlignment="1">
      <alignment horizontal="center"/>
    </xf>
    <xf numFmtId="0" fontId="0" fillId="0" borderId="34" xfId="0" applyFill="1" applyBorder="1" applyAlignment="1">
      <alignment horizontal="center"/>
    </xf>
    <xf numFmtId="4" fontId="38" fillId="0" borderId="0" xfId="0" applyNumberFormat="1" applyFont="1" applyBorder="1" applyAlignment="1">
      <alignment horizontal="center"/>
    </xf>
    <xf numFmtId="168" fontId="38" fillId="0" borderId="0" xfId="0" applyNumberFormat="1" applyFont="1" applyFill="1" applyBorder="1" applyAlignment="1">
      <alignment horizontal="center"/>
    </xf>
    <xf numFmtId="4" fontId="38" fillId="0" borderId="2" xfId="0" applyNumberFormat="1" applyFont="1" applyBorder="1" applyAlignment="1">
      <alignment horizontal="center"/>
    </xf>
    <xf numFmtId="4" fontId="38" fillId="0" borderId="2" xfId="0" applyNumberFormat="1" applyFont="1" applyFill="1" applyBorder="1" applyAlignment="1">
      <alignment horizontal="center"/>
    </xf>
    <xf numFmtId="168" fontId="38" fillId="0" borderId="2" xfId="0" applyNumberFormat="1" applyFont="1" applyFill="1" applyBorder="1" applyAlignment="1">
      <alignment horizontal="center"/>
    </xf>
    <xf numFmtId="4" fontId="38" fillId="0" borderId="35" xfId="0" applyNumberFormat="1" applyFont="1" applyBorder="1" applyAlignment="1">
      <alignment horizontal="center"/>
    </xf>
    <xf numFmtId="4" fontId="38" fillId="0" borderId="35" xfId="0" applyNumberFormat="1" applyFont="1" applyFill="1" applyBorder="1" applyAlignment="1">
      <alignment horizontal="center"/>
    </xf>
    <xf numFmtId="168" fontId="38" fillId="0" borderId="35" xfId="0" applyNumberFormat="1" applyFont="1" applyFill="1" applyBorder="1" applyAlignment="1">
      <alignment horizontal="center"/>
    </xf>
    <xf numFmtId="167" fontId="38" fillId="0" borderId="35" xfId="0" applyNumberFormat="1" applyFont="1" applyFill="1" applyBorder="1" applyAlignment="1">
      <alignment horizontal="center"/>
    </xf>
    <xf numFmtId="10" fontId="38" fillId="0" borderId="37" xfId="892" applyNumberFormat="1" applyFont="1" applyFill="1" applyBorder="1" applyAlignment="1">
      <alignment horizontal="center"/>
    </xf>
    <xf numFmtId="4" fontId="0" fillId="0" borderId="35" xfId="0" applyNumberFormat="1" applyBorder="1"/>
    <xf numFmtId="4" fontId="0" fillId="0" borderId="16" xfId="0" applyNumberFormat="1" applyBorder="1"/>
    <xf numFmtId="169" fontId="38" fillId="0" borderId="13" xfId="0" applyNumberFormat="1" applyFont="1" applyFill="1" applyBorder="1" applyAlignment="1">
      <alignment horizontal="center"/>
    </xf>
    <xf numFmtId="169" fontId="38" fillId="0" borderId="14" xfId="0" applyNumberFormat="1" applyFont="1" applyFill="1" applyBorder="1" applyAlignment="1">
      <alignment horizontal="center"/>
    </xf>
    <xf numFmtId="10" fontId="0" fillId="0" borderId="15" xfId="0" applyNumberFormat="1" applyFont="1" applyFill="1" applyBorder="1" applyAlignment="1">
      <alignment horizontal="center"/>
    </xf>
    <xf numFmtId="0" fontId="48" fillId="0" borderId="12" xfId="0" applyFont="1" applyFill="1" applyBorder="1" applyAlignment="1">
      <alignment horizontal="center"/>
    </xf>
    <xf numFmtId="0" fontId="55" fillId="0" borderId="12" xfId="0" applyFont="1" applyFill="1" applyBorder="1" applyAlignment="1">
      <alignment horizontal="center"/>
    </xf>
    <xf numFmtId="175" fontId="0" fillId="0" borderId="23" xfId="0" applyNumberFormat="1" applyFill="1" applyBorder="1"/>
    <xf numFmtId="175" fontId="0" fillId="0" borderId="25" xfId="0" applyNumberFormat="1" applyFill="1" applyBorder="1"/>
    <xf numFmtId="175" fontId="0" fillId="0" borderId="24" xfId="0" applyNumberFormat="1" applyFill="1" applyBorder="1"/>
    <xf numFmtId="175" fontId="0" fillId="0" borderId="7" xfId="0" applyNumberFormat="1" applyFont="1" applyFill="1" applyBorder="1"/>
    <xf numFmtId="175" fontId="0" fillId="0" borderId="12" xfId="0" applyNumberFormat="1" applyFont="1" applyFill="1" applyBorder="1"/>
    <xf numFmtId="175" fontId="0" fillId="0" borderId="23" xfId="0" applyNumberFormat="1" applyFont="1" applyBorder="1" applyAlignment="1">
      <alignment horizontal="right"/>
    </xf>
    <xf numFmtId="175" fontId="0" fillId="0" borderId="25" xfId="0" applyNumberFormat="1" applyFont="1" applyBorder="1" applyAlignment="1">
      <alignment horizontal="right"/>
    </xf>
    <xf numFmtId="175" fontId="0" fillId="0" borderId="7" xfId="0" applyNumberFormat="1" applyFont="1" applyBorder="1"/>
    <xf numFmtId="175" fontId="0" fillId="0" borderId="12" xfId="0" applyNumberFormat="1" applyFont="1" applyBorder="1"/>
    <xf numFmtId="175" fontId="0" fillId="0" borderId="23" xfId="0" applyNumberFormat="1" applyFont="1" applyBorder="1"/>
    <xf numFmtId="175" fontId="0" fillId="0" borderId="25" xfId="0" applyNumberFormat="1" applyFont="1" applyBorder="1"/>
    <xf numFmtId="165" fontId="0" fillId="0" borderId="0" xfId="0" applyNumberFormat="1"/>
    <xf numFmtId="175" fontId="0" fillId="0" borderId="7" xfId="0" applyNumberFormat="1" applyFill="1" applyBorder="1"/>
    <xf numFmtId="175" fontId="0" fillId="0" borderId="12" xfId="0" applyNumberFormat="1" applyFill="1" applyBorder="1"/>
    <xf numFmtId="175" fontId="0" fillId="0" borderId="0" xfId="0" applyNumberFormat="1" applyFill="1"/>
    <xf numFmtId="175" fontId="0" fillId="0" borderId="0" xfId="0" applyNumberFormat="1" applyFill="1" applyBorder="1"/>
    <xf numFmtId="0" fontId="55" fillId="0" borderId="12" xfId="0" applyFont="1" applyBorder="1" applyAlignment="1">
      <alignment horizontal="center"/>
    </xf>
    <xf numFmtId="3" fontId="38" fillId="0" borderId="4" xfId="0" applyNumberFormat="1" applyFont="1" applyFill="1" applyBorder="1" applyAlignment="1">
      <alignment horizontal="center" vertical="center"/>
    </xf>
    <xf numFmtId="0" fontId="38" fillId="0" borderId="4" xfId="0" applyFont="1" applyFill="1" applyBorder="1" applyAlignment="1">
      <alignment horizontal="center" vertical="center"/>
    </xf>
    <xf numFmtId="0" fontId="38" fillId="0" borderId="0" xfId="0" applyFont="1" applyFill="1" applyBorder="1" applyAlignment="1">
      <alignment horizontal="center" vertical="center"/>
    </xf>
    <xf numFmtId="0" fontId="48" fillId="0" borderId="0" xfId="0" applyFont="1" applyFill="1" applyBorder="1" applyAlignment="1">
      <alignment horizontal="center"/>
    </xf>
    <xf numFmtId="169" fontId="38" fillId="0" borderId="15" xfId="0" applyNumberFormat="1" applyFont="1" applyFill="1" applyBorder="1" applyAlignment="1">
      <alignment horizontal="center"/>
    </xf>
    <xf numFmtId="10" fontId="0" fillId="0" borderId="7" xfId="0" applyNumberFormat="1" applyFill="1" applyBorder="1" applyAlignment="1">
      <alignment horizontal="center"/>
    </xf>
    <xf numFmtId="10" fontId="0" fillId="0" borderId="12" xfId="0" applyNumberFormat="1" applyFill="1" applyBorder="1" applyAlignment="1">
      <alignment horizontal="center"/>
    </xf>
    <xf numFmtId="0" fontId="58" fillId="19" borderId="0" xfId="0" applyFont="1" applyFill="1"/>
    <xf numFmtId="0" fontId="4" fillId="11" borderId="38" xfId="0" applyFont="1" applyFill="1" applyBorder="1" applyAlignment="1">
      <alignment horizontal="center" wrapText="1"/>
    </xf>
    <xf numFmtId="0" fontId="0" fillId="0" borderId="14" xfId="0" applyFill="1" applyBorder="1" applyAlignment="1">
      <alignment horizontal="center"/>
    </xf>
    <xf numFmtId="0" fontId="0" fillId="0" borderId="38" xfId="0" applyFill="1" applyBorder="1" applyAlignment="1">
      <alignment horizontal="center"/>
    </xf>
    <xf numFmtId="0" fontId="4" fillId="0" borderId="0" xfId="0" applyFont="1" applyFill="1" applyBorder="1" applyAlignment="1">
      <alignment horizontal="center" wrapText="1"/>
    </xf>
    <xf numFmtId="0" fontId="4" fillId="0" borderId="0" xfId="0" applyFont="1" applyFill="1" applyBorder="1" applyAlignment="1">
      <alignment vertical="center"/>
    </xf>
    <xf numFmtId="0" fontId="17" fillId="0" borderId="0" xfId="0" applyFont="1" applyFill="1" applyBorder="1" applyAlignment="1">
      <alignment vertical="center"/>
    </xf>
    <xf numFmtId="0" fontId="0" fillId="0" borderId="15" xfId="0" applyFill="1" applyBorder="1"/>
    <xf numFmtId="0" fontId="4" fillId="0" borderId="15" xfId="0" applyFont="1" applyFill="1" applyBorder="1" applyAlignment="1">
      <alignment horizontal="center" wrapText="1"/>
    </xf>
    <xf numFmtId="0" fontId="0" fillId="0" borderId="15" xfId="0" applyFill="1" applyBorder="1" applyAlignment="1">
      <alignment vertical="center"/>
    </xf>
    <xf numFmtId="0" fontId="6" fillId="15" borderId="2" xfId="872" applyFont="1" applyFill="1" applyBorder="1" applyAlignment="1">
      <alignment horizontal="center" vertical="center" wrapText="1"/>
    </xf>
    <xf numFmtId="0" fontId="6" fillId="16" borderId="2" xfId="872" applyFont="1" applyFill="1" applyBorder="1" applyAlignment="1">
      <alignment horizontal="center" vertical="center" wrapText="1"/>
    </xf>
    <xf numFmtId="0" fontId="6" fillId="12" borderId="2" xfId="872" applyFont="1" applyFill="1" applyBorder="1" applyAlignment="1">
      <alignment horizontal="center" vertical="center" wrapText="1"/>
    </xf>
    <xf numFmtId="4" fontId="38" fillId="0" borderId="1" xfId="0" applyNumberFormat="1" applyFont="1" applyFill="1" applyBorder="1" applyAlignment="1">
      <alignment horizontal="center"/>
    </xf>
    <xf numFmtId="0" fontId="7" fillId="0" borderId="0" xfId="807" applyFont="1" applyFill="1" applyBorder="1" applyAlignment="1">
      <alignment horizontal="center" vertical="center" wrapText="1"/>
    </xf>
    <xf numFmtId="0" fontId="19" fillId="10" borderId="0" xfId="0" applyFont="1" applyFill="1" applyBorder="1" applyAlignment="1">
      <alignment horizontal="center" vertical="center" textRotation="90"/>
    </xf>
    <xf numFmtId="0" fontId="9" fillId="10" borderId="0" xfId="47" applyFont="1" applyFill="1" applyBorder="1" applyAlignment="1">
      <alignment horizontal="center" vertical="center" wrapText="1"/>
    </xf>
    <xf numFmtId="166" fontId="40" fillId="10" borderId="0" xfId="0" applyNumberFormat="1" applyFont="1" applyFill="1" applyBorder="1" applyAlignment="1">
      <alignment horizontal="center" vertical="center"/>
    </xf>
    <xf numFmtId="169" fontId="37" fillId="10" borderId="0" xfId="0" applyNumberFormat="1" applyFont="1" applyFill="1" applyBorder="1"/>
    <xf numFmtId="0" fontId="3" fillId="10" borderId="0" xfId="0" applyFont="1" applyFill="1" applyBorder="1" applyAlignment="1">
      <alignment horizontal="center" vertical="center"/>
    </xf>
    <xf numFmtId="0" fontId="7" fillId="10" borderId="0" xfId="43" applyFont="1" applyFill="1" applyBorder="1" applyAlignment="1">
      <alignment horizontal="left" vertical="center" wrapText="1"/>
    </xf>
    <xf numFmtId="166" fontId="40" fillId="10" borderId="15" xfId="0" applyNumberFormat="1" applyFont="1" applyFill="1" applyBorder="1" applyAlignment="1">
      <alignment horizontal="center" vertical="center"/>
    </xf>
    <xf numFmtId="169" fontId="37" fillId="10" borderId="15" xfId="0" applyNumberFormat="1" applyFont="1" applyFill="1" applyBorder="1"/>
    <xf numFmtId="0" fontId="18" fillId="10" borderId="0" xfId="0" applyFont="1" applyFill="1" applyBorder="1" applyAlignment="1">
      <alignment horizontal="center" vertical="center" textRotation="90"/>
    </xf>
    <xf numFmtId="0" fontId="7" fillId="10" borderId="0" xfId="45" applyFont="1" applyFill="1" applyBorder="1" applyAlignment="1">
      <alignment horizontal="center" vertical="center" wrapText="1"/>
    </xf>
    <xf numFmtId="0" fontId="7" fillId="10" borderId="0" xfId="886" applyFont="1" applyFill="1" applyBorder="1" applyAlignment="1">
      <alignment horizontal="left" vertical="center" wrapText="1"/>
    </xf>
    <xf numFmtId="0" fontId="3" fillId="10" borderId="0" xfId="0" applyFont="1" applyFill="1" applyBorder="1" applyAlignment="1">
      <alignment horizontal="center" vertical="center" wrapText="1"/>
    </xf>
    <xf numFmtId="0" fontId="7" fillId="10" borderId="0" xfId="49" applyFont="1" applyFill="1" applyBorder="1" applyAlignment="1">
      <alignment horizontal="left" vertical="center" wrapText="1"/>
    </xf>
    <xf numFmtId="0" fontId="7" fillId="10" borderId="0" xfId="797" applyFont="1" applyFill="1" applyBorder="1" applyAlignment="1">
      <alignment horizontal="center" vertical="center" wrapText="1"/>
    </xf>
    <xf numFmtId="0" fontId="7" fillId="10" borderId="0" xfId="799" applyFont="1" applyFill="1" applyBorder="1" applyAlignment="1">
      <alignment horizontal="center" vertical="center" wrapText="1"/>
    </xf>
    <xf numFmtId="0" fontId="7" fillId="10" borderId="0" xfId="801" applyFont="1" applyFill="1" applyBorder="1" applyAlignment="1">
      <alignment horizontal="center" vertical="center" wrapText="1"/>
    </xf>
    <xf numFmtId="169" fontId="48" fillId="10" borderId="0" xfId="0" applyNumberFormat="1" applyFont="1" applyFill="1" applyBorder="1" applyAlignment="1">
      <alignment horizontal="center"/>
    </xf>
    <xf numFmtId="0" fontId="7" fillId="10" borderId="0" xfId="803" applyFont="1" applyFill="1" applyBorder="1" applyAlignment="1">
      <alignment horizontal="center" vertical="center" wrapText="1"/>
    </xf>
    <xf numFmtId="0" fontId="0" fillId="10" borderId="0" xfId="0" applyFill="1" applyBorder="1" applyAlignment="1">
      <alignment wrapText="1"/>
    </xf>
    <xf numFmtId="0" fontId="11" fillId="10" borderId="0" xfId="0" applyFont="1" applyFill="1" applyBorder="1"/>
    <xf numFmtId="0" fontId="38" fillId="3" borderId="15" xfId="0" applyFont="1" applyFill="1" applyBorder="1"/>
    <xf numFmtId="3" fontId="40" fillId="11" borderId="1" xfId="0" applyNumberFormat="1" applyFont="1" applyFill="1" applyBorder="1" applyAlignment="1">
      <alignment horizontal="center" vertical="center"/>
    </xf>
    <xf numFmtId="0" fontId="38" fillId="3" borderId="0" xfId="0" applyFont="1" applyFill="1" applyBorder="1"/>
    <xf numFmtId="3" fontId="40" fillId="11" borderId="1" xfId="0" applyNumberFormat="1" applyFont="1" applyFill="1" applyBorder="1" applyAlignment="1">
      <alignment horizontal="center" vertical="center" wrapText="1"/>
    </xf>
    <xf numFmtId="0" fontId="6" fillId="2" borderId="1" xfId="846" applyFont="1" applyFill="1" applyBorder="1" applyAlignment="1">
      <alignment horizontal="center" vertical="center" wrapText="1"/>
    </xf>
    <xf numFmtId="0" fontId="40" fillId="11" borderId="1" xfId="0" applyNumberFormat="1" applyFont="1" applyFill="1" applyBorder="1" applyAlignment="1">
      <alignment horizontal="center" vertical="center" wrapText="1"/>
    </xf>
    <xf numFmtId="168" fontId="47" fillId="3" borderId="1" xfId="0" applyNumberFormat="1" applyFont="1" applyFill="1" applyBorder="1" applyAlignment="1">
      <alignment horizontal="center"/>
    </xf>
    <xf numFmtId="2" fontId="50" fillId="10" borderId="0" xfId="0" applyNumberFormat="1" applyFont="1" applyFill="1" applyBorder="1" applyAlignment="1">
      <alignment horizontal="center"/>
    </xf>
    <xf numFmtId="4" fontId="0" fillId="0" borderId="1" xfId="0" applyNumberFormat="1" applyFill="1" applyBorder="1" applyAlignment="1">
      <alignment horizontal="center"/>
    </xf>
    <xf numFmtId="0" fontId="0" fillId="0" borderId="1" xfId="0" applyBorder="1" applyAlignment="1"/>
    <xf numFmtId="0" fontId="38" fillId="0" borderId="1" xfId="0" applyFont="1" applyBorder="1" applyAlignment="1"/>
    <xf numFmtId="0" fontId="0" fillId="0" borderId="1" xfId="0" applyBorder="1"/>
    <xf numFmtId="168" fontId="59" fillId="0" borderId="0" xfId="0" applyNumberFormat="1" applyFont="1"/>
    <xf numFmtId="0" fontId="49" fillId="0" borderId="0" xfId="0" applyFont="1" applyBorder="1" applyAlignment="1">
      <alignment horizontal="center"/>
    </xf>
    <xf numFmtId="169" fontId="50" fillId="0" borderId="14" xfId="0" applyNumberFormat="1" applyFont="1" applyBorder="1"/>
    <xf numFmtId="169" fontId="50" fillId="0" borderId="13" xfId="0" applyNumberFormat="1" applyFont="1" applyBorder="1"/>
    <xf numFmtId="169" fontId="50" fillId="0" borderId="14" xfId="0" applyNumberFormat="1" applyFont="1" applyBorder="1" applyAlignment="1">
      <alignment horizontal="center"/>
    </xf>
    <xf numFmtId="169" fontId="50" fillId="0" borderId="13" xfId="0" applyNumberFormat="1" applyFont="1" applyBorder="1" applyAlignment="1">
      <alignment horizontal="center"/>
    </xf>
    <xf numFmtId="169" fontId="50" fillId="0" borderId="15" xfId="0" applyNumberFormat="1" applyFont="1" applyBorder="1" applyAlignment="1">
      <alignment horizontal="center"/>
    </xf>
    <xf numFmtId="169" fontId="50" fillId="0" borderId="15" xfId="0" applyNumberFormat="1" applyFont="1" applyFill="1" applyBorder="1" applyAlignment="1">
      <alignment horizontal="center"/>
    </xf>
    <xf numFmtId="0" fontId="0" fillId="0" borderId="0" xfId="0" applyFill="1"/>
    <xf numFmtId="169" fontId="50" fillId="0" borderId="7" xfId="0" applyNumberFormat="1" applyFont="1" applyBorder="1" applyAlignment="1">
      <alignment horizontal="center"/>
    </xf>
    <xf numFmtId="169" fontId="50" fillId="0" borderId="12" xfId="0" applyNumberFormat="1" applyFont="1" applyBorder="1" applyAlignment="1">
      <alignment horizontal="center"/>
    </xf>
    <xf numFmtId="169" fontId="50" fillId="0" borderId="0" xfId="0" applyNumberFormat="1" applyFont="1" applyBorder="1" applyAlignment="1">
      <alignment horizontal="center"/>
    </xf>
    <xf numFmtId="169" fontId="55" fillId="0" borderId="7" xfId="0" applyNumberFormat="1" applyFont="1" applyBorder="1" applyAlignment="1">
      <alignment horizontal="center"/>
    </xf>
    <xf numFmtId="3" fontId="38" fillId="0" borderId="3" xfId="0" applyNumberFormat="1" applyFont="1" applyFill="1" applyBorder="1" applyAlignment="1">
      <alignment horizontal="center" vertical="center"/>
    </xf>
    <xf numFmtId="3" fontId="38" fillId="0" borderId="4" xfId="0" applyNumberFormat="1" applyFont="1" applyFill="1" applyBorder="1" applyAlignment="1">
      <alignment horizontal="center" vertical="center"/>
    </xf>
    <xf numFmtId="0" fontId="38" fillId="0" borderId="4" xfId="0" applyFont="1" applyFill="1" applyBorder="1" applyAlignment="1">
      <alignment horizontal="center" vertical="center"/>
    </xf>
    <xf numFmtId="0" fontId="17" fillId="16" borderId="38" xfId="0" applyFont="1" applyFill="1" applyBorder="1" applyAlignment="1">
      <alignment horizontal="center"/>
    </xf>
    <xf numFmtId="177" fontId="50" fillId="0" borderId="1" xfId="0" applyNumberFormat="1" applyFont="1" applyFill="1" applyBorder="1" applyAlignment="1">
      <alignment horizontal="center"/>
    </xf>
    <xf numFmtId="10" fontId="0" fillId="0" borderId="23" xfId="0" applyNumberFormat="1" applyFill="1" applyBorder="1" applyAlignment="1">
      <alignment horizontal="center"/>
    </xf>
    <xf numFmtId="0" fontId="26" fillId="3" borderId="0" xfId="0" applyFont="1" applyFill="1" applyBorder="1"/>
    <xf numFmtId="4" fontId="0" fillId="0" borderId="1" xfId="0" applyNumberFormat="1" applyBorder="1"/>
    <xf numFmtId="4" fontId="38" fillId="0" borderId="1" xfId="0" applyNumberFormat="1" applyFont="1" applyFill="1" applyBorder="1" applyAlignment="1">
      <alignment horizontal="right"/>
    </xf>
    <xf numFmtId="168" fontId="38" fillId="0" borderId="0" xfId="0" applyNumberFormat="1" applyFont="1" applyBorder="1" applyAlignment="1">
      <alignment horizontal="center"/>
    </xf>
    <xf numFmtId="0" fontId="39" fillId="0" borderId="0" xfId="0" applyFont="1" applyFill="1" applyBorder="1" applyAlignment="1">
      <alignment horizontal="center" vertical="center"/>
    </xf>
    <xf numFmtId="169" fontId="0" fillId="0" borderId="0" xfId="0" applyNumberFormat="1"/>
    <xf numFmtId="176" fontId="0" fillId="0" borderId="1" xfId="0" applyNumberFormat="1" applyBorder="1"/>
    <xf numFmtId="10" fontId="0" fillId="0" borderId="23" xfId="0" applyNumberFormat="1" applyFill="1" applyBorder="1" applyAlignment="1">
      <alignment horizontal="center"/>
    </xf>
    <xf numFmtId="10" fontId="0" fillId="0" borderId="25" xfId="0" applyNumberFormat="1" applyFill="1" applyBorder="1" applyAlignment="1">
      <alignment horizontal="center"/>
    </xf>
    <xf numFmtId="0" fontId="0" fillId="0" borderId="3" xfId="0" applyBorder="1" applyAlignment="1">
      <alignment horizontal="center"/>
    </xf>
    <xf numFmtId="10" fontId="0" fillId="0" borderId="24" xfId="0" applyNumberFormat="1" applyFill="1" applyBorder="1" applyAlignment="1">
      <alignment horizontal="center"/>
    </xf>
    <xf numFmtId="2" fontId="38" fillId="0" borderId="15" xfId="0" applyNumberFormat="1" applyFont="1" applyFill="1" applyBorder="1" applyAlignment="1">
      <alignment horizontal="center"/>
    </xf>
    <xf numFmtId="10" fontId="0" fillId="0" borderId="23" xfId="0" applyNumberFormat="1" applyFill="1" applyBorder="1" applyAlignment="1">
      <alignment horizontal="center"/>
    </xf>
    <xf numFmtId="10" fontId="0" fillId="0" borderId="25" xfId="0" applyNumberFormat="1" applyFill="1" applyBorder="1" applyAlignment="1">
      <alignment horizontal="center"/>
    </xf>
    <xf numFmtId="0" fontId="26" fillId="3" borderId="41" xfId="0" applyFont="1" applyFill="1" applyBorder="1"/>
    <xf numFmtId="40" fontId="0" fillId="0" borderId="0" xfId="0" applyNumberFormat="1"/>
    <xf numFmtId="178" fontId="7" fillId="0" borderId="7" xfId="0" applyNumberFormat="1" applyFont="1" applyFill="1" applyBorder="1" applyAlignment="1">
      <alignment horizontal="center"/>
    </xf>
    <xf numFmtId="178" fontId="60" fillId="0" borderId="7" xfId="0" applyNumberFormat="1" applyFont="1" applyFill="1" applyBorder="1" applyAlignment="1">
      <alignment horizontal="center"/>
    </xf>
    <xf numFmtId="178" fontId="7" fillId="0" borderId="7" xfId="0" applyNumberFormat="1" applyFont="1" applyBorder="1" applyAlignment="1">
      <alignment horizontal="center"/>
    </xf>
    <xf numFmtId="178" fontId="7" fillId="0" borderId="12" xfId="0" applyNumberFormat="1" applyFont="1" applyFill="1" applyBorder="1" applyAlignment="1">
      <alignment horizontal="center"/>
    </xf>
    <xf numFmtId="178" fontId="60" fillId="0" borderId="12" xfId="0" applyNumberFormat="1" applyFont="1" applyFill="1" applyBorder="1" applyAlignment="1">
      <alignment horizontal="center"/>
    </xf>
    <xf numFmtId="178" fontId="7" fillId="0" borderId="12" xfId="0" applyNumberFormat="1" applyFont="1" applyBorder="1" applyAlignment="1">
      <alignment horizontal="center"/>
    </xf>
    <xf numFmtId="178" fontId="7" fillId="10" borderId="0" xfId="0" applyNumberFormat="1" applyFont="1" applyFill="1" applyBorder="1" applyAlignment="1">
      <alignment horizontal="center"/>
    </xf>
    <xf numFmtId="178" fontId="60" fillId="10" borderId="0" xfId="0" applyNumberFormat="1" applyFont="1" applyFill="1" applyBorder="1" applyAlignment="1">
      <alignment horizontal="center"/>
    </xf>
    <xf numFmtId="178" fontId="37" fillId="10" borderId="0" xfId="0" applyNumberFormat="1" applyFont="1" applyFill="1" applyBorder="1"/>
    <xf numFmtId="178" fontId="56" fillId="0" borderId="7" xfId="0" applyNumberFormat="1" applyFont="1" applyFill="1" applyBorder="1" applyAlignment="1">
      <alignment horizontal="center"/>
    </xf>
    <xf numFmtId="178" fontId="56" fillId="0" borderId="12" xfId="0" applyNumberFormat="1" applyFont="1" applyFill="1" applyBorder="1" applyAlignment="1">
      <alignment horizontal="center"/>
    </xf>
    <xf numFmtId="178" fontId="61" fillId="0" borderId="7" xfId="0" applyNumberFormat="1" applyFont="1" applyFill="1" applyBorder="1" applyAlignment="1">
      <alignment horizontal="center"/>
    </xf>
    <xf numFmtId="178" fontId="7" fillId="0" borderId="0" xfId="0" applyNumberFormat="1" applyFont="1" applyFill="1" applyBorder="1" applyAlignment="1">
      <alignment horizontal="center"/>
    </xf>
    <xf numFmtId="178" fontId="62" fillId="0" borderId="0" xfId="0" applyNumberFormat="1" applyFont="1" applyFill="1" applyBorder="1" applyAlignment="1">
      <alignment horizontal="center"/>
    </xf>
    <xf numFmtId="178" fontId="60" fillId="0" borderId="0" xfId="0" applyNumberFormat="1" applyFont="1" applyFill="1" applyBorder="1" applyAlignment="1">
      <alignment horizontal="center"/>
    </xf>
    <xf numFmtId="178" fontId="7" fillId="0" borderId="0" xfId="0" applyNumberFormat="1" applyFont="1" applyBorder="1" applyAlignment="1">
      <alignment horizontal="center"/>
    </xf>
    <xf numFmtId="178" fontId="37" fillId="0" borderId="7" xfId="0" applyNumberFormat="1" applyFont="1" applyFill="1" applyBorder="1" applyAlignment="1">
      <alignment horizontal="center"/>
    </xf>
    <xf numFmtId="178" fontId="37" fillId="0" borderId="0" xfId="0" applyNumberFormat="1" applyFont="1" applyFill="1" applyBorder="1" applyAlignment="1">
      <alignment horizontal="center"/>
    </xf>
    <xf numFmtId="178" fontId="37" fillId="0" borderId="12" xfId="0" applyNumberFormat="1" applyFont="1" applyFill="1" applyBorder="1" applyAlignment="1">
      <alignment horizontal="center"/>
    </xf>
    <xf numFmtId="178" fontId="37" fillId="10" borderId="0" xfId="0" applyNumberFormat="1" applyFont="1" applyFill="1" applyBorder="1" applyAlignment="1">
      <alignment horizontal="center"/>
    </xf>
    <xf numFmtId="178" fontId="62" fillId="0" borderId="7" xfId="0" applyNumberFormat="1" applyFont="1" applyFill="1" applyBorder="1" applyAlignment="1">
      <alignment horizontal="center"/>
    </xf>
    <xf numFmtId="178" fontId="62" fillId="0" borderId="12" xfId="0" applyNumberFormat="1" applyFont="1" applyFill="1" applyBorder="1" applyAlignment="1">
      <alignment horizontal="center"/>
    </xf>
    <xf numFmtId="178" fontId="7" fillId="0" borderId="13" xfId="0" applyNumberFormat="1" applyFont="1" applyFill="1" applyBorder="1" applyAlignment="1">
      <alignment horizontal="center"/>
    </xf>
    <xf numFmtId="178" fontId="7" fillId="0" borderId="23" xfId="0" applyNumberFormat="1" applyFont="1" applyBorder="1" applyAlignment="1">
      <alignment horizontal="center"/>
    </xf>
    <xf numFmtId="178" fontId="7" fillId="0" borderId="15" xfId="0" applyNumberFormat="1" applyFont="1" applyFill="1" applyBorder="1" applyAlignment="1">
      <alignment horizontal="center"/>
    </xf>
    <xf numFmtId="178" fontId="7" fillId="0" borderId="24" xfId="0" applyNumberFormat="1" applyFont="1" applyBorder="1" applyAlignment="1">
      <alignment horizontal="center"/>
    </xf>
    <xf numFmtId="178" fontId="38" fillId="0" borderId="7" xfId="0" applyNumberFormat="1" applyFont="1" applyFill="1" applyBorder="1" applyAlignment="1">
      <alignment horizontal="center"/>
    </xf>
    <xf numFmtId="178" fontId="48" fillId="0" borderId="7" xfId="0" applyNumberFormat="1" applyFont="1" applyFill="1" applyBorder="1" applyAlignment="1">
      <alignment horizontal="center"/>
    </xf>
    <xf numFmtId="178" fontId="38" fillId="0" borderId="7" xfId="0" applyNumberFormat="1" applyFont="1" applyBorder="1" applyAlignment="1">
      <alignment horizontal="center"/>
    </xf>
    <xf numFmtId="178" fontId="38" fillId="0" borderId="12" xfId="0" applyNumberFormat="1" applyFont="1" applyFill="1" applyBorder="1" applyAlignment="1">
      <alignment horizontal="center"/>
    </xf>
    <xf numFmtId="178" fontId="48" fillId="0" borderId="12" xfId="0" applyNumberFormat="1" applyFont="1" applyFill="1" applyBorder="1" applyAlignment="1">
      <alignment horizontal="center"/>
    </xf>
    <xf numFmtId="178" fontId="38" fillId="0" borderId="12" xfId="0" applyNumberFormat="1" applyFont="1" applyBorder="1" applyAlignment="1">
      <alignment horizontal="center"/>
    </xf>
    <xf numFmtId="178" fontId="38" fillId="0" borderId="0" xfId="0" applyNumberFormat="1" applyFont="1" applyFill="1" applyBorder="1" applyAlignment="1">
      <alignment horizontal="center"/>
    </xf>
    <xf numFmtId="178" fontId="48" fillId="0" borderId="0" xfId="0" applyNumberFormat="1" applyFont="1" applyFill="1" applyBorder="1" applyAlignment="1">
      <alignment horizontal="center"/>
    </xf>
    <xf numFmtId="178" fontId="38" fillId="0" borderId="0" xfId="0" applyNumberFormat="1" applyFont="1" applyBorder="1" applyAlignment="1">
      <alignment horizontal="center"/>
    </xf>
    <xf numFmtId="178" fontId="38" fillId="10" borderId="0" xfId="0" applyNumberFormat="1" applyFont="1" applyFill="1" applyBorder="1" applyAlignment="1">
      <alignment horizontal="center"/>
    </xf>
    <xf numFmtId="178" fontId="55" fillId="0" borderId="7" xfId="0" applyNumberFormat="1" applyFont="1" applyFill="1" applyBorder="1" applyAlignment="1">
      <alignment horizontal="center"/>
    </xf>
    <xf numFmtId="178" fontId="55" fillId="0" borderId="0" xfId="0" applyNumberFormat="1" applyFont="1" applyFill="1" applyBorder="1" applyAlignment="1">
      <alignment horizontal="center"/>
    </xf>
    <xf numFmtId="178" fontId="55" fillId="0" borderId="12" xfId="0" applyNumberFormat="1" applyFont="1" applyFill="1" applyBorder="1" applyAlignment="1">
      <alignment horizontal="center"/>
    </xf>
    <xf numFmtId="178" fontId="55" fillId="10" borderId="0" xfId="0" applyNumberFormat="1" applyFont="1" applyFill="1" applyBorder="1" applyAlignment="1">
      <alignment horizontal="center"/>
    </xf>
    <xf numFmtId="178" fontId="38" fillId="0" borderId="13" xfId="0" applyNumberFormat="1" applyFont="1" applyFill="1" applyBorder="1" applyAlignment="1">
      <alignment horizontal="center"/>
    </xf>
    <xf numFmtId="178" fontId="50" fillId="0" borderId="7" xfId="0" applyNumberFormat="1" applyFont="1" applyFill="1" applyBorder="1" applyAlignment="1">
      <alignment horizontal="center"/>
    </xf>
    <xf numFmtId="178" fontId="38" fillId="0" borderId="14" xfId="0" applyNumberFormat="1" applyFont="1" applyFill="1" applyBorder="1" applyAlignment="1">
      <alignment horizontal="center"/>
    </xf>
    <xf numFmtId="178" fontId="50" fillId="0" borderId="12" xfId="0" applyNumberFormat="1" applyFont="1" applyFill="1" applyBorder="1" applyAlignment="1">
      <alignment horizontal="center"/>
    </xf>
    <xf numFmtId="178" fontId="50" fillId="10" borderId="0" xfId="0" applyNumberFormat="1" applyFont="1" applyFill="1" applyBorder="1" applyAlignment="1">
      <alignment horizontal="center"/>
    </xf>
    <xf numFmtId="178" fontId="38" fillId="0" borderId="15" xfId="0" applyNumberFormat="1" applyFont="1" applyFill="1" applyBorder="1" applyAlignment="1">
      <alignment horizontal="center"/>
    </xf>
    <xf numFmtId="178" fontId="48" fillId="10" borderId="0" xfId="0" applyNumberFormat="1" applyFont="1" applyFill="1" applyBorder="1" applyAlignment="1">
      <alignment horizontal="center"/>
    </xf>
    <xf numFmtId="178" fontId="0" fillId="0" borderId="0" xfId="0" applyNumberFormat="1"/>
    <xf numFmtId="175" fontId="50" fillId="0" borderId="7" xfId="0" applyNumberFormat="1" applyFont="1" applyFill="1" applyBorder="1" applyAlignment="1">
      <alignment horizontal="center"/>
    </xf>
    <xf numFmtId="175" fontId="50" fillId="0" borderId="7" xfId="0" applyNumberFormat="1" applyFont="1" applyBorder="1" applyAlignment="1">
      <alignment horizontal="center"/>
    </xf>
    <xf numFmtId="175" fontId="0" fillId="0" borderId="7" xfId="0" applyNumberFormat="1" applyBorder="1"/>
    <xf numFmtId="175" fontId="56" fillId="0" borderId="7" xfId="0" applyNumberFormat="1" applyFont="1" applyBorder="1" applyAlignment="1">
      <alignment horizontal="center"/>
    </xf>
    <xf numFmtId="175" fontId="0" fillId="0" borderId="7" xfId="0" applyNumberFormat="1" applyBorder="1" applyAlignment="1">
      <alignment horizontal="center"/>
    </xf>
    <xf numFmtId="175" fontId="0" fillId="0" borderId="13" xfId="0" applyNumberFormat="1" applyBorder="1"/>
    <xf numFmtId="175" fontId="50" fillId="0" borderId="12" xfId="0" applyNumberFormat="1" applyFont="1" applyFill="1" applyBorder="1" applyAlignment="1">
      <alignment horizontal="center"/>
    </xf>
    <xf numFmtId="175" fontId="50" fillId="0" borderId="12" xfId="0" applyNumberFormat="1" applyFont="1" applyBorder="1" applyAlignment="1">
      <alignment horizontal="center"/>
    </xf>
    <xf numFmtId="175" fontId="0" fillId="0" borderId="12" xfId="0" applyNumberFormat="1" applyBorder="1"/>
    <xf numFmtId="175" fontId="56" fillId="0" borderId="12" xfId="0" applyNumberFormat="1" applyFont="1" applyBorder="1" applyAlignment="1">
      <alignment horizontal="center"/>
    </xf>
    <xf numFmtId="175" fontId="0" fillId="0" borderId="12" xfId="0" applyNumberFormat="1" applyBorder="1" applyAlignment="1">
      <alignment horizontal="center"/>
    </xf>
    <xf numFmtId="175" fontId="0" fillId="0" borderId="14" xfId="0" applyNumberFormat="1" applyBorder="1"/>
    <xf numFmtId="175" fontId="56" fillId="0" borderId="12" xfId="0" applyNumberFormat="1" applyFont="1" applyBorder="1"/>
    <xf numFmtId="175" fontId="48" fillId="0" borderId="7" xfId="0" applyNumberFormat="1" applyFont="1" applyFill="1" applyBorder="1" applyAlignment="1">
      <alignment horizontal="center"/>
    </xf>
    <xf numFmtId="175" fontId="37" fillId="0" borderId="7" xfId="0" applyNumberFormat="1" applyFont="1" applyBorder="1" applyAlignment="1">
      <alignment horizontal="center"/>
    </xf>
    <xf numFmtId="175" fontId="50" fillId="0" borderId="0" xfId="0" applyNumberFormat="1" applyFont="1" applyFill="1" applyBorder="1" applyAlignment="1">
      <alignment horizontal="center"/>
    </xf>
    <xf numFmtId="175" fontId="48" fillId="0" borderId="0" xfId="0" applyNumberFormat="1" applyFont="1" applyFill="1" applyBorder="1" applyAlignment="1">
      <alignment horizontal="center"/>
    </xf>
    <xf numFmtId="175" fontId="50" fillId="0" borderId="0" xfId="0" applyNumberFormat="1" applyFont="1" applyBorder="1" applyAlignment="1">
      <alignment horizontal="center"/>
    </xf>
    <xf numFmtId="175" fontId="0" fillId="0" borderId="0" xfId="0" applyNumberFormat="1" applyBorder="1"/>
    <xf numFmtId="175" fontId="37" fillId="0" borderId="0" xfId="0" applyNumberFormat="1" applyFont="1" applyBorder="1" applyAlignment="1">
      <alignment horizontal="center"/>
    </xf>
    <xf numFmtId="175" fontId="0" fillId="0" borderId="0" xfId="0" applyNumberFormat="1" applyBorder="1" applyAlignment="1">
      <alignment horizontal="center"/>
    </xf>
    <xf numFmtId="175" fontId="0" fillId="0" borderId="15" xfId="0" applyNumberFormat="1" applyBorder="1"/>
    <xf numFmtId="175" fontId="37" fillId="0" borderId="12" xfId="0" applyNumberFormat="1" applyFont="1" applyBorder="1" applyAlignment="1">
      <alignment horizontal="center"/>
    </xf>
    <xf numFmtId="175" fontId="49" fillId="0" borderId="7" xfId="0" applyNumberFormat="1" applyFont="1" applyBorder="1"/>
    <xf numFmtId="175" fontId="56" fillId="0" borderId="0" xfId="0" applyNumberFormat="1" applyFont="1" applyBorder="1" applyAlignment="1">
      <alignment horizontal="center"/>
    </xf>
    <xf numFmtId="175" fontId="48" fillId="0" borderId="12" xfId="0" applyNumberFormat="1" applyFont="1" applyFill="1" applyBorder="1" applyAlignment="1">
      <alignment horizontal="center"/>
    </xf>
    <xf numFmtId="175" fontId="55" fillId="0" borderId="7" xfId="0" applyNumberFormat="1" applyFont="1" applyFill="1" applyBorder="1" applyAlignment="1">
      <alignment horizontal="center"/>
    </xf>
    <xf numFmtId="175" fontId="55" fillId="0" borderId="12" xfId="0" applyNumberFormat="1" applyFont="1" applyFill="1" applyBorder="1" applyAlignment="1">
      <alignment horizontal="center"/>
    </xf>
    <xf numFmtId="175" fontId="37" fillId="0" borderId="7" xfId="0" applyNumberFormat="1" applyFont="1" applyFill="1" applyBorder="1" applyAlignment="1">
      <alignment horizontal="center"/>
    </xf>
    <xf numFmtId="175" fontId="0" fillId="0" borderId="7" xfId="0" applyNumberFormat="1" applyFill="1" applyBorder="1" applyAlignment="1">
      <alignment horizontal="center"/>
    </xf>
    <xf numFmtId="175" fontId="56" fillId="0" borderId="7" xfId="0" applyNumberFormat="1" applyFont="1" applyFill="1" applyBorder="1" applyAlignment="1">
      <alignment horizontal="center"/>
    </xf>
    <xf numFmtId="175" fontId="0" fillId="0" borderId="13" xfId="0" applyNumberFormat="1" applyFill="1" applyBorder="1"/>
    <xf numFmtId="175" fontId="37" fillId="0" borderId="12" xfId="0" applyNumberFormat="1" applyFont="1" applyFill="1" applyBorder="1" applyAlignment="1">
      <alignment horizontal="center"/>
    </xf>
    <xf numFmtId="175" fontId="56" fillId="0" borderId="12" xfId="0" applyNumberFormat="1" applyFont="1" applyFill="1" applyBorder="1" applyAlignment="1">
      <alignment horizontal="center"/>
    </xf>
    <xf numFmtId="175" fontId="0" fillId="0" borderId="12" xfId="0" applyNumberFormat="1" applyFill="1" applyBorder="1" applyAlignment="1">
      <alignment horizontal="center"/>
    </xf>
    <xf numFmtId="175" fontId="49" fillId="0" borderId="12" xfId="0" applyNumberFormat="1" applyFont="1" applyFill="1" applyBorder="1"/>
    <xf numFmtId="175" fontId="0" fillId="0" borderId="14" xfId="0" applyNumberFormat="1" applyFill="1" applyBorder="1"/>
    <xf numFmtId="175" fontId="49" fillId="0" borderId="12" xfId="0" applyNumberFormat="1" applyFont="1" applyBorder="1"/>
    <xf numFmtId="175" fontId="49" fillId="0" borderId="0" xfId="0" applyNumberFormat="1" applyFont="1" applyBorder="1"/>
    <xf numFmtId="175" fontId="49" fillId="0" borderId="7" xfId="0" applyNumberFormat="1" applyFont="1" applyFill="1" applyBorder="1"/>
    <xf numFmtId="0" fontId="0" fillId="0" borderId="0" xfId="0" applyBorder="1" applyAlignment="1">
      <alignment horizontal="center"/>
    </xf>
    <xf numFmtId="175" fontId="0" fillId="0" borderId="0" xfId="0" applyNumberFormat="1"/>
    <xf numFmtId="0" fontId="38" fillId="0" borderId="23" xfId="0" applyFont="1" applyFill="1" applyBorder="1" applyAlignment="1">
      <alignment horizontal="center"/>
    </xf>
    <xf numFmtId="0" fontId="38" fillId="0" borderId="25" xfId="0" applyFont="1" applyFill="1" applyBorder="1" applyAlignment="1">
      <alignment horizontal="center"/>
    </xf>
    <xf numFmtId="175" fontId="38" fillId="0" borderId="25" xfId="0" applyNumberFormat="1" applyFont="1" applyFill="1" applyBorder="1" applyAlignment="1">
      <alignment horizontal="center"/>
    </xf>
    <xf numFmtId="0" fontId="38" fillId="0" borderId="24" xfId="0" applyFont="1" applyFill="1" applyBorder="1" applyAlignment="1">
      <alignment horizontal="center"/>
    </xf>
    <xf numFmtId="168" fontId="47" fillId="0" borderId="0" xfId="0" applyNumberFormat="1" applyFont="1" applyFill="1" applyBorder="1" applyAlignment="1">
      <alignment horizontal="center"/>
    </xf>
    <xf numFmtId="3" fontId="38" fillId="0" borderId="7" xfId="0" applyNumberFormat="1" applyFont="1" applyFill="1" applyBorder="1" applyAlignment="1">
      <alignment horizontal="center"/>
    </xf>
    <xf numFmtId="168" fontId="47" fillId="0" borderId="7" xfId="0" applyNumberFormat="1" applyFont="1" applyFill="1" applyBorder="1" applyAlignment="1">
      <alignment horizontal="center"/>
    </xf>
    <xf numFmtId="10" fontId="38" fillId="0" borderId="7" xfId="891" applyNumberFormat="1" applyFont="1" applyFill="1" applyBorder="1" applyAlignment="1">
      <alignment horizontal="center"/>
    </xf>
    <xf numFmtId="3" fontId="38" fillId="0" borderId="12" xfId="0" applyNumberFormat="1" applyFont="1" applyFill="1" applyBorder="1" applyAlignment="1">
      <alignment horizontal="center"/>
    </xf>
    <xf numFmtId="168" fontId="47" fillId="0" borderId="12" xfId="0" applyNumberFormat="1" applyFont="1" applyFill="1" applyBorder="1" applyAlignment="1">
      <alignment horizontal="center"/>
    </xf>
    <xf numFmtId="10" fontId="38" fillId="0" borderId="12" xfId="891" applyNumberFormat="1" applyFont="1" applyFill="1" applyBorder="1" applyAlignment="1">
      <alignment horizontal="center"/>
    </xf>
    <xf numFmtId="168" fontId="47" fillId="0" borderId="7" xfId="888" applyNumberFormat="1" applyFont="1" applyFill="1" applyBorder="1" applyAlignment="1">
      <alignment horizontal="center"/>
    </xf>
    <xf numFmtId="168" fontId="47" fillId="0" borderId="12" xfId="888" applyNumberFormat="1" applyFont="1" applyFill="1" applyBorder="1" applyAlignment="1">
      <alignment horizontal="center"/>
    </xf>
    <xf numFmtId="167" fontId="50" fillId="0" borderId="12" xfId="0" applyNumberFormat="1" applyFont="1" applyFill="1" applyBorder="1" applyAlignment="1">
      <alignment horizontal="center"/>
    </xf>
    <xf numFmtId="168" fontId="47" fillId="0" borderId="3" xfId="0" applyNumberFormat="1" applyFont="1" applyFill="1" applyBorder="1" applyAlignment="1">
      <alignment horizontal="center"/>
    </xf>
    <xf numFmtId="0" fontId="38" fillId="0" borderId="30" xfId="0" applyFont="1" applyFill="1" applyBorder="1" applyAlignment="1">
      <alignment horizontal="center"/>
    </xf>
    <xf numFmtId="0" fontId="38" fillId="0" borderId="33" xfId="0" applyFont="1" applyFill="1" applyBorder="1" applyAlignment="1">
      <alignment horizontal="center"/>
    </xf>
    <xf numFmtId="0" fontId="38" fillId="0" borderId="10" xfId="0" applyFont="1" applyFill="1" applyBorder="1" applyAlignment="1">
      <alignment horizontal="center"/>
    </xf>
    <xf numFmtId="16" fontId="40" fillId="0" borderId="34" xfId="0" applyNumberFormat="1" applyFont="1" applyFill="1" applyBorder="1" applyAlignment="1">
      <alignment horizontal="center"/>
    </xf>
    <xf numFmtId="16" fontId="40" fillId="0" borderId="33" xfId="0" applyNumberFormat="1" applyFont="1" applyFill="1" applyBorder="1" applyAlignment="1">
      <alignment horizontal="center"/>
    </xf>
    <xf numFmtId="0" fontId="40" fillId="0" borderId="34" xfId="0" applyFont="1" applyFill="1" applyBorder="1" applyAlignment="1">
      <alignment horizontal="center"/>
    </xf>
    <xf numFmtId="0" fontId="40" fillId="0" borderId="31" xfId="0" applyFont="1" applyFill="1" applyBorder="1" applyAlignment="1">
      <alignment horizontal="center"/>
    </xf>
    <xf numFmtId="168" fontId="38" fillId="0" borderId="7" xfId="0" applyNumberFormat="1" applyFont="1" applyFill="1" applyBorder="1" applyAlignment="1">
      <alignment horizontal="center"/>
    </xf>
    <xf numFmtId="168" fontId="38" fillId="0" borderId="12" xfId="0" applyNumberFormat="1" applyFont="1" applyFill="1" applyBorder="1" applyAlignment="1">
      <alignment horizontal="center"/>
    </xf>
    <xf numFmtId="4" fontId="38" fillId="0" borderId="30" xfId="0" applyNumberFormat="1" applyFont="1" applyFill="1" applyBorder="1" applyAlignment="1">
      <alignment horizontal="center"/>
    </xf>
    <xf numFmtId="4" fontId="40" fillId="0" borderId="33" xfId="0" applyNumberFormat="1" applyFont="1" applyFill="1" applyBorder="1" applyAlignment="1">
      <alignment horizontal="center"/>
    </xf>
    <xf numFmtId="168" fontId="38" fillId="0" borderId="4" xfId="0" applyNumberFormat="1" applyFont="1" applyFill="1" applyBorder="1" applyAlignment="1">
      <alignment horizontal="center"/>
    </xf>
    <xf numFmtId="0" fontId="40" fillId="0" borderId="33" xfId="0" applyFont="1" applyFill="1" applyBorder="1" applyAlignment="1">
      <alignment horizontal="center"/>
    </xf>
    <xf numFmtId="168" fontId="47" fillId="0" borderId="4" xfId="0" applyNumberFormat="1" applyFont="1" applyFill="1" applyBorder="1" applyAlignment="1">
      <alignment horizontal="center"/>
    </xf>
    <xf numFmtId="0" fontId="38" fillId="0" borderId="0" xfId="0" applyFont="1" applyFill="1" applyBorder="1" applyAlignment="1">
      <alignment horizontal="left"/>
    </xf>
    <xf numFmtId="0" fontId="38" fillId="0" borderId="3" xfId="0" applyFont="1" applyFill="1" applyBorder="1" applyAlignment="1">
      <alignment horizontal="left"/>
    </xf>
    <xf numFmtId="0" fontId="49" fillId="0" borderId="3" xfId="0" applyFont="1" applyBorder="1" applyAlignment="1">
      <alignment horizontal="center"/>
    </xf>
    <xf numFmtId="0" fontId="10" fillId="22" borderId="2" xfId="872" applyFont="1" applyFill="1" applyBorder="1" applyAlignment="1">
      <alignment horizontal="center" vertical="center" wrapText="1"/>
    </xf>
    <xf numFmtId="0" fontId="6" fillId="22" borderId="2" xfId="872" applyFont="1" applyFill="1" applyBorder="1" applyAlignment="1">
      <alignment horizontal="center" vertical="center" wrapText="1"/>
    </xf>
    <xf numFmtId="165" fontId="10" fillId="22" borderId="2" xfId="872" applyNumberFormat="1" applyFont="1" applyFill="1" applyBorder="1" applyAlignment="1">
      <alignment horizontal="center" vertical="center" wrapText="1"/>
    </xf>
    <xf numFmtId="0" fontId="40" fillId="23" borderId="1" xfId="0" applyFont="1" applyFill="1" applyBorder="1"/>
    <xf numFmtId="0" fontId="40" fillId="23" borderId="1" xfId="0" applyFont="1" applyFill="1" applyBorder="1" applyAlignment="1">
      <alignment horizontal="center"/>
    </xf>
    <xf numFmtId="0" fontId="40" fillId="23" borderId="1" xfId="0" applyFont="1" applyFill="1" applyBorder="1" applyAlignment="1">
      <alignment horizontal="center" vertical="center"/>
    </xf>
    <xf numFmtId="14" fontId="40" fillId="23" borderId="1" xfId="0" applyNumberFormat="1" applyFont="1" applyFill="1" applyBorder="1"/>
    <xf numFmtId="175" fontId="0" fillId="0" borderId="7" xfId="0" applyNumberFormat="1" applyBorder="1" applyAlignment="1">
      <alignment horizontal="center"/>
    </xf>
    <xf numFmtId="175" fontId="0" fillId="0" borderId="12" xfId="0" applyNumberFormat="1" applyBorder="1" applyAlignment="1">
      <alignment horizontal="center"/>
    </xf>
    <xf numFmtId="0" fontId="38" fillId="0" borderId="43" xfId="0" applyFont="1" applyFill="1" applyBorder="1" applyAlignment="1">
      <alignment horizontal="center" vertical="center" wrapText="1"/>
    </xf>
    <xf numFmtId="167" fontId="38" fillId="0" borderId="28" xfId="0" applyNumberFormat="1" applyFont="1" applyFill="1" applyBorder="1" applyAlignment="1">
      <alignment horizontal="center" vertical="center"/>
    </xf>
    <xf numFmtId="167" fontId="44" fillId="0" borderId="28" xfId="0" applyNumberFormat="1" applyFont="1" applyFill="1" applyBorder="1" applyAlignment="1">
      <alignment horizontal="center"/>
    </xf>
    <xf numFmtId="0" fontId="42" fillId="0" borderId="28" xfId="889" applyFont="1" applyFill="1" applyBorder="1" applyAlignment="1">
      <alignment horizontal="center" wrapText="1"/>
    </xf>
    <xf numFmtId="165" fontId="49" fillId="0" borderId="12" xfId="0" applyNumberFormat="1" applyFont="1" applyBorder="1" applyAlignment="1">
      <alignment horizontal="center"/>
    </xf>
    <xf numFmtId="0" fontId="26" fillId="3" borderId="44" xfId="0" applyFont="1" applyFill="1" applyBorder="1"/>
    <xf numFmtId="0" fontId="26" fillId="3" borderId="45" xfId="0" applyFont="1" applyFill="1" applyBorder="1"/>
    <xf numFmtId="0" fontId="26" fillId="0" borderId="45" xfId="0" applyFont="1" applyFill="1" applyBorder="1"/>
    <xf numFmtId="0" fontId="26" fillId="3" borderId="46" xfId="0" applyFont="1" applyFill="1" applyBorder="1"/>
    <xf numFmtId="0" fontId="26" fillId="10" borderId="45" xfId="0" applyFont="1" applyFill="1" applyBorder="1"/>
    <xf numFmtId="0" fontId="26" fillId="3" borderId="47" xfId="0" applyFont="1" applyFill="1" applyBorder="1"/>
    <xf numFmtId="0" fontId="26" fillId="3" borderId="25" xfId="0" applyFont="1" applyFill="1" applyBorder="1"/>
    <xf numFmtId="0" fontId="26" fillId="0" borderId="41" xfId="0" applyFont="1" applyFill="1" applyBorder="1"/>
    <xf numFmtId="175" fontId="0" fillId="0" borderId="7" xfId="0" applyNumberFormat="1" applyBorder="1" applyAlignment="1">
      <alignment horizontal="center"/>
    </xf>
    <xf numFmtId="175" fontId="0" fillId="0" borderId="12" xfId="0" applyNumberFormat="1" applyBorder="1" applyAlignment="1">
      <alignment horizontal="center"/>
    </xf>
    <xf numFmtId="175" fontId="0" fillId="0" borderId="12" xfId="0" applyNumberFormat="1" applyFill="1" applyBorder="1" applyAlignment="1">
      <alignment horizontal="center"/>
    </xf>
    <xf numFmtId="175" fontId="0" fillId="0" borderId="0" xfId="0" applyNumberFormat="1" applyBorder="1" applyAlignment="1">
      <alignment horizontal="center"/>
    </xf>
    <xf numFmtId="168" fontId="48" fillId="0" borderId="1" xfId="0" applyNumberFormat="1" applyFont="1" applyFill="1" applyBorder="1" applyAlignment="1">
      <alignment horizontal="center"/>
    </xf>
    <xf numFmtId="4" fontId="48" fillId="3" borderId="1" xfId="0" applyNumberFormat="1" applyFont="1" applyFill="1" applyBorder="1" applyAlignment="1">
      <alignment horizontal="center" vertical="center"/>
    </xf>
    <xf numFmtId="175" fontId="56" fillId="0" borderId="7" xfId="0" applyNumberFormat="1" applyFont="1" applyBorder="1"/>
    <xf numFmtId="0" fontId="37" fillId="0" borderId="0" xfId="0" applyFont="1"/>
    <xf numFmtId="0" fontId="38" fillId="0" borderId="0" xfId="0" applyFont="1" applyFill="1" applyBorder="1" applyAlignment="1">
      <alignment horizontal="center" vertical="center"/>
    </xf>
    <xf numFmtId="0" fontId="38" fillId="0" borderId="12" xfId="0" applyFont="1" applyFill="1" applyBorder="1" applyAlignment="1">
      <alignment horizontal="center" vertical="center"/>
    </xf>
    <xf numFmtId="175" fontId="0" fillId="0" borderId="7" xfId="0" applyNumberFormat="1" applyBorder="1" applyAlignment="1">
      <alignment horizontal="center"/>
    </xf>
    <xf numFmtId="175" fontId="0" fillId="0" borderId="12" xfId="0" applyNumberFormat="1" applyBorder="1" applyAlignment="1">
      <alignment horizontal="center"/>
    </xf>
    <xf numFmtId="175" fontId="0" fillId="0" borderId="0" xfId="0" applyNumberFormat="1" applyBorder="1" applyAlignment="1">
      <alignment horizontal="center"/>
    </xf>
    <xf numFmtId="175" fontId="0" fillId="0" borderId="14" xfId="0" applyNumberFormat="1" applyBorder="1" applyAlignment="1">
      <alignment horizontal="center"/>
    </xf>
    <xf numFmtId="175" fontId="0" fillId="0" borderId="13" xfId="0" applyNumberFormat="1" applyBorder="1" applyAlignment="1">
      <alignment horizontal="center"/>
    </xf>
    <xf numFmtId="175" fontId="0" fillId="0" borderId="7" xfId="0" applyNumberFormat="1" applyFill="1" applyBorder="1" applyAlignment="1"/>
    <xf numFmtId="175" fontId="0" fillId="0" borderId="12" xfId="0" applyNumberFormat="1" applyFill="1" applyBorder="1" applyAlignment="1"/>
    <xf numFmtId="0" fontId="58" fillId="0" borderId="0" xfId="0" applyFont="1" applyFill="1"/>
    <xf numFmtId="175" fontId="49" fillId="0" borderId="7" xfId="0" applyNumberFormat="1" applyFont="1" applyBorder="1" applyAlignment="1">
      <alignment horizontal="center"/>
    </xf>
    <xf numFmtId="175" fontId="37" fillId="0" borderId="7" xfId="0" applyNumberFormat="1" applyFont="1" applyBorder="1"/>
    <xf numFmtId="175" fontId="49" fillId="0" borderId="0" xfId="0" applyNumberFormat="1" applyFont="1" applyBorder="1" applyAlignment="1">
      <alignment horizontal="center"/>
    </xf>
    <xf numFmtId="175" fontId="37" fillId="0" borderId="0" xfId="0" applyNumberFormat="1" applyFont="1" applyBorder="1"/>
    <xf numFmtId="175" fontId="0" fillId="0" borderId="7" xfId="0" applyNumberFormat="1" applyBorder="1" applyAlignment="1">
      <alignment horizontal="right"/>
    </xf>
    <xf numFmtId="175" fontId="63" fillId="0" borderId="0" xfId="0" applyNumberFormat="1" applyFont="1" applyFill="1" applyBorder="1" applyAlignment="1">
      <alignment horizontal="center" vertical="center"/>
    </xf>
    <xf numFmtId="175" fontId="49" fillId="0" borderId="12" xfId="0" applyNumberFormat="1" applyFont="1" applyBorder="1" applyAlignment="1">
      <alignment horizontal="center" vertical="center"/>
    </xf>
    <xf numFmtId="175" fontId="62" fillId="0" borderId="0" xfId="0" applyNumberFormat="1" applyFont="1" applyFill="1" applyBorder="1" applyAlignment="1">
      <alignment horizontal="center"/>
    </xf>
    <xf numFmtId="175" fontId="64" fillId="0" borderId="7" xfId="0" applyNumberFormat="1" applyFont="1" applyFill="1" applyBorder="1" applyAlignment="1">
      <alignment horizontal="center" vertical="center"/>
    </xf>
    <xf numFmtId="175" fontId="0" fillId="0" borderId="11" xfId="0" applyNumberFormat="1" applyBorder="1" applyAlignment="1">
      <alignment horizontal="right"/>
    </xf>
    <xf numFmtId="175" fontId="0" fillId="0" borderId="0" xfId="0" applyNumberFormat="1" applyBorder="1" applyAlignment="1">
      <alignment horizontal="right"/>
    </xf>
    <xf numFmtId="175" fontId="55" fillId="0" borderId="0" xfId="0" applyNumberFormat="1" applyFont="1" applyFill="1" applyBorder="1" applyAlignment="1">
      <alignment horizontal="center"/>
    </xf>
    <xf numFmtId="175" fontId="38" fillId="0" borderId="7" xfId="0" applyNumberFormat="1" applyFont="1" applyFill="1" applyBorder="1" applyAlignment="1">
      <alignment horizontal="center"/>
    </xf>
    <xf numFmtId="175" fontId="38" fillId="0" borderId="0" xfId="0" applyNumberFormat="1" applyFont="1" applyFill="1" applyBorder="1" applyAlignment="1">
      <alignment horizontal="center"/>
    </xf>
    <xf numFmtId="175" fontId="0" fillId="0" borderId="11" xfId="0" applyNumberFormat="1" applyBorder="1"/>
    <xf numFmtId="175" fontId="49" fillId="0" borderId="12" xfId="0" applyNumberFormat="1" applyFont="1" applyBorder="1" applyAlignment="1">
      <alignment horizontal="center"/>
    </xf>
    <xf numFmtId="175" fontId="0" fillId="0" borderId="39" xfId="0" applyNumberFormat="1" applyBorder="1"/>
    <xf numFmtId="175" fontId="0" fillId="0" borderId="3" xfId="0" applyNumberFormat="1" applyBorder="1"/>
    <xf numFmtId="175" fontId="0" fillId="0" borderId="6" xfId="0" applyNumberFormat="1" applyBorder="1"/>
    <xf numFmtId="175" fontId="0" fillId="0" borderId="26" xfId="0" applyNumberFormat="1" applyBorder="1"/>
    <xf numFmtId="175" fontId="0" fillId="0" borderId="0" xfId="0" applyNumberFormat="1" applyFont="1" applyBorder="1"/>
    <xf numFmtId="175" fontId="56" fillId="0" borderId="0" xfId="0" applyNumberFormat="1" applyFont="1" applyBorder="1"/>
    <xf numFmtId="175" fontId="0" fillId="0" borderId="27" xfId="0" applyNumberFormat="1" applyBorder="1"/>
    <xf numFmtId="175" fontId="37" fillId="0" borderId="12" xfId="0" applyNumberFormat="1" applyFont="1" applyBorder="1"/>
    <xf numFmtId="0" fontId="54" fillId="20" borderId="63" xfId="0" applyFont="1" applyFill="1" applyBorder="1" applyAlignment="1">
      <alignment horizontal="center" vertical="center" wrapText="1"/>
    </xf>
    <xf numFmtId="0" fontId="54" fillId="20" borderId="16" xfId="0" applyFont="1" applyFill="1" applyBorder="1" applyAlignment="1">
      <alignment horizontal="center" vertical="center" wrapText="1"/>
    </xf>
    <xf numFmtId="0" fontId="54" fillId="20" borderId="64" xfId="0" applyFont="1" applyFill="1" applyBorder="1" applyAlignment="1">
      <alignment horizontal="center" vertical="center" wrapText="1"/>
    </xf>
    <xf numFmtId="0" fontId="54" fillId="20" borderId="64" xfId="872" applyFont="1" applyFill="1" applyBorder="1" applyAlignment="1">
      <alignment horizontal="center" vertical="center" wrapText="1"/>
    </xf>
    <xf numFmtId="0" fontId="54" fillId="20" borderId="16" xfId="872" applyFont="1" applyFill="1" applyBorder="1" applyAlignment="1">
      <alignment horizontal="center" vertical="center" wrapText="1"/>
    </xf>
    <xf numFmtId="0" fontId="54" fillId="20" borderId="16" xfId="872" applyFont="1" applyFill="1" applyBorder="1" applyAlignment="1">
      <alignment vertical="center" wrapText="1"/>
    </xf>
    <xf numFmtId="0" fontId="54" fillId="20" borderId="15" xfId="872" applyFont="1" applyFill="1" applyBorder="1" applyAlignment="1">
      <alignment vertical="center" wrapText="1"/>
    </xf>
    <xf numFmtId="165" fontId="0" fillId="10" borderId="0" xfId="0" applyNumberFormat="1" applyFont="1" applyFill="1" applyBorder="1" applyAlignment="1">
      <alignment horizontal="center" vertical="center"/>
    </xf>
    <xf numFmtId="165" fontId="1" fillId="10" borderId="0" xfId="0" applyNumberFormat="1" applyFont="1" applyFill="1" applyBorder="1" applyAlignment="1">
      <alignment horizontal="center" vertical="center"/>
    </xf>
    <xf numFmtId="165" fontId="0" fillId="10" borderId="0" xfId="0" applyNumberFormat="1" applyFill="1"/>
    <xf numFmtId="165" fontId="0" fillId="0" borderId="0" xfId="0" applyNumberFormat="1" applyFill="1"/>
    <xf numFmtId="165" fontId="0" fillId="10" borderId="0" xfId="0" applyNumberFormat="1" applyFont="1" applyFill="1" applyAlignment="1">
      <alignment vertical="center"/>
    </xf>
    <xf numFmtId="165" fontId="0" fillId="10" borderId="0" xfId="0" applyNumberFormat="1" applyFill="1" applyBorder="1"/>
    <xf numFmtId="165" fontId="0" fillId="10" borderId="0" xfId="0" applyNumberFormat="1" applyFill="1" applyBorder="1" applyAlignment="1">
      <alignment horizontal="center"/>
    </xf>
    <xf numFmtId="165" fontId="0" fillId="10" borderId="0" xfId="0" applyNumberFormat="1" applyFill="1" applyBorder="1" applyAlignment="1">
      <alignment horizontal="center" vertical="center"/>
    </xf>
    <xf numFmtId="165" fontId="49" fillId="0" borderId="7" xfId="0" applyNumberFormat="1" applyFont="1" applyBorder="1" applyAlignment="1">
      <alignment horizontal="center"/>
    </xf>
    <xf numFmtId="165" fontId="49" fillId="0" borderId="0" xfId="0" applyNumberFormat="1" applyFont="1" applyBorder="1" applyAlignment="1">
      <alignment horizontal="center"/>
    </xf>
    <xf numFmtId="165" fontId="49" fillId="10" borderId="0" xfId="0" applyNumberFormat="1" applyFont="1" applyFill="1" applyBorder="1" applyAlignment="1">
      <alignment horizontal="center"/>
    </xf>
    <xf numFmtId="165" fontId="0" fillId="10" borderId="0" xfId="0" applyNumberFormat="1" applyFill="1" applyBorder="1" applyAlignment="1"/>
    <xf numFmtId="175" fontId="0" fillId="0" borderId="7" xfId="0" applyNumberFormat="1" applyBorder="1" applyAlignment="1">
      <alignment horizontal="center"/>
    </xf>
    <xf numFmtId="175" fontId="0" fillId="0" borderId="12" xfId="0" applyNumberFormat="1" applyBorder="1" applyAlignment="1">
      <alignment horizontal="center"/>
    </xf>
    <xf numFmtId="175" fontId="56" fillId="0" borderId="7" xfId="0" applyNumberFormat="1" applyFont="1" applyBorder="1" applyAlignment="1">
      <alignment horizontal="center"/>
    </xf>
    <xf numFmtId="175" fontId="0" fillId="0" borderId="7" xfId="0" applyNumberFormat="1" applyBorder="1" applyAlignment="1">
      <alignment horizontal="center"/>
    </xf>
    <xf numFmtId="10" fontId="0" fillId="0" borderId="23" xfId="0" applyNumberFormat="1" applyFill="1" applyBorder="1" applyAlignment="1">
      <alignment horizontal="center"/>
    </xf>
    <xf numFmtId="10" fontId="0" fillId="0" borderId="25" xfId="0" applyNumberFormat="1" applyFill="1" applyBorder="1" applyAlignment="1">
      <alignment horizontal="center"/>
    </xf>
    <xf numFmtId="179" fontId="50" fillId="0" borderId="23" xfId="0" applyNumberFormat="1" applyFont="1" applyFill="1" applyBorder="1" applyAlignment="1">
      <alignment horizontal="center"/>
    </xf>
    <xf numFmtId="179" fontId="50" fillId="0" borderId="25" xfId="0" applyNumberFormat="1" applyFont="1" applyFill="1" applyBorder="1" applyAlignment="1">
      <alignment horizontal="center"/>
    </xf>
    <xf numFmtId="168" fontId="55" fillId="0" borderId="1" xfId="0" applyNumberFormat="1" applyFont="1" applyFill="1" applyBorder="1" applyAlignment="1">
      <alignment horizontal="center"/>
    </xf>
    <xf numFmtId="4" fontId="55" fillId="3" borderId="1" xfId="0" applyNumberFormat="1" applyFont="1" applyFill="1" applyBorder="1" applyAlignment="1">
      <alignment horizontal="center" vertical="center"/>
    </xf>
    <xf numFmtId="168" fontId="0" fillId="0" borderId="16" xfId="0" applyNumberFormat="1" applyFill="1" applyBorder="1"/>
    <xf numFmtId="168" fontId="0" fillId="0" borderId="64" xfId="0" applyNumberFormat="1" applyBorder="1"/>
    <xf numFmtId="168" fontId="0" fillId="0" borderId="16" xfId="0" applyNumberFormat="1" applyBorder="1"/>
    <xf numFmtId="175" fontId="56" fillId="0" borderId="7" xfId="0" applyNumberFormat="1" applyFont="1" applyBorder="1" applyAlignment="1">
      <alignment horizontal="center"/>
    </xf>
    <xf numFmtId="0" fontId="4" fillId="0" borderId="37" xfId="0" applyFont="1" applyBorder="1" applyAlignment="1">
      <alignment horizontal="left"/>
    </xf>
    <xf numFmtId="0" fontId="4" fillId="0" borderId="68" xfId="0" applyFont="1" applyBorder="1" applyAlignment="1">
      <alignment horizontal="left"/>
    </xf>
    <xf numFmtId="0" fontId="4" fillId="0" borderId="51" xfId="0" applyFont="1" applyBorder="1" applyAlignment="1">
      <alignment horizontal="center"/>
    </xf>
    <xf numFmtId="0" fontId="4" fillId="0" borderId="55" xfId="0" applyFont="1" applyBorder="1" applyAlignment="1">
      <alignment horizontal="center"/>
    </xf>
    <xf numFmtId="0" fontId="4" fillId="0" borderId="45" xfId="0" applyFont="1" applyBorder="1" applyAlignment="1">
      <alignment horizontal="center"/>
    </xf>
    <xf numFmtId="0" fontId="4" fillId="0" borderId="47" xfId="0" applyFont="1" applyBorder="1" applyAlignment="1">
      <alignment horizontal="center"/>
    </xf>
    <xf numFmtId="0" fontId="4" fillId="0" borderId="70" xfId="0" applyFont="1" applyBorder="1" applyAlignment="1">
      <alignment horizontal="center"/>
    </xf>
    <xf numFmtId="0" fontId="17" fillId="0" borderId="57" xfId="0" applyFont="1" applyFill="1" applyBorder="1" applyAlignment="1">
      <alignment horizontal="center"/>
    </xf>
    <xf numFmtId="0" fontId="0" fillId="0" borderId="57" xfId="0" applyFill="1" applyBorder="1"/>
    <xf numFmtId="0" fontId="0" fillId="0" borderId="58" xfId="0" applyBorder="1"/>
    <xf numFmtId="0" fontId="4" fillId="0" borderId="55" xfId="0" applyFont="1" applyBorder="1" applyAlignment="1">
      <alignment horizontal="left"/>
    </xf>
    <xf numFmtId="4" fontId="55" fillId="0" borderId="1" xfId="0" applyNumberFormat="1" applyFont="1" applyFill="1" applyBorder="1" applyAlignment="1">
      <alignment horizontal="center" vertical="center"/>
    </xf>
    <xf numFmtId="168" fontId="55" fillId="3" borderId="1" xfId="0" applyNumberFormat="1" applyFont="1" applyFill="1" applyBorder="1" applyAlignment="1">
      <alignment horizontal="center" vertical="center"/>
    </xf>
    <xf numFmtId="0" fontId="4" fillId="0" borderId="9" xfId="0" applyFont="1" applyBorder="1" applyAlignment="1">
      <alignment horizontal="left"/>
    </xf>
    <xf numFmtId="0" fontId="4" fillId="0" borderId="8" xfId="0" applyFont="1" applyBorder="1" applyAlignment="1">
      <alignment horizontal="center"/>
    </xf>
    <xf numFmtId="0" fontId="4" fillId="0" borderId="54" xfId="0" applyFont="1" applyBorder="1" applyAlignment="1">
      <alignment horizontal="center"/>
    </xf>
    <xf numFmtId="0" fontId="4" fillId="0" borderId="36" xfId="0" applyFont="1" applyBorder="1" applyAlignment="1">
      <alignment horizontal="left"/>
    </xf>
    <xf numFmtId="0" fontId="4" fillId="0" borderId="44" xfId="0" applyFont="1" applyBorder="1" applyAlignment="1">
      <alignment horizontal="center"/>
    </xf>
    <xf numFmtId="0" fontId="4" fillId="0" borderId="36" xfId="0" applyFont="1" applyBorder="1" applyAlignment="1">
      <alignment horizontal="center"/>
    </xf>
    <xf numFmtId="0" fontId="0" fillId="0" borderId="3" xfId="0" applyBorder="1"/>
    <xf numFmtId="0" fontId="17" fillId="0" borderId="0" xfId="0" applyFont="1" applyFill="1" applyBorder="1" applyAlignment="1">
      <alignment horizontal="center"/>
    </xf>
    <xf numFmtId="10" fontId="49" fillId="0" borderId="0" xfId="892" applyNumberFormat="1" applyFont="1" applyFill="1" applyBorder="1" applyAlignment="1">
      <alignment horizontal="center" vertical="center"/>
    </xf>
    <xf numFmtId="10" fontId="0" fillId="0" borderId="0" xfId="0" applyNumberFormat="1" applyFill="1"/>
    <xf numFmtId="10" fontId="0" fillId="0" borderId="0" xfId="0" applyNumberFormat="1" applyFont="1" applyFill="1" applyAlignment="1">
      <alignment vertical="center"/>
    </xf>
    <xf numFmtId="10" fontId="49" fillId="0" borderId="24" xfId="892" applyNumberFormat="1" applyFont="1" applyFill="1" applyBorder="1" applyAlignment="1">
      <alignment horizontal="center" vertical="center"/>
    </xf>
    <xf numFmtId="10" fontId="0" fillId="0" borderId="24" xfId="0" applyNumberFormat="1" applyFill="1" applyBorder="1"/>
    <xf numFmtId="10" fontId="0" fillId="0" borderId="0" xfId="0" applyNumberFormat="1" applyFill="1" applyBorder="1"/>
    <xf numFmtId="10" fontId="0" fillId="0" borderId="0" xfId="0" applyNumberFormat="1" applyFill="1" applyBorder="1" applyAlignment="1"/>
    <xf numFmtId="175" fontId="0" fillId="0" borderId="7" xfId="0" applyNumberFormat="1" applyBorder="1" applyAlignment="1">
      <alignment horizontal="center"/>
    </xf>
    <xf numFmtId="175" fontId="0" fillId="0" borderId="12" xfId="0" applyNumberFormat="1" applyBorder="1" applyAlignment="1">
      <alignment horizontal="center"/>
    </xf>
    <xf numFmtId="175" fontId="0" fillId="0" borderId="7" xfId="0" applyNumberFormat="1" applyBorder="1" applyAlignment="1">
      <alignment horizontal="center"/>
    </xf>
    <xf numFmtId="175" fontId="0" fillId="0" borderId="12" xfId="0" applyNumberFormat="1" applyBorder="1" applyAlignment="1">
      <alignment horizontal="center"/>
    </xf>
    <xf numFmtId="10" fontId="0" fillId="0" borderId="23" xfId="0" applyNumberFormat="1" applyFill="1" applyBorder="1" applyAlignment="1">
      <alignment horizontal="center"/>
    </xf>
    <xf numFmtId="10" fontId="0" fillId="0" borderId="25" xfId="0" applyNumberFormat="1" applyFill="1" applyBorder="1" applyAlignment="1">
      <alignment horizontal="center"/>
    </xf>
    <xf numFmtId="175" fontId="0" fillId="0" borderId="7" xfId="0" applyNumberFormat="1" applyBorder="1" applyAlignment="1">
      <alignment horizontal="center"/>
    </xf>
    <xf numFmtId="175" fontId="56" fillId="0" borderId="7" xfId="0" applyNumberFormat="1" applyFont="1" applyBorder="1" applyAlignment="1">
      <alignment horizontal="center"/>
    </xf>
    <xf numFmtId="175" fontId="0" fillId="0" borderId="12" xfId="0" applyNumberFormat="1" applyFill="1" applyBorder="1" applyAlignment="1">
      <alignment horizontal="center"/>
    </xf>
    <xf numFmtId="175" fontId="0" fillId="0" borderId="7" xfId="0" applyNumberFormat="1" applyFill="1" applyBorder="1" applyAlignment="1">
      <alignment horizontal="center"/>
    </xf>
    <xf numFmtId="0" fontId="39" fillId="11" borderId="43" xfId="0" applyFont="1" applyFill="1" applyBorder="1" applyAlignment="1">
      <alignment horizontal="center" vertical="center" wrapText="1"/>
    </xf>
    <xf numFmtId="10" fontId="0" fillId="0" borderId="39" xfId="891" applyNumberFormat="1" applyFont="1" applyBorder="1" applyAlignment="1">
      <alignment horizontal="center"/>
    </xf>
    <xf numFmtId="10" fontId="0" fillId="0" borderId="6" xfId="891" applyNumberFormat="1" applyFont="1" applyBorder="1" applyAlignment="1">
      <alignment horizontal="center"/>
    </xf>
    <xf numFmtId="168" fontId="38" fillId="0" borderId="41" xfId="0" applyNumberFormat="1" applyFont="1" applyBorder="1" applyAlignment="1">
      <alignment horizontal="center"/>
    </xf>
    <xf numFmtId="168" fontId="38" fillId="0" borderId="23" xfId="0" applyNumberFormat="1" applyFont="1" applyBorder="1" applyAlignment="1">
      <alignment horizontal="center"/>
    </xf>
    <xf numFmtId="168" fontId="38" fillId="0" borderId="40" xfId="0" applyNumberFormat="1" applyFont="1" applyBorder="1" applyAlignment="1">
      <alignment horizontal="center"/>
    </xf>
    <xf numFmtId="168" fontId="0" fillId="0" borderId="41" xfId="0" applyNumberFormat="1" applyFill="1" applyBorder="1" applyAlignment="1">
      <alignment horizontal="center"/>
    </xf>
    <xf numFmtId="168" fontId="38" fillId="0" borderId="0" xfId="0" applyNumberFormat="1" applyFont="1" applyFill="1" applyBorder="1" applyAlignment="1">
      <alignment horizontal="center" vertical="center"/>
    </xf>
    <xf numFmtId="3" fontId="38" fillId="0" borderId="3" xfId="0" applyNumberFormat="1" applyFont="1" applyFill="1" applyBorder="1" applyAlignment="1">
      <alignment horizontal="center" vertical="center"/>
    </xf>
    <xf numFmtId="3" fontId="38" fillId="0" borderId="4" xfId="0" applyNumberFormat="1" applyFont="1"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5" xfId="0" applyBorder="1" applyAlignment="1">
      <alignment horizontal="center" vertical="center"/>
    </xf>
    <xf numFmtId="0" fontId="0" fillId="0" borderId="67" xfId="0" applyBorder="1" applyAlignment="1">
      <alignment horizontal="center" vertical="center"/>
    </xf>
    <xf numFmtId="0" fontId="0" fillId="0" borderId="0" xfId="0" applyBorder="1" applyAlignment="1">
      <alignment horizontal="center" vertical="center"/>
    </xf>
    <xf numFmtId="4" fontId="38" fillId="0" borderId="0" xfId="0" applyNumberFormat="1" applyFont="1" applyFill="1" applyBorder="1" applyAlignment="1">
      <alignment vertical="center"/>
    </xf>
    <xf numFmtId="0" fontId="49" fillId="0" borderId="0" xfId="0" applyFont="1" applyBorder="1" applyAlignment="1">
      <alignment vertical="center"/>
    </xf>
    <xf numFmtId="0" fontId="38" fillId="0" borderId="0" xfId="0" applyFont="1" applyBorder="1" applyAlignment="1">
      <alignment vertical="center"/>
    </xf>
    <xf numFmtId="0" fontId="4" fillId="0" borderId="0" xfId="0" applyFont="1" applyBorder="1" applyAlignment="1">
      <alignment horizontal="left"/>
    </xf>
    <xf numFmtId="0" fontId="4" fillId="0" borderId="0" xfId="0" applyFont="1" applyBorder="1" applyAlignment="1">
      <alignment horizontal="center"/>
    </xf>
    <xf numFmtId="0" fontId="4" fillId="0" borderId="0" xfId="0" applyFont="1" applyBorder="1" applyAlignment="1">
      <alignment horizontal="center" vertical="center"/>
    </xf>
    <xf numFmtId="0" fontId="4" fillId="0" borderId="61" xfId="0" applyFont="1" applyBorder="1" applyAlignment="1">
      <alignment horizontal="left"/>
    </xf>
    <xf numFmtId="0" fontId="17" fillId="0" borderId="61" xfId="0" applyFont="1" applyFill="1" applyBorder="1" applyAlignment="1">
      <alignment horizontal="center"/>
    </xf>
    <xf numFmtId="0" fontId="17" fillId="0" borderId="69" xfId="0" applyFont="1" applyFill="1" applyBorder="1" applyAlignment="1">
      <alignment horizontal="center"/>
    </xf>
    <xf numFmtId="0" fontId="17" fillId="0" borderId="62" xfId="0" applyFont="1" applyFill="1" applyBorder="1" applyAlignment="1">
      <alignment horizontal="center"/>
    </xf>
    <xf numFmtId="180" fontId="40" fillId="18" borderId="10" xfId="0" applyNumberFormat="1" applyFont="1" applyFill="1" applyBorder="1" applyAlignment="1">
      <alignment horizontal="center" wrapText="1"/>
    </xf>
    <xf numFmtId="4" fontId="38" fillId="0" borderId="56" xfId="0" applyNumberFormat="1" applyFont="1" applyFill="1" applyBorder="1" applyAlignment="1">
      <alignment horizontal="center" vertical="center"/>
    </xf>
    <xf numFmtId="4" fontId="38" fillId="0" borderId="57" xfId="0" applyNumberFormat="1" applyFont="1" applyFill="1" applyBorder="1" applyAlignment="1">
      <alignment horizontal="center" vertical="center"/>
    </xf>
    <xf numFmtId="4" fontId="38" fillId="0" borderId="58" xfId="0" applyNumberFormat="1" applyFont="1" applyFill="1" applyBorder="1" applyAlignment="1">
      <alignment horizontal="center" vertical="center"/>
    </xf>
    <xf numFmtId="0" fontId="4" fillId="0" borderId="60" xfId="0" applyFont="1" applyBorder="1" applyAlignment="1">
      <alignment vertical="center"/>
    </xf>
    <xf numFmtId="0" fontId="4" fillId="0" borderId="62" xfId="0" applyFont="1" applyBorder="1" applyAlignment="1">
      <alignment horizontal="left"/>
    </xf>
    <xf numFmtId="0" fontId="4" fillId="0" borderId="76" xfId="0" applyFont="1" applyBorder="1" applyAlignment="1">
      <alignment horizontal="center"/>
    </xf>
    <xf numFmtId="0" fontId="4" fillId="0" borderId="7" xfId="0" applyFont="1" applyBorder="1" applyAlignment="1">
      <alignment horizontal="center"/>
    </xf>
    <xf numFmtId="0" fontId="4" fillId="0" borderId="77" xfId="0" applyFont="1" applyBorder="1" applyAlignment="1">
      <alignment horizontal="center"/>
    </xf>
    <xf numFmtId="0" fontId="0" fillId="0" borderId="73" xfId="0" applyBorder="1" applyAlignment="1">
      <alignment horizontal="center" vertical="center"/>
    </xf>
    <xf numFmtId="0" fontId="0" fillId="0" borderId="34" xfId="0" applyBorder="1" applyAlignment="1">
      <alignment horizontal="center" vertical="center"/>
    </xf>
    <xf numFmtId="0" fontId="0" fillId="0" borderId="74" xfId="0" applyBorder="1" applyAlignment="1">
      <alignment horizontal="center" vertical="center"/>
    </xf>
    <xf numFmtId="0" fontId="4" fillId="0" borderId="11" xfId="0" applyFont="1" applyBorder="1" applyAlignment="1">
      <alignment horizontal="center"/>
    </xf>
    <xf numFmtId="0" fontId="4" fillId="0" borderId="69" xfId="0" applyFont="1" applyBorder="1" applyAlignment="1">
      <alignment vertical="center"/>
    </xf>
    <xf numFmtId="4" fontId="38" fillId="0" borderId="1" xfId="0" applyNumberFormat="1" applyFont="1" applyFill="1" applyBorder="1" applyAlignment="1">
      <alignment horizontal="center"/>
    </xf>
    <xf numFmtId="3" fontId="48" fillId="0" borderId="0" xfId="0" applyNumberFormat="1" applyFont="1" applyFill="1" applyBorder="1" applyAlignment="1">
      <alignment horizontal="center"/>
    </xf>
    <xf numFmtId="168" fontId="48" fillId="3" borderId="1" xfId="0" applyNumberFormat="1" applyFont="1" applyFill="1" applyBorder="1" applyAlignment="1">
      <alignment horizontal="center" vertical="center"/>
    </xf>
    <xf numFmtId="0" fontId="0" fillId="0" borderId="5" xfId="0" applyFill="1" applyBorder="1" applyAlignment="1">
      <alignment horizontal="center" vertical="center"/>
    </xf>
    <xf numFmtId="0" fontId="0" fillId="0" borderId="69" xfId="0" applyFill="1" applyBorder="1" applyAlignment="1">
      <alignment horizontal="center" vertical="center"/>
    </xf>
    <xf numFmtId="0" fontId="0" fillId="0" borderId="62" xfId="0" applyFill="1" applyBorder="1" applyAlignment="1">
      <alignment horizontal="center" vertical="center"/>
    </xf>
    <xf numFmtId="0" fontId="0" fillId="0" borderId="61" xfId="0" applyFill="1" applyBorder="1" applyAlignment="1">
      <alignment horizontal="center" vertical="center"/>
    </xf>
    <xf numFmtId="0" fontId="0" fillId="0" borderId="60" xfId="0" applyFill="1" applyBorder="1" applyAlignment="1">
      <alignment horizontal="center" vertical="center"/>
    </xf>
    <xf numFmtId="0" fontId="0" fillId="0" borderId="1" xfId="0" applyFill="1" applyBorder="1" applyAlignment="1">
      <alignment horizontal="center" vertical="center"/>
    </xf>
    <xf numFmtId="0" fontId="0" fillId="0" borderId="2" xfId="0" applyFill="1" applyBorder="1" applyAlignment="1">
      <alignment horizontal="center" vertical="center"/>
    </xf>
    <xf numFmtId="0" fontId="0" fillId="0" borderId="35" xfId="0" applyFill="1" applyBorder="1" applyAlignment="1">
      <alignment horizontal="center" vertical="center"/>
    </xf>
    <xf numFmtId="0" fontId="0" fillId="0" borderId="67" xfId="0" applyFill="1" applyBorder="1" applyAlignment="1">
      <alignment horizontal="center" vertical="center"/>
    </xf>
    <xf numFmtId="0" fontId="0" fillId="0" borderId="3" xfId="0" applyFill="1" applyBorder="1" applyAlignment="1">
      <alignment horizontal="center"/>
    </xf>
    <xf numFmtId="10" fontId="38" fillId="18" borderId="1" xfId="892" applyNumberFormat="1" applyFont="1" applyFill="1" applyBorder="1" applyAlignment="1">
      <alignment horizontal="center"/>
    </xf>
    <xf numFmtId="180" fontId="40" fillId="18" borderId="34" xfId="0" applyNumberFormat="1" applyFont="1" applyFill="1" applyBorder="1" applyAlignment="1">
      <alignment horizontal="center" wrapText="1"/>
    </xf>
    <xf numFmtId="0" fontId="0" fillId="0" borderId="0" xfId="0"/>
    <xf numFmtId="4" fontId="38" fillId="0" borderId="1" xfId="0" applyNumberFormat="1" applyFont="1" applyFill="1" applyBorder="1" applyAlignment="1">
      <alignment horizontal="center"/>
    </xf>
    <xf numFmtId="0" fontId="74" fillId="0" borderId="72" xfId="896" applyFont="1" applyFill="1" applyBorder="1" applyAlignment="1">
      <alignment horizontal="center" wrapText="1"/>
    </xf>
    <xf numFmtId="175" fontId="56" fillId="0" borderId="7" xfId="0" applyNumberFormat="1" applyFont="1" applyBorder="1" applyAlignment="1">
      <alignment horizontal="center"/>
    </xf>
    <xf numFmtId="0" fontId="49" fillId="0" borderId="75" xfId="0" applyFont="1" applyBorder="1" applyAlignment="1">
      <alignment horizontal="center" vertical="center"/>
    </xf>
    <xf numFmtId="175" fontId="50" fillId="0" borderId="25" xfId="0" applyNumberFormat="1" applyFont="1" applyFill="1" applyBorder="1" applyAlignment="1">
      <alignment horizontal="center"/>
    </xf>
    <xf numFmtId="0" fontId="0" fillId="0" borderId="35" xfId="0" applyBorder="1" applyAlignment="1">
      <alignment horizontal="center" vertical="center"/>
    </xf>
    <xf numFmtId="166" fontId="40" fillId="10" borderId="13" xfId="0" applyNumberFormat="1" applyFont="1" applyFill="1" applyBorder="1" applyAlignment="1">
      <alignment horizontal="center" vertical="center"/>
    </xf>
    <xf numFmtId="166" fontId="40" fillId="10" borderId="7" xfId="0" applyNumberFormat="1" applyFont="1" applyFill="1" applyBorder="1" applyAlignment="1">
      <alignment horizontal="center" vertical="center"/>
    </xf>
    <xf numFmtId="178" fontId="7" fillId="10" borderId="7" xfId="0" applyNumberFormat="1" applyFont="1" applyFill="1" applyBorder="1" applyAlignment="1">
      <alignment horizontal="center"/>
    </xf>
    <xf numFmtId="178" fontId="62" fillId="10" borderId="7" xfId="0" applyNumberFormat="1" applyFont="1" applyFill="1" applyBorder="1" applyAlignment="1">
      <alignment horizontal="center"/>
    </xf>
    <xf numFmtId="165" fontId="49" fillId="10" borderId="7" xfId="0" applyNumberFormat="1" applyFont="1" applyFill="1" applyBorder="1" applyAlignment="1">
      <alignment horizontal="center" vertical="center"/>
    </xf>
    <xf numFmtId="10" fontId="49" fillId="0" borderId="7" xfId="892" applyNumberFormat="1" applyFont="1" applyFill="1" applyBorder="1" applyAlignment="1">
      <alignment horizontal="center" vertical="center"/>
    </xf>
    <xf numFmtId="169" fontId="37" fillId="10" borderId="14" xfId="0" applyNumberFormat="1" applyFont="1" applyFill="1" applyBorder="1"/>
    <xf numFmtId="169" fontId="37" fillId="10" borderId="12" xfId="0" applyNumberFormat="1" applyFont="1" applyFill="1" applyBorder="1"/>
    <xf numFmtId="178" fontId="37" fillId="10" borderId="12" xfId="0" applyNumberFormat="1" applyFont="1" applyFill="1" applyBorder="1"/>
    <xf numFmtId="178" fontId="60" fillId="10" borderId="12" xfId="0" applyNumberFormat="1" applyFont="1" applyFill="1" applyBorder="1" applyAlignment="1">
      <alignment horizontal="center"/>
    </xf>
    <xf numFmtId="165" fontId="0" fillId="10" borderId="12" xfId="0" applyNumberFormat="1" applyFill="1" applyBorder="1"/>
    <xf numFmtId="10" fontId="0" fillId="0" borderId="12" xfId="0" applyNumberFormat="1" applyFill="1" applyBorder="1"/>
    <xf numFmtId="10" fontId="48" fillId="18" borderId="0" xfId="891" applyNumberFormat="1" applyFont="1" applyFill="1" applyBorder="1" applyAlignment="1">
      <alignment horizontal="center"/>
    </xf>
    <xf numFmtId="10" fontId="0" fillId="0" borderId="23" xfId="0" applyNumberFormat="1" applyFill="1" applyBorder="1" applyAlignment="1">
      <alignment horizontal="center"/>
    </xf>
    <xf numFmtId="10" fontId="0" fillId="0" borderId="25" xfId="0" applyNumberFormat="1" applyFill="1" applyBorder="1" applyAlignment="1">
      <alignment horizontal="center"/>
    </xf>
    <xf numFmtId="10" fontId="0" fillId="0" borderId="24" xfId="0" applyNumberFormat="1" applyFill="1" applyBorder="1" applyAlignment="1">
      <alignment horizontal="center"/>
    </xf>
    <xf numFmtId="0" fontId="6" fillId="2" borderId="2" xfId="815" applyFont="1" applyFill="1" applyBorder="1" applyAlignment="1">
      <alignment horizontal="center" vertical="center" wrapText="1"/>
    </xf>
    <xf numFmtId="179" fontId="50" fillId="0" borderId="24" xfId="0" applyNumberFormat="1" applyFont="1" applyFill="1" applyBorder="1" applyAlignment="1">
      <alignment horizontal="center"/>
    </xf>
    <xf numFmtId="2" fontId="50" fillId="0" borderId="15" xfId="0" applyNumberFormat="1" applyFont="1" applyBorder="1" applyAlignment="1">
      <alignment horizontal="center"/>
    </xf>
    <xf numFmtId="10" fontId="0" fillId="0" borderId="0" xfId="0" applyNumberFormat="1" applyFill="1" applyBorder="1" applyAlignment="1">
      <alignment horizontal="center"/>
    </xf>
    <xf numFmtId="175" fontId="0" fillId="0" borderId="7" xfId="0" applyNumberFormat="1" applyBorder="1" applyAlignment="1">
      <alignment horizontal="center"/>
    </xf>
    <xf numFmtId="0" fontId="39" fillId="11" borderId="5" xfId="0" applyFont="1" applyFill="1" applyBorder="1" applyAlignment="1">
      <alignment horizontal="center" vertical="center" wrapText="1"/>
    </xf>
    <xf numFmtId="0" fontId="39" fillId="11" borderId="16" xfId="0" applyFont="1" applyFill="1" applyBorder="1" applyAlignment="1">
      <alignment horizontal="center" vertical="center" wrapText="1"/>
    </xf>
    <xf numFmtId="3" fontId="39" fillId="11" borderId="16" xfId="0" applyNumberFormat="1" applyFont="1" applyFill="1" applyBorder="1" applyAlignment="1">
      <alignment horizontal="center" vertical="center"/>
    </xf>
    <xf numFmtId="0" fontId="69" fillId="0" borderId="78" xfId="895" applyFont="1" applyFill="1" applyBorder="1" applyAlignment="1">
      <alignment horizontal="right"/>
    </xf>
    <xf numFmtId="14" fontId="71" fillId="18" borderId="37" xfId="0" applyNumberFormat="1" applyFont="1" applyFill="1" applyBorder="1" applyAlignment="1">
      <alignment horizontal="center"/>
    </xf>
    <xf numFmtId="0" fontId="39" fillId="11" borderId="46" xfId="0" applyFont="1" applyFill="1" applyBorder="1" applyAlignment="1">
      <alignment horizontal="center" vertical="center" wrapText="1"/>
    </xf>
    <xf numFmtId="0" fontId="39" fillId="11" borderId="16" xfId="0" applyFont="1" applyFill="1" applyBorder="1" applyAlignment="1">
      <alignment horizontal="center"/>
    </xf>
    <xf numFmtId="4" fontId="46" fillId="11" borderId="16" xfId="0" applyNumberFormat="1" applyFont="1" applyFill="1" applyBorder="1" applyAlignment="1">
      <alignment horizontal="center"/>
    </xf>
    <xf numFmtId="4" fontId="39" fillId="11" borderId="16" xfId="0" applyNumberFormat="1" applyFont="1" applyFill="1" applyBorder="1" applyAlignment="1">
      <alignment horizontal="center"/>
    </xf>
    <xf numFmtId="0" fontId="39" fillId="11" borderId="54" xfId="0" applyFont="1" applyFill="1" applyBorder="1" applyAlignment="1">
      <alignment horizontal="center" vertical="center" wrapText="1"/>
    </xf>
    <xf numFmtId="3" fontId="39" fillId="11" borderId="5" xfId="0" applyNumberFormat="1" applyFont="1" applyFill="1" applyBorder="1" applyAlignment="1">
      <alignment horizontal="center" vertical="center"/>
    </xf>
    <xf numFmtId="0" fontId="39" fillId="11" borderId="5" xfId="0" applyFont="1" applyFill="1" applyBorder="1" applyAlignment="1">
      <alignment horizontal="center"/>
    </xf>
    <xf numFmtId="4" fontId="46" fillId="11" borderId="5" xfId="0" applyNumberFormat="1" applyFont="1" applyFill="1" applyBorder="1" applyAlignment="1">
      <alignment horizontal="center"/>
    </xf>
    <xf numFmtId="0" fontId="0" fillId="0" borderId="35" xfId="0" applyBorder="1" applyAlignment="1">
      <alignment horizontal="center" vertical="center"/>
    </xf>
    <xf numFmtId="0" fontId="0" fillId="0" borderId="0" xfId="0" applyBorder="1" applyAlignment="1">
      <alignment horizontal="center" vertical="center"/>
    </xf>
    <xf numFmtId="0" fontId="0" fillId="0" borderId="1" xfId="0" applyBorder="1" applyAlignment="1">
      <alignment horizontal="center" vertical="center"/>
    </xf>
    <xf numFmtId="0" fontId="0" fillId="0" borderId="0" xfId="0" applyBorder="1"/>
    <xf numFmtId="0" fontId="0" fillId="0" borderId="0" xfId="0" applyBorder="1" applyAlignment="1">
      <alignment horizontal="left"/>
    </xf>
    <xf numFmtId="175" fontId="56" fillId="0" borderId="7" xfId="0" applyNumberFormat="1" applyFont="1" applyBorder="1" applyAlignment="1">
      <alignment horizontal="center"/>
    </xf>
    <xf numFmtId="175" fontId="0" fillId="0" borderId="7" xfId="0" applyNumberFormat="1" applyBorder="1" applyAlignment="1">
      <alignment horizontal="center"/>
    </xf>
    <xf numFmtId="10" fontId="0" fillId="0" borderId="23" xfId="0" applyNumberFormat="1" applyFill="1" applyBorder="1" applyAlignment="1">
      <alignment horizontal="center"/>
    </xf>
    <xf numFmtId="10" fontId="0" fillId="0" borderId="25" xfId="0" applyNumberFormat="1" applyFill="1" applyBorder="1" applyAlignment="1">
      <alignment horizontal="center"/>
    </xf>
    <xf numFmtId="168" fontId="0" fillId="0" borderId="0" xfId="0" applyNumberFormat="1" applyBorder="1" applyAlignment="1">
      <alignment horizontal="center"/>
    </xf>
    <xf numFmtId="0" fontId="0" fillId="0" borderId="1" xfId="0" applyBorder="1" applyAlignment="1">
      <alignment horizontal="center"/>
    </xf>
    <xf numFmtId="168" fontId="0" fillId="0" borderId="35" xfId="0" applyNumberFormat="1" applyFill="1" applyBorder="1" applyAlignment="1">
      <alignment horizontal="center" vertical="center"/>
    </xf>
    <xf numFmtId="168" fontId="0" fillId="0" borderId="1" xfId="0" applyNumberFormat="1" applyFill="1" applyBorder="1" applyAlignment="1">
      <alignment horizontal="center" vertical="center"/>
    </xf>
    <xf numFmtId="168" fontId="0" fillId="0" borderId="16" xfId="0" applyNumberFormat="1" applyFill="1" applyBorder="1" applyAlignment="1">
      <alignment horizontal="center" vertical="center"/>
    </xf>
    <xf numFmtId="168" fontId="0" fillId="0" borderId="64" xfId="0" applyNumberFormat="1" applyBorder="1" applyAlignment="1">
      <alignment horizontal="center" vertical="center"/>
    </xf>
    <xf numFmtId="175" fontId="0" fillId="0" borderId="7" xfId="0" applyNumberFormat="1" applyFill="1" applyBorder="1" applyAlignment="1">
      <alignment horizontal="center"/>
    </xf>
    <xf numFmtId="175" fontId="0" fillId="0" borderId="12" xfId="0" applyNumberFormat="1" applyFill="1" applyBorder="1" applyAlignment="1">
      <alignment horizontal="center"/>
    </xf>
    <xf numFmtId="175" fontId="56" fillId="0" borderId="7" xfId="0" applyNumberFormat="1" applyFont="1" applyFill="1" applyBorder="1" applyAlignment="1">
      <alignment horizontal="center"/>
    </xf>
    <xf numFmtId="175" fontId="56" fillId="0" borderId="12" xfId="0" applyNumberFormat="1" applyFont="1" applyFill="1" applyBorder="1" applyAlignment="1">
      <alignment horizontal="center"/>
    </xf>
    <xf numFmtId="0" fontId="0" fillId="18" borderId="0" xfId="0" applyFill="1"/>
    <xf numFmtId="175" fontId="56" fillId="0" borderId="7" xfId="0" applyNumberFormat="1" applyFont="1" applyFill="1" applyBorder="1"/>
    <xf numFmtId="175" fontId="56" fillId="0" borderId="0" xfId="0" applyNumberFormat="1" applyFont="1" applyFill="1" applyBorder="1" applyAlignment="1">
      <alignment horizontal="center"/>
    </xf>
    <xf numFmtId="175" fontId="56" fillId="0" borderId="12" xfId="0" applyNumberFormat="1" applyFont="1" applyFill="1" applyBorder="1"/>
    <xf numFmtId="178" fontId="37" fillId="0" borderId="0" xfId="0" applyNumberFormat="1" applyFont="1" applyFill="1" applyBorder="1"/>
    <xf numFmtId="175" fontId="50" fillId="0" borderId="13" xfId="0" applyNumberFormat="1" applyFont="1" applyFill="1" applyBorder="1" applyAlignment="1">
      <alignment horizontal="center"/>
    </xf>
    <xf numFmtId="175" fontId="50" fillId="0" borderId="14" xfId="0" applyNumberFormat="1" applyFont="1" applyFill="1" applyBorder="1" applyAlignment="1">
      <alignment horizontal="center"/>
    </xf>
    <xf numFmtId="0" fontId="39" fillId="11" borderId="56" xfId="0" applyFont="1" applyFill="1" applyBorder="1" applyAlignment="1">
      <alignment vertical="center" wrapText="1"/>
    </xf>
    <xf numFmtId="0" fontId="39" fillId="0" borderId="1" xfId="0" applyFont="1" applyFill="1" applyBorder="1" applyAlignment="1">
      <alignment vertical="center" wrapText="1"/>
    </xf>
    <xf numFmtId="0" fontId="0" fillId="0" borderId="1" xfId="0" applyFill="1" applyBorder="1"/>
    <xf numFmtId="0" fontId="79" fillId="28" borderId="1" xfId="0" applyFont="1" applyFill="1" applyBorder="1" applyAlignment="1">
      <alignment horizontal="center"/>
    </xf>
    <xf numFmtId="0" fontId="0" fillId="0" borderId="67" xfId="0" applyBorder="1" applyAlignment="1">
      <alignment horizontal="center" vertical="center"/>
    </xf>
    <xf numFmtId="175" fontId="0" fillId="0" borderId="12" xfId="0" applyNumberFormat="1" applyBorder="1" applyAlignment="1">
      <alignment horizontal="center"/>
    </xf>
    <xf numFmtId="10" fontId="38" fillId="18" borderId="0" xfId="891" applyNumberFormat="1" applyFont="1" applyFill="1" applyBorder="1" applyAlignment="1">
      <alignment horizontal="center"/>
    </xf>
    <xf numFmtId="0" fontId="38" fillId="21" borderId="0" xfId="0" applyFont="1" applyFill="1" applyBorder="1" applyAlignment="1">
      <alignment horizontal="center"/>
    </xf>
    <xf numFmtId="10" fontId="48" fillId="18" borderId="7" xfId="891" applyNumberFormat="1" applyFont="1" applyFill="1" applyBorder="1" applyAlignment="1">
      <alignment horizontal="center"/>
    </xf>
    <xf numFmtId="175" fontId="49" fillId="0" borderId="7" xfId="0" applyNumberFormat="1" applyFont="1" applyFill="1" applyBorder="1" applyAlignment="1">
      <alignment horizontal="right"/>
    </xf>
    <xf numFmtId="175" fontId="49" fillId="0" borderId="0" xfId="0" applyNumberFormat="1" applyFont="1" applyBorder="1" applyAlignment="1">
      <alignment horizontal="right"/>
    </xf>
    <xf numFmtId="175" fontId="0" fillId="0" borderId="12" xfId="0" applyNumberFormat="1" applyBorder="1" applyAlignment="1">
      <alignment horizontal="right"/>
    </xf>
    <xf numFmtId="10" fontId="38" fillId="18" borderId="37" xfId="892" applyNumberFormat="1" applyFont="1" applyFill="1" applyBorder="1" applyAlignment="1">
      <alignment horizontal="center"/>
    </xf>
    <xf numFmtId="14" fontId="71" fillId="18" borderId="2" xfId="0" applyNumberFormat="1" applyFont="1" applyFill="1" applyBorder="1" applyAlignment="1">
      <alignment horizontal="center"/>
    </xf>
    <xf numFmtId="0" fontId="38" fillId="21" borderId="65" xfId="0" applyFont="1" applyFill="1" applyBorder="1" applyAlignment="1">
      <alignment horizontal="center" wrapText="1"/>
    </xf>
    <xf numFmtId="0" fontId="0" fillId="0" borderId="28" xfId="0" applyFill="1" applyBorder="1" applyAlignment="1">
      <alignment horizontal="center" vertical="center"/>
    </xf>
    <xf numFmtId="0" fontId="49" fillId="0" borderId="28" xfId="0" applyFont="1" applyBorder="1" applyAlignment="1">
      <alignment horizontal="center" vertical="center"/>
    </xf>
    <xf numFmtId="0" fontId="17" fillId="0" borderId="28" xfId="0" applyFont="1" applyFill="1" applyBorder="1" applyAlignment="1">
      <alignment horizontal="center"/>
    </xf>
    <xf numFmtId="10" fontId="49" fillId="0" borderId="43" xfId="891" applyNumberFormat="1" applyFont="1" applyFill="1" applyBorder="1" applyAlignment="1">
      <alignment horizontal="center" vertical="center"/>
    </xf>
    <xf numFmtId="0" fontId="37" fillId="0" borderId="0" xfId="0" applyFont="1" applyBorder="1" applyAlignment="1">
      <alignment horizontal="center"/>
    </xf>
    <xf numFmtId="0" fontId="37" fillId="0" borderId="28" xfId="0" applyFont="1" applyFill="1" applyBorder="1" applyAlignment="1">
      <alignment horizontal="center" vertical="center"/>
    </xf>
    <xf numFmtId="0" fontId="17" fillId="0" borderId="28" xfId="0" applyFont="1" applyFill="1" applyBorder="1" applyAlignment="1">
      <alignment horizontal="center" vertical="center"/>
    </xf>
    <xf numFmtId="14" fontId="71" fillId="18" borderId="66" xfId="0" applyNumberFormat="1" applyFont="1" applyFill="1" applyBorder="1" applyAlignment="1">
      <alignment horizontal="center"/>
    </xf>
    <xf numFmtId="0" fontId="6" fillId="2" borderId="2" xfId="815" applyFont="1" applyFill="1" applyBorder="1" applyAlignment="1">
      <alignment horizontal="center" vertical="center" wrapText="1"/>
    </xf>
    <xf numFmtId="178" fontId="0" fillId="0" borderId="0" xfId="0" applyNumberFormat="1" applyBorder="1"/>
    <xf numFmtId="0" fontId="0" fillId="0" borderId="0" xfId="0" applyBorder="1" applyAlignment="1"/>
    <xf numFmtId="40" fontId="0" fillId="0" borderId="0" xfId="0" applyNumberFormat="1" applyBorder="1"/>
    <xf numFmtId="178" fontId="53" fillId="22" borderId="1" xfId="0" applyNumberFormat="1" applyFont="1" applyFill="1" applyBorder="1" applyAlignment="1">
      <alignment horizontal="center" wrapText="1"/>
    </xf>
    <xf numFmtId="165" fontId="53" fillId="22" borderId="1" xfId="0" applyNumberFormat="1" applyFont="1" applyFill="1" applyBorder="1" applyAlignment="1">
      <alignment horizontal="center" wrapText="1"/>
    </xf>
    <xf numFmtId="0" fontId="7" fillId="0" borderId="0" xfId="43" applyFont="1" applyFill="1" applyBorder="1" applyAlignment="1">
      <alignment vertical="center" wrapText="1"/>
    </xf>
    <xf numFmtId="175" fontId="0" fillId="0" borderId="12" xfId="0" applyNumberFormat="1" applyFill="1" applyBorder="1" applyAlignment="1">
      <alignment horizontal="center"/>
    </xf>
    <xf numFmtId="0" fontId="81" fillId="0" borderId="0" xfId="0" applyFont="1"/>
    <xf numFmtId="10" fontId="48" fillId="0" borderId="0" xfId="892" applyNumberFormat="1" applyFont="1" applyFill="1" applyBorder="1" applyAlignment="1">
      <alignment horizontal="center"/>
    </xf>
    <xf numFmtId="175" fontId="0" fillId="0" borderId="12" xfId="0" applyNumberFormat="1" applyBorder="1" applyAlignment="1">
      <alignment horizontal="center"/>
    </xf>
    <xf numFmtId="3" fontId="38" fillId="0" borderId="0" xfId="0" applyNumberFormat="1" applyFont="1" applyFill="1" applyBorder="1" applyAlignment="1">
      <alignment horizontal="center" vertical="center"/>
    </xf>
    <xf numFmtId="4" fontId="38" fillId="0" borderId="3" xfId="0" applyNumberFormat="1" applyFont="1" applyFill="1" applyBorder="1" applyAlignment="1">
      <alignment horizontal="center" vertical="center"/>
    </xf>
    <xf numFmtId="14" fontId="71" fillId="18" borderId="55" xfId="0" applyNumberFormat="1" applyFont="1" applyFill="1" applyBorder="1" applyAlignment="1">
      <alignment horizontal="center"/>
    </xf>
    <xf numFmtId="0" fontId="38" fillId="0" borderId="39" xfId="0" applyFont="1" applyFill="1" applyBorder="1" applyAlignment="1">
      <alignment horizontal="center"/>
    </xf>
    <xf numFmtId="0" fontId="38" fillId="0" borderId="42" xfId="0" applyFont="1" applyFill="1" applyBorder="1" applyAlignment="1">
      <alignment horizontal="center" vertical="center"/>
    </xf>
    <xf numFmtId="4" fontId="38" fillId="0" borderId="4" xfId="0" applyNumberFormat="1" applyFont="1" applyFill="1" applyBorder="1" applyAlignment="1">
      <alignment horizontal="center" vertical="center"/>
    </xf>
    <xf numFmtId="10" fontId="38" fillId="18" borderId="12" xfId="891" applyNumberFormat="1" applyFont="1" applyFill="1" applyBorder="1" applyAlignment="1">
      <alignment horizontal="center"/>
    </xf>
    <xf numFmtId="0" fontId="38" fillId="10" borderId="10" xfId="0" applyFont="1" applyFill="1" applyBorder="1" applyAlignment="1">
      <alignment horizontal="center"/>
    </xf>
    <xf numFmtId="180" fontId="40" fillId="10" borderId="34" xfId="0" applyNumberFormat="1" applyFont="1" applyFill="1" applyBorder="1" applyAlignment="1">
      <alignment vertical="center" wrapText="1"/>
    </xf>
    <xf numFmtId="180" fontId="40" fillId="10" borderId="33" xfId="0" applyNumberFormat="1" applyFont="1" applyFill="1" applyBorder="1" applyAlignment="1">
      <alignment vertical="center" wrapText="1"/>
    </xf>
    <xf numFmtId="175" fontId="0" fillId="0" borderId="7" xfId="0" applyNumberFormat="1" applyBorder="1" applyAlignment="1">
      <alignment horizontal="center"/>
    </xf>
    <xf numFmtId="175" fontId="0" fillId="0" borderId="12" xfId="0" applyNumberFormat="1" applyBorder="1" applyAlignment="1">
      <alignment horizontal="center"/>
    </xf>
    <xf numFmtId="175" fontId="0" fillId="0" borderId="12" xfId="0" applyNumberFormat="1" applyBorder="1"/>
    <xf numFmtId="175" fontId="56" fillId="0" borderId="7" xfId="0" applyNumberFormat="1" applyFont="1" applyBorder="1" applyAlignment="1">
      <alignment horizontal="center"/>
    </xf>
    <xf numFmtId="175" fontId="0" fillId="0" borderId="13" xfId="0" applyNumberFormat="1" applyBorder="1" applyAlignment="1">
      <alignment horizontal="center"/>
    </xf>
    <xf numFmtId="175" fontId="0" fillId="0" borderId="14" xfId="0" applyNumberFormat="1" applyBorder="1" applyAlignment="1">
      <alignment horizontal="center"/>
    </xf>
    <xf numFmtId="175" fontId="0" fillId="0" borderId="0" xfId="0" applyNumberFormat="1" applyBorder="1" applyAlignment="1">
      <alignment horizontal="center"/>
    </xf>
    <xf numFmtId="175" fontId="0" fillId="0" borderId="0" xfId="0" applyNumberFormat="1" applyBorder="1" applyAlignment="1">
      <alignment horizontal="center" vertical="center"/>
    </xf>
    <xf numFmtId="173" fontId="0" fillId="0" borderId="0" xfId="0" applyNumberFormat="1" applyBorder="1" applyAlignment="1">
      <alignment horizontal="center"/>
    </xf>
    <xf numFmtId="175" fontId="56" fillId="0" borderId="12" xfId="0" applyNumberFormat="1" applyFont="1" applyBorder="1" applyAlignment="1">
      <alignment horizontal="center"/>
    </xf>
    <xf numFmtId="167" fontId="38" fillId="18" borderId="0" xfId="0" applyNumberFormat="1" applyFont="1" applyFill="1" applyBorder="1" applyAlignment="1">
      <alignment horizontal="center"/>
    </xf>
    <xf numFmtId="0" fontId="0" fillId="0" borderId="1" xfId="0" applyBorder="1"/>
    <xf numFmtId="168" fontId="0" fillId="0" borderId="35" xfId="0" applyNumberFormat="1" applyBorder="1"/>
    <xf numFmtId="168" fontId="0" fillId="0" borderId="1" xfId="0" applyNumberFormat="1" applyBorder="1"/>
    <xf numFmtId="168" fontId="0" fillId="0" borderId="1" xfId="0" applyNumberFormat="1" applyFill="1" applyBorder="1"/>
    <xf numFmtId="0" fontId="26" fillId="0" borderId="41" xfId="0" applyFont="1" applyFill="1" applyBorder="1"/>
    <xf numFmtId="0" fontId="0" fillId="0" borderId="1" xfId="0" applyBorder="1" applyAlignment="1">
      <alignment horizontal="center"/>
    </xf>
    <xf numFmtId="0" fontId="82" fillId="0" borderId="1" xfId="0" applyFont="1" applyFill="1" applyBorder="1"/>
    <xf numFmtId="175" fontId="0" fillId="0" borderId="7" xfId="0" applyNumberFormat="1" applyBorder="1" applyAlignment="1">
      <alignment horizontal="center"/>
    </xf>
    <xf numFmtId="175" fontId="0" fillId="0" borderId="12" xfId="0" applyNumberFormat="1" applyBorder="1" applyAlignment="1">
      <alignment horizontal="center"/>
    </xf>
    <xf numFmtId="175" fontId="0" fillId="0" borderId="12" xfId="0" applyNumberFormat="1" applyBorder="1"/>
    <xf numFmtId="14" fontId="71" fillId="18" borderId="66" xfId="0" applyNumberFormat="1" applyFont="1" applyFill="1" applyBorder="1" applyAlignment="1">
      <alignment horizontal="center" vertical="center"/>
    </xf>
    <xf numFmtId="10" fontId="0" fillId="0" borderId="6" xfId="891" applyNumberFormat="1" applyFont="1" applyFill="1" applyBorder="1" applyAlignment="1">
      <alignment horizontal="center"/>
    </xf>
    <xf numFmtId="0" fontId="3" fillId="4" borderId="0" xfId="0" applyFont="1" applyFill="1" applyBorder="1" applyAlignment="1">
      <alignment horizontal="center" vertical="center"/>
    </xf>
    <xf numFmtId="175" fontId="0" fillId="0" borderId="0" xfId="0" applyNumberFormat="1" applyBorder="1" applyAlignment="1">
      <alignment horizontal="center"/>
    </xf>
    <xf numFmtId="175" fontId="0" fillId="18" borderId="12" xfId="0" applyNumberFormat="1" applyFill="1" applyBorder="1"/>
    <xf numFmtId="10" fontId="38" fillId="18" borderId="4" xfId="891" applyNumberFormat="1" applyFont="1" applyFill="1" applyBorder="1" applyAlignment="1">
      <alignment horizontal="center"/>
    </xf>
    <xf numFmtId="175" fontId="0" fillId="0" borderId="0" xfId="0" applyNumberFormat="1" applyBorder="1" applyAlignment="1">
      <alignment horizontal="center"/>
    </xf>
    <xf numFmtId="175" fontId="0" fillId="0" borderId="0" xfId="0" applyNumberFormat="1" applyBorder="1" applyAlignment="1">
      <alignment horizontal="center"/>
    </xf>
    <xf numFmtId="10" fontId="48" fillId="18" borderId="1" xfId="892" applyNumberFormat="1" applyFont="1" applyFill="1" applyBorder="1" applyAlignment="1">
      <alignment horizontal="center"/>
    </xf>
    <xf numFmtId="10" fontId="38" fillId="18" borderId="36" xfId="892" applyNumberFormat="1" applyFont="1" applyFill="1" applyBorder="1" applyAlignment="1">
      <alignment horizontal="center"/>
    </xf>
    <xf numFmtId="10" fontId="48" fillId="18" borderId="37" xfId="892" applyNumberFormat="1" applyFont="1" applyFill="1" applyBorder="1" applyAlignment="1">
      <alignment horizontal="center"/>
    </xf>
    <xf numFmtId="0" fontId="0" fillId="0" borderId="0" xfId="0" applyAlignment="1">
      <alignment horizontal="center"/>
    </xf>
    <xf numFmtId="175" fontId="56" fillId="0" borderId="12" xfId="0" applyNumberFormat="1" applyFont="1" applyFill="1" applyBorder="1" applyAlignment="1">
      <alignment horizontal="center"/>
    </xf>
    <xf numFmtId="0" fontId="49" fillId="0" borderId="0" xfId="0" applyFont="1" applyFill="1"/>
    <xf numFmtId="4" fontId="38" fillId="0" borderId="1" xfId="0" applyNumberFormat="1" applyFont="1" applyFill="1" applyBorder="1" applyAlignment="1">
      <alignment horizontal="center"/>
    </xf>
    <xf numFmtId="177" fontId="38" fillId="0" borderId="1" xfId="0" applyNumberFormat="1" applyFont="1" applyFill="1" applyBorder="1" applyAlignment="1">
      <alignment horizontal="center"/>
    </xf>
    <xf numFmtId="10" fontId="38" fillId="18" borderId="2" xfId="892" applyNumberFormat="1" applyFont="1" applyFill="1" applyBorder="1" applyAlignment="1">
      <alignment horizontal="center"/>
    </xf>
    <xf numFmtId="174" fontId="40" fillId="0" borderId="15" xfId="0" applyNumberFormat="1" applyFont="1" applyFill="1" applyBorder="1" applyAlignment="1">
      <alignment horizontal="center"/>
    </xf>
    <xf numFmtId="174" fontId="40" fillId="0" borderId="23" xfId="0" applyNumberFormat="1" applyFont="1" applyFill="1" applyBorder="1" applyAlignment="1">
      <alignment horizontal="center"/>
    </xf>
    <xf numFmtId="175" fontId="49" fillId="0" borderId="0" xfId="0" applyNumberFormat="1" applyFont="1" applyFill="1" applyBorder="1"/>
    <xf numFmtId="175" fontId="49" fillId="0" borderId="0" xfId="0" applyNumberFormat="1" applyFont="1" applyFill="1" applyBorder="1" applyAlignment="1">
      <alignment horizontal="center"/>
    </xf>
    <xf numFmtId="175" fontId="49" fillId="0" borderId="15" xfId="0" applyNumberFormat="1" applyFont="1" applyFill="1" applyBorder="1"/>
    <xf numFmtId="174" fontId="40" fillId="0" borderId="14" xfId="0" applyNumberFormat="1" applyFont="1" applyFill="1" applyBorder="1" applyAlignment="1">
      <alignment horizontal="center"/>
    </xf>
    <xf numFmtId="174" fontId="40" fillId="0" borderId="25" xfId="0" applyNumberFormat="1" applyFont="1" applyFill="1" applyBorder="1" applyAlignment="1">
      <alignment horizontal="center"/>
    </xf>
    <xf numFmtId="180" fontId="40" fillId="18" borderId="33" xfId="0" applyNumberFormat="1" applyFont="1" applyFill="1" applyBorder="1" applyAlignment="1">
      <alignment vertical="center" wrapText="1"/>
    </xf>
    <xf numFmtId="0" fontId="38" fillId="0" borderId="28" xfId="0" applyFont="1" applyFill="1" applyBorder="1" applyAlignment="1">
      <alignment horizontal="center" vertical="center" wrapText="1"/>
    </xf>
    <xf numFmtId="169" fontId="50" fillId="18" borderId="0" xfId="0" applyNumberFormat="1" applyFont="1" applyFill="1" applyBorder="1" applyAlignment="1">
      <alignment horizontal="center"/>
    </xf>
    <xf numFmtId="169" fontId="38" fillId="10" borderId="14" xfId="0" applyNumberFormat="1" applyFont="1" applyFill="1" applyBorder="1" applyAlignment="1">
      <alignment horizontal="center"/>
    </xf>
    <xf numFmtId="168" fontId="38" fillId="0" borderId="0" xfId="0" applyNumberFormat="1" applyFont="1"/>
    <xf numFmtId="169" fontId="38" fillId="0" borderId="0" xfId="0" applyNumberFormat="1" applyFont="1"/>
    <xf numFmtId="178" fontId="60" fillId="30" borderId="7" xfId="0" applyNumberFormat="1" applyFont="1" applyFill="1" applyBorder="1" applyAlignment="1">
      <alignment horizontal="center"/>
    </xf>
    <xf numFmtId="178" fontId="60" fillId="30" borderId="12" xfId="0" applyNumberFormat="1" applyFont="1" applyFill="1" applyBorder="1" applyAlignment="1">
      <alignment horizontal="center"/>
    </xf>
    <xf numFmtId="178" fontId="7" fillId="30" borderId="7" xfId="0" applyNumberFormat="1" applyFont="1" applyFill="1" applyBorder="1" applyAlignment="1">
      <alignment horizontal="center"/>
    </xf>
    <xf numFmtId="178" fontId="7" fillId="30" borderId="12" xfId="0" applyNumberFormat="1" applyFont="1" applyFill="1" applyBorder="1" applyAlignment="1">
      <alignment horizontal="center"/>
    </xf>
    <xf numFmtId="178" fontId="61" fillId="30" borderId="12" xfId="0" applyNumberFormat="1" applyFont="1" applyFill="1" applyBorder="1" applyAlignment="1">
      <alignment horizontal="center"/>
    </xf>
    <xf numFmtId="178" fontId="61" fillId="30" borderId="7" xfId="0" applyNumberFormat="1" applyFont="1" applyFill="1" applyBorder="1" applyAlignment="1">
      <alignment horizontal="center"/>
    </xf>
    <xf numFmtId="178" fontId="60" fillId="30" borderId="0" xfId="0" applyNumberFormat="1" applyFont="1" applyFill="1" applyBorder="1" applyAlignment="1">
      <alignment horizontal="center"/>
    </xf>
    <xf numFmtId="178" fontId="7" fillId="30" borderId="0" xfId="0" applyNumberFormat="1" applyFont="1" applyFill="1" applyBorder="1" applyAlignment="1">
      <alignment horizontal="center"/>
    </xf>
    <xf numFmtId="178" fontId="38" fillId="30" borderId="7" xfId="0" applyNumberFormat="1" applyFont="1" applyFill="1" applyBorder="1" applyAlignment="1">
      <alignment horizontal="center"/>
    </xf>
    <xf numFmtId="178" fontId="38" fillId="30" borderId="12" xfId="0" applyNumberFormat="1" applyFont="1" applyFill="1" applyBorder="1" applyAlignment="1">
      <alignment horizontal="center"/>
    </xf>
    <xf numFmtId="178" fontId="38" fillId="30" borderId="0" xfId="0" applyNumberFormat="1" applyFont="1" applyFill="1" applyBorder="1" applyAlignment="1">
      <alignment horizontal="center"/>
    </xf>
    <xf numFmtId="164" fontId="40" fillId="11" borderId="13" xfId="0" applyNumberFormat="1" applyFont="1" applyFill="1" applyBorder="1" applyAlignment="1">
      <alignment horizontal="center"/>
    </xf>
    <xf numFmtId="164" fontId="40" fillId="11" borderId="7" xfId="0" applyNumberFormat="1" applyFont="1" applyFill="1" applyBorder="1" applyAlignment="1">
      <alignment horizontal="center"/>
    </xf>
    <xf numFmtId="164" fontId="40" fillId="11" borderId="23" xfId="0" applyNumberFormat="1" applyFont="1" applyFill="1" applyBorder="1" applyAlignment="1">
      <alignment horizontal="center"/>
    </xf>
    <xf numFmtId="0" fontId="40" fillId="11" borderId="14" xfId="0" applyFont="1" applyFill="1" applyBorder="1" applyAlignment="1">
      <alignment horizontal="center"/>
    </xf>
    <xf numFmtId="0" fontId="40" fillId="11" borderId="12" xfId="0" applyFont="1" applyFill="1" applyBorder="1" applyAlignment="1">
      <alignment horizontal="center"/>
    </xf>
    <xf numFmtId="0" fontId="40" fillId="11" borderId="25" xfId="0" applyFont="1" applyFill="1" applyBorder="1" applyAlignment="1">
      <alignment horizontal="center"/>
    </xf>
    <xf numFmtId="0" fontId="38" fillId="3" borderId="48" xfId="0" applyFont="1" applyFill="1" applyBorder="1" applyAlignment="1">
      <alignment horizontal="center" vertical="center" wrapText="1"/>
    </xf>
    <xf numFmtId="0" fontId="38" fillId="3" borderId="49" xfId="0" applyFont="1" applyFill="1" applyBorder="1" applyAlignment="1">
      <alignment horizontal="center" vertical="center" wrapText="1"/>
    </xf>
    <xf numFmtId="178" fontId="80" fillId="29" borderId="2" xfId="0" applyNumberFormat="1" applyFont="1" applyFill="1" applyBorder="1" applyAlignment="1">
      <alignment horizontal="center" vertical="center" textRotation="90"/>
    </xf>
    <xf numFmtId="178" fontId="80" fillId="29" borderId="16" xfId="0" applyNumberFormat="1" applyFont="1" applyFill="1" applyBorder="1" applyAlignment="1">
      <alignment horizontal="center" vertical="center" textRotation="90"/>
    </xf>
    <xf numFmtId="178" fontId="79" fillId="22" borderId="1" xfId="0" applyNumberFormat="1" applyFont="1" applyFill="1" applyBorder="1" applyAlignment="1">
      <alignment horizontal="center"/>
    </xf>
    <xf numFmtId="165" fontId="79" fillId="22" borderId="1" xfId="0" applyNumberFormat="1" applyFont="1" applyFill="1" applyBorder="1" applyAlignment="1">
      <alignment horizontal="center"/>
    </xf>
    <xf numFmtId="165" fontId="0" fillId="0" borderId="1" xfId="0" applyNumberFormat="1" applyBorder="1" applyAlignment="1">
      <alignment horizontal="center"/>
    </xf>
    <xf numFmtId="10" fontId="0" fillId="0" borderId="1" xfId="0" applyNumberFormat="1" applyBorder="1" applyAlignment="1">
      <alignment horizontal="center"/>
    </xf>
    <xf numFmtId="10" fontId="0" fillId="18" borderId="1" xfId="0" applyNumberFormat="1" applyFill="1" applyBorder="1" applyAlignment="1">
      <alignment horizontal="center"/>
    </xf>
    <xf numFmtId="10" fontId="37" fillId="18" borderId="1" xfId="0" applyNumberFormat="1" applyFont="1" applyFill="1" applyBorder="1" applyAlignment="1">
      <alignment horizontal="center"/>
    </xf>
    <xf numFmtId="0" fontId="7" fillId="8" borderId="13" xfId="801" applyFont="1" applyFill="1" applyBorder="1" applyAlignment="1">
      <alignment horizontal="center" vertical="center" wrapText="1"/>
    </xf>
    <xf numFmtId="0" fontId="7" fillId="8" borderId="15" xfId="801" applyFont="1" applyFill="1" applyBorder="1" applyAlignment="1">
      <alignment horizontal="center" vertical="center" wrapText="1"/>
    </xf>
    <xf numFmtId="0" fontId="7" fillId="8" borderId="14" xfId="801" applyFont="1" applyFill="1" applyBorder="1" applyAlignment="1">
      <alignment horizontal="center" vertical="center" wrapText="1"/>
    </xf>
    <xf numFmtId="0" fontId="7" fillId="8" borderId="2" xfId="801" applyFont="1" applyFill="1" applyBorder="1" applyAlignment="1">
      <alignment horizontal="center" vertical="center" wrapText="1"/>
    </xf>
    <xf numFmtId="0" fontId="7" fillId="8" borderId="16" xfId="801" applyFont="1" applyFill="1" applyBorder="1" applyAlignment="1">
      <alignment horizontal="center" vertical="center" wrapText="1"/>
    </xf>
    <xf numFmtId="0" fontId="7" fillId="8" borderId="5" xfId="801" applyFont="1" applyFill="1" applyBorder="1" applyAlignment="1">
      <alignment horizontal="center" vertical="center" wrapText="1"/>
    </xf>
    <xf numFmtId="0" fontId="7" fillId="8" borderId="13" xfId="47" applyFont="1" applyFill="1" applyBorder="1" applyAlignment="1">
      <alignment horizontal="center" vertical="center" wrapText="1"/>
    </xf>
    <xf numFmtId="0" fontId="9" fillId="8" borderId="14" xfId="47" applyFont="1" applyFill="1" applyBorder="1" applyAlignment="1">
      <alignment horizontal="center" vertical="center" wrapText="1"/>
    </xf>
    <xf numFmtId="0" fontId="3" fillId="7" borderId="7" xfId="0" applyFont="1" applyFill="1" applyBorder="1" applyAlignment="1">
      <alignment horizontal="center" vertical="center" wrapText="1"/>
    </xf>
    <xf numFmtId="0" fontId="3" fillId="7" borderId="0" xfId="0" applyFont="1" applyFill="1" applyBorder="1" applyAlignment="1">
      <alignment horizontal="center" vertical="center" wrapText="1"/>
    </xf>
    <xf numFmtId="165" fontId="0" fillId="0" borderId="7" xfId="0" applyNumberFormat="1" applyBorder="1" applyAlignment="1">
      <alignment horizontal="center"/>
    </xf>
    <xf numFmtId="165" fontId="0" fillId="0" borderId="12" xfId="0" applyNumberFormat="1" applyBorder="1" applyAlignment="1">
      <alignment horizontal="center"/>
    </xf>
    <xf numFmtId="165" fontId="56" fillId="0" borderId="7" xfId="0" applyNumberFormat="1" applyFont="1" applyBorder="1" applyAlignment="1">
      <alignment horizontal="center"/>
    </xf>
    <xf numFmtId="165" fontId="56" fillId="0" borderId="12" xfId="0" applyNumberFormat="1" applyFont="1" applyBorder="1" applyAlignment="1">
      <alignment horizontal="center"/>
    </xf>
    <xf numFmtId="165" fontId="0" fillId="0" borderId="0" xfId="0" applyNumberFormat="1" applyBorder="1" applyAlignment="1">
      <alignment horizontal="center"/>
    </xf>
    <xf numFmtId="10" fontId="49" fillId="0" borderId="23" xfId="892" applyNumberFormat="1" applyFont="1" applyFill="1" applyBorder="1" applyAlignment="1">
      <alignment horizontal="center" vertical="center"/>
    </xf>
    <xf numFmtId="10" fontId="49" fillId="0" borderId="25" xfId="892" applyNumberFormat="1" applyFont="1" applyFill="1" applyBorder="1" applyAlignment="1">
      <alignment horizontal="center" vertical="center"/>
    </xf>
    <xf numFmtId="0" fontId="3" fillId="4" borderId="23" xfId="0" applyFont="1" applyFill="1" applyBorder="1" applyAlignment="1">
      <alignment horizontal="center" vertical="center"/>
    </xf>
    <xf numFmtId="0" fontId="3" fillId="4" borderId="24" xfId="0" applyFont="1" applyFill="1" applyBorder="1" applyAlignment="1">
      <alignment horizontal="center" vertical="center"/>
    </xf>
    <xf numFmtId="0" fontId="3" fillId="4" borderId="25" xfId="0" applyFont="1" applyFill="1" applyBorder="1" applyAlignment="1">
      <alignment horizontal="center" vertical="center"/>
    </xf>
    <xf numFmtId="0" fontId="7" fillId="8" borderId="2" xfId="47" applyFont="1" applyFill="1" applyBorder="1" applyAlignment="1">
      <alignment horizontal="left" vertical="center" wrapText="1"/>
    </xf>
    <xf numFmtId="0" fontId="9" fillId="8" borderId="5" xfId="47" applyFont="1" applyFill="1" applyBorder="1" applyAlignment="1">
      <alignment horizontal="left" vertical="center" wrapText="1"/>
    </xf>
    <xf numFmtId="165" fontId="0" fillId="0" borderId="7" xfId="0" applyNumberFormat="1" applyFont="1" applyBorder="1" applyAlignment="1">
      <alignment horizontal="center" vertical="center"/>
    </xf>
    <xf numFmtId="165" fontId="0" fillId="0" borderId="12" xfId="0" applyNumberFormat="1" applyFont="1" applyBorder="1" applyAlignment="1">
      <alignment horizontal="center" vertical="center"/>
    </xf>
    <xf numFmtId="165" fontId="56" fillId="0" borderId="7" xfId="0" applyNumberFormat="1" applyFont="1" applyBorder="1" applyAlignment="1">
      <alignment horizontal="center" vertical="center"/>
    </xf>
    <xf numFmtId="165" fontId="56" fillId="0" borderId="12" xfId="0" applyNumberFormat="1" applyFont="1" applyBorder="1" applyAlignment="1">
      <alignment horizontal="center" vertical="center"/>
    </xf>
    <xf numFmtId="0" fontId="7" fillId="8" borderId="23" xfId="797" applyFont="1" applyFill="1" applyBorder="1" applyAlignment="1">
      <alignment horizontal="center" vertical="center" wrapText="1"/>
    </xf>
    <xf numFmtId="0" fontId="7" fillId="8" borderId="25" xfId="797" applyFont="1" applyFill="1" applyBorder="1" applyAlignment="1">
      <alignment horizontal="center" vertical="center" wrapText="1"/>
    </xf>
    <xf numFmtId="0" fontId="7" fillId="8" borderId="7" xfId="797" applyFont="1" applyFill="1" applyBorder="1" applyAlignment="1">
      <alignment horizontal="center" vertical="center" wrapText="1"/>
    </xf>
    <xf numFmtId="0" fontId="7" fillId="8" borderId="12" xfId="797" applyFont="1" applyFill="1" applyBorder="1" applyAlignment="1">
      <alignment horizontal="center" vertical="center" wrapText="1"/>
    </xf>
    <xf numFmtId="165" fontId="0" fillId="0" borderId="7" xfId="0" applyNumberFormat="1" applyBorder="1" applyAlignment="1">
      <alignment horizontal="center" vertical="center"/>
    </xf>
    <xf numFmtId="165" fontId="0" fillId="0" borderId="12" xfId="0" applyNumberFormat="1" applyBorder="1" applyAlignment="1">
      <alignment horizontal="center" vertical="center"/>
    </xf>
    <xf numFmtId="10" fontId="49" fillId="18" borderId="23" xfId="892" applyNumberFormat="1" applyFont="1" applyFill="1" applyBorder="1" applyAlignment="1">
      <alignment horizontal="center" vertical="center"/>
    </xf>
    <xf numFmtId="10" fontId="49" fillId="18" borderId="25" xfId="892" applyNumberFormat="1" applyFont="1" applyFill="1" applyBorder="1" applyAlignment="1">
      <alignment horizontal="center" vertical="center"/>
    </xf>
    <xf numFmtId="165" fontId="0" fillId="0" borderId="0" xfId="0" applyNumberFormat="1" applyBorder="1" applyAlignment="1">
      <alignment horizontal="center" vertical="center"/>
    </xf>
    <xf numFmtId="165" fontId="49" fillId="0" borderId="1" xfId="0" applyNumberFormat="1" applyFont="1" applyBorder="1" applyAlignment="1">
      <alignment horizontal="center"/>
    </xf>
    <xf numFmtId="10" fontId="49" fillId="0" borderId="24" xfId="892" applyNumberFormat="1" applyFont="1" applyFill="1" applyBorder="1" applyAlignment="1">
      <alignment horizontal="center" vertical="center"/>
    </xf>
    <xf numFmtId="165" fontId="49" fillId="0" borderId="7" xfId="0" applyNumberFormat="1" applyFont="1" applyBorder="1" applyAlignment="1">
      <alignment horizontal="center"/>
    </xf>
    <xf numFmtId="165" fontId="49" fillId="0" borderId="0" xfId="0" applyNumberFormat="1" applyFont="1" applyBorder="1" applyAlignment="1">
      <alignment horizontal="center"/>
    </xf>
    <xf numFmtId="10" fontId="37" fillId="18" borderId="23" xfId="892" applyNumberFormat="1" applyFont="1" applyFill="1" applyBorder="1" applyAlignment="1">
      <alignment horizontal="center" vertical="center"/>
    </xf>
    <xf numFmtId="10" fontId="37" fillId="18" borderId="25" xfId="892" applyNumberFormat="1" applyFont="1" applyFill="1" applyBorder="1" applyAlignment="1">
      <alignment horizontal="center" vertical="center"/>
    </xf>
    <xf numFmtId="0" fontId="3" fillId="5" borderId="23" xfId="0" applyFont="1" applyFill="1" applyBorder="1" applyAlignment="1">
      <alignment horizontal="center" vertical="center" wrapText="1"/>
    </xf>
    <xf numFmtId="0" fontId="3" fillId="5" borderId="24" xfId="0" applyFont="1" applyFill="1" applyBorder="1" applyAlignment="1">
      <alignment horizontal="center" vertical="center" wrapText="1"/>
    </xf>
    <xf numFmtId="0" fontId="7" fillId="8" borderId="2" xfId="799" applyFont="1" applyFill="1" applyBorder="1" applyAlignment="1">
      <alignment horizontal="center" vertical="center" wrapText="1"/>
    </xf>
    <xf numFmtId="0" fontId="7" fillId="8" borderId="5" xfId="799" applyFont="1" applyFill="1" applyBorder="1" applyAlignment="1">
      <alignment horizontal="center" vertical="center" wrapText="1"/>
    </xf>
    <xf numFmtId="0" fontId="7" fillId="8" borderId="16" xfId="799" applyFont="1" applyFill="1" applyBorder="1" applyAlignment="1">
      <alignment horizontal="center" vertical="center" wrapText="1"/>
    </xf>
    <xf numFmtId="165" fontId="49" fillId="0" borderId="12" xfId="0" applyNumberFormat="1" applyFont="1" applyBorder="1" applyAlignment="1">
      <alignment horizontal="center"/>
    </xf>
    <xf numFmtId="10" fontId="49" fillId="0" borderId="1" xfId="892" applyNumberFormat="1" applyFont="1" applyFill="1" applyBorder="1" applyAlignment="1">
      <alignment horizontal="center" vertical="center"/>
    </xf>
    <xf numFmtId="165" fontId="0" fillId="0" borderId="2" xfId="0" applyNumberFormat="1" applyBorder="1" applyAlignment="1">
      <alignment horizontal="center"/>
    </xf>
    <xf numFmtId="165" fontId="0" fillId="0" borderId="16" xfId="0" applyNumberFormat="1" applyBorder="1" applyAlignment="1">
      <alignment horizontal="center"/>
    </xf>
    <xf numFmtId="165" fontId="0" fillId="0" borderId="5" xfId="0" applyNumberFormat="1" applyBorder="1" applyAlignment="1">
      <alignment horizontal="center"/>
    </xf>
    <xf numFmtId="0" fontId="7" fillId="8" borderId="13" xfId="805" applyFont="1" applyFill="1" applyBorder="1" applyAlignment="1">
      <alignment horizontal="center" vertical="center" wrapText="1"/>
    </xf>
    <xf numFmtId="0" fontId="7" fillId="8" borderId="14" xfId="805" applyFont="1" applyFill="1" applyBorder="1" applyAlignment="1">
      <alignment horizontal="center" vertical="center" wrapText="1"/>
    </xf>
    <xf numFmtId="0" fontId="7" fillId="8" borderId="13" xfId="803" applyFont="1" applyFill="1" applyBorder="1" applyAlignment="1">
      <alignment horizontal="center" vertical="center" wrapText="1"/>
    </xf>
    <xf numFmtId="0" fontId="7" fillId="8" borderId="14" xfId="803" applyFont="1" applyFill="1" applyBorder="1" applyAlignment="1">
      <alignment horizontal="center" vertical="center" wrapText="1"/>
    </xf>
    <xf numFmtId="0" fontId="7" fillId="8" borderId="2" xfId="805" applyFont="1" applyFill="1" applyBorder="1" applyAlignment="1">
      <alignment horizontal="center" vertical="center" wrapText="1"/>
    </xf>
    <xf numFmtId="0" fontId="7" fillId="8" borderId="5" xfId="805" applyFont="1" applyFill="1" applyBorder="1" applyAlignment="1">
      <alignment horizontal="center" vertical="center" wrapText="1"/>
    </xf>
    <xf numFmtId="0" fontId="21" fillId="2" borderId="0" xfId="815" applyFont="1" applyFill="1" applyBorder="1" applyAlignment="1">
      <alignment horizontal="center"/>
    </xf>
    <xf numFmtId="0" fontId="13" fillId="2" borderId="0" xfId="815" applyFont="1" applyFill="1" applyBorder="1" applyAlignment="1">
      <alignment horizontal="center"/>
    </xf>
    <xf numFmtId="175" fontId="0" fillId="0" borderId="7" xfId="0" applyNumberFormat="1" applyBorder="1" applyAlignment="1">
      <alignment horizontal="center"/>
    </xf>
    <xf numFmtId="175" fontId="0" fillId="0" borderId="12" xfId="0" applyNumberFormat="1" applyBorder="1" applyAlignment="1">
      <alignment horizontal="center"/>
    </xf>
    <xf numFmtId="10" fontId="49" fillId="18" borderId="24" xfId="892" applyNumberFormat="1" applyFont="1" applyFill="1" applyBorder="1" applyAlignment="1">
      <alignment horizontal="center" vertical="center"/>
    </xf>
    <xf numFmtId="0" fontId="7" fillId="8" borderId="2" xfId="43" applyFont="1" applyFill="1" applyBorder="1" applyAlignment="1">
      <alignment horizontal="left" vertical="center" wrapText="1"/>
    </xf>
    <xf numFmtId="0" fontId="7" fillId="8" borderId="16" xfId="43" applyFont="1" applyFill="1" applyBorder="1" applyAlignment="1">
      <alignment horizontal="left" vertical="center" wrapText="1"/>
    </xf>
    <xf numFmtId="0" fontId="7" fillId="8" borderId="5" xfId="43" applyFont="1" applyFill="1" applyBorder="1" applyAlignment="1">
      <alignment horizontal="left" vertical="center" wrapText="1"/>
    </xf>
    <xf numFmtId="165" fontId="49" fillId="0" borderId="7" xfId="0" applyNumberFormat="1" applyFont="1" applyBorder="1" applyAlignment="1">
      <alignment horizontal="center" vertical="center"/>
    </xf>
    <xf numFmtId="165" fontId="49" fillId="0" borderId="0" xfId="0" applyNumberFormat="1" applyFont="1" applyBorder="1" applyAlignment="1">
      <alignment horizontal="center" vertical="center"/>
    </xf>
    <xf numFmtId="165" fontId="49" fillId="0" borderId="12" xfId="0" applyNumberFormat="1" applyFont="1" applyBorder="1" applyAlignment="1">
      <alignment horizontal="center" vertical="center"/>
    </xf>
    <xf numFmtId="0" fontId="9" fillId="8" borderId="13" xfId="45" applyFont="1" applyFill="1" applyBorder="1" applyAlignment="1">
      <alignment horizontal="center" vertical="center" wrapText="1"/>
    </xf>
    <xf numFmtId="0" fontId="9" fillId="8" borderId="14" xfId="45" applyFont="1" applyFill="1" applyBorder="1" applyAlignment="1">
      <alignment horizontal="center" vertical="center" wrapText="1"/>
    </xf>
    <xf numFmtId="0" fontId="9" fillId="8" borderId="15" xfId="45" applyFont="1" applyFill="1" applyBorder="1" applyAlignment="1">
      <alignment horizontal="center" vertical="center" wrapText="1"/>
    </xf>
    <xf numFmtId="0" fontId="7" fillId="8" borderId="13" xfId="45" applyFont="1" applyFill="1" applyBorder="1" applyAlignment="1">
      <alignment horizontal="center" vertical="center" wrapText="1"/>
    </xf>
    <xf numFmtId="0" fontId="7" fillId="8" borderId="14" xfId="45" applyFont="1" applyFill="1" applyBorder="1" applyAlignment="1">
      <alignment horizontal="center" vertical="center" wrapText="1"/>
    </xf>
    <xf numFmtId="0" fontId="7" fillId="8" borderId="14" xfId="47" applyFont="1" applyFill="1" applyBorder="1" applyAlignment="1">
      <alignment horizontal="center" vertical="center" wrapText="1"/>
    </xf>
    <xf numFmtId="0" fontId="7" fillId="8" borderId="15" xfId="47" applyFont="1" applyFill="1" applyBorder="1" applyAlignment="1">
      <alignment horizontal="center" vertical="center" wrapText="1"/>
    </xf>
    <xf numFmtId="165" fontId="56" fillId="0" borderId="0" xfId="0" applyNumberFormat="1" applyFont="1" applyBorder="1" applyAlignment="1">
      <alignment horizontal="center" vertical="center"/>
    </xf>
    <xf numFmtId="10" fontId="49" fillId="29" borderId="23" xfId="892" applyNumberFormat="1" applyFont="1" applyFill="1" applyBorder="1" applyAlignment="1">
      <alignment horizontal="center" vertical="center"/>
    </xf>
    <xf numFmtId="10" fontId="49" fillId="29" borderId="24" xfId="892" applyNumberFormat="1" applyFont="1" applyFill="1" applyBorder="1" applyAlignment="1">
      <alignment horizontal="center" vertical="center"/>
    </xf>
    <xf numFmtId="0" fontId="7" fillId="8" borderId="15" xfId="43" applyFont="1" applyFill="1" applyBorder="1" applyAlignment="1">
      <alignment horizontal="left" vertical="center" wrapText="1"/>
    </xf>
    <xf numFmtId="0" fontId="7" fillId="8" borderId="13" xfId="43" applyFont="1" applyFill="1" applyBorder="1" applyAlignment="1">
      <alignment horizontal="left" vertical="center" wrapText="1"/>
    </xf>
    <xf numFmtId="0" fontId="7" fillId="8" borderId="14" xfId="43" applyFont="1" applyFill="1" applyBorder="1" applyAlignment="1">
      <alignment horizontal="left" vertical="center" wrapText="1"/>
    </xf>
    <xf numFmtId="0" fontId="7" fillId="8" borderId="13" xfId="47" applyFont="1" applyFill="1" applyBorder="1" applyAlignment="1">
      <alignment horizontal="left" vertical="center" wrapText="1"/>
    </xf>
    <xf numFmtId="0" fontId="9" fillId="8" borderId="14" xfId="47" applyFont="1" applyFill="1" applyBorder="1" applyAlignment="1">
      <alignment horizontal="left" vertical="center" wrapText="1"/>
    </xf>
    <xf numFmtId="165" fontId="0" fillId="0" borderId="0" xfId="0" applyNumberFormat="1" applyFont="1" applyBorder="1" applyAlignment="1">
      <alignment horizontal="center" vertical="center"/>
    </xf>
    <xf numFmtId="0" fontId="12" fillId="2" borderId="11" xfId="0" applyFont="1" applyFill="1" applyBorder="1" applyAlignment="1">
      <alignment horizontal="center"/>
    </xf>
    <xf numFmtId="0" fontId="12" fillId="2" borderId="41" xfId="0" applyFont="1" applyFill="1" applyBorder="1" applyAlignment="1">
      <alignment horizontal="center"/>
    </xf>
    <xf numFmtId="0" fontId="12" fillId="22" borderId="38" xfId="0" applyFont="1" applyFill="1" applyBorder="1" applyAlignment="1">
      <alignment horizontal="center"/>
    </xf>
    <xf numFmtId="0" fontId="12" fillId="22" borderId="11" xfId="0" applyFont="1" applyFill="1" applyBorder="1" applyAlignment="1">
      <alignment horizontal="center"/>
    </xf>
    <xf numFmtId="0" fontId="12" fillId="22" borderId="41" xfId="0" applyFont="1" applyFill="1" applyBorder="1" applyAlignment="1">
      <alignment horizontal="center"/>
    </xf>
    <xf numFmtId="165" fontId="1" fillId="0" borderId="7" xfId="0" applyNumberFormat="1" applyFont="1" applyFill="1" applyBorder="1" applyAlignment="1">
      <alignment horizontal="center" vertical="center"/>
    </xf>
    <xf numFmtId="165" fontId="1" fillId="0" borderId="12" xfId="0" applyNumberFormat="1" applyFont="1" applyFill="1" applyBorder="1" applyAlignment="1">
      <alignment horizontal="center" vertical="center"/>
    </xf>
    <xf numFmtId="10" fontId="49" fillId="0" borderId="18" xfId="892" applyNumberFormat="1" applyFont="1" applyFill="1" applyBorder="1" applyAlignment="1">
      <alignment horizontal="center" vertical="center"/>
    </xf>
    <xf numFmtId="10" fontId="49" fillId="0" borderId="22" xfId="892" applyNumberFormat="1" applyFont="1" applyFill="1" applyBorder="1" applyAlignment="1">
      <alignment horizontal="center" vertical="center"/>
    </xf>
    <xf numFmtId="0" fontId="12" fillId="2" borderId="1" xfId="0" applyFont="1" applyFill="1" applyBorder="1" applyAlignment="1">
      <alignment horizontal="center"/>
    </xf>
    <xf numFmtId="10" fontId="49" fillId="18" borderId="18" xfId="892" applyNumberFormat="1" applyFont="1" applyFill="1" applyBorder="1" applyAlignment="1">
      <alignment horizontal="center" vertical="center"/>
    </xf>
    <xf numFmtId="10" fontId="49" fillId="18" borderId="22" xfId="892" applyNumberFormat="1" applyFont="1" applyFill="1" applyBorder="1" applyAlignment="1">
      <alignment horizontal="center" vertical="center"/>
    </xf>
    <xf numFmtId="10" fontId="49" fillId="18" borderId="71" xfId="892" applyNumberFormat="1" applyFont="1" applyFill="1" applyBorder="1" applyAlignment="1">
      <alignment horizontal="center" vertical="center"/>
    </xf>
    <xf numFmtId="0" fontId="12" fillId="2" borderId="38" xfId="0" applyFont="1" applyFill="1" applyBorder="1" applyAlignment="1">
      <alignment horizontal="center"/>
    </xf>
    <xf numFmtId="0" fontId="3" fillId="7" borderId="13" xfId="0" applyFont="1" applyFill="1" applyBorder="1" applyAlignment="1">
      <alignment horizontal="center" vertical="center" wrapText="1"/>
    </xf>
    <xf numFmtId="0" fontId="3" fillId="7" borderId="15" xfId="0" applyFont="1" applyFill="1" applyBorder="1" applyAlignment="1">
      <alignment horizontal="center" vertical="center" wrapText="1"/>
    </xf>
    <xf numFmtId="0" fontId="3" fillId="7" borderId="14" xfId="0" applyFont="1" applyFill="1" applyBorder="1" applyAlignment="1">
      <alignment horizontal="center" vertical="center" wrapText="1"/>
    </xf>
    <xf numFmtId="0" fontId="7" fillId="8" borderId="13" xfId="886" applyFont="1" applyFill="1" applyBorder="1" applyAlignment="1">
      <alignment horizontal="left" vertical="center" wrapText="1"/>
    </xf>
    <xf numFmtId="0" fontId="7" fillId="8" borderId="15" xfId="886" applyFont="1" applyFill="1" applyBorder="1" applyAlignment="1">
      <alignment horizontal="left" vertical="center" wrapText="1"/>
    </xf>
    <xf numFmtId="0" fontId="7" fillId="8" borderId="14" xfId="886" applyFont="1" applyFill="1" applyBorder="1" applyAlignment="1">
      <alignment horizontal="left" vertical="center" wrapText="1"/>
    </xf>
    <xf numFmtId="0" fontId="8" fillId="8" borderId="2" xfId="799" applyFont="1" applyFill="1" applyBorder="1" applyAlignment="1">
      <alignment horizontal="center" vertical="center" wrapText="1"/>
    </xf>
    <xf numFmtId="0" fontId="8" fillId="8" borderId="5" xfId="799" applyFont="1" applyFill="1" applyBorder="1" applyAlignment="1">
      <alignment horizontal="center" vertical="center" wrapText="1"/>
    </xf>
    <xf numFmtId="0" fontId="3" fillId="4" borderId="13" xfId="0" applyFont="1" applyFill="1" applyBorder="1" applyAlignment="1">
      <alignment horizontal="center" vertical="center"/>
    </xf>
    <xf numFmtId="0" fontId="3" fillId="4" borderId="15" xfId="0" applyFont="1" applyFill="1" applyBorder="1" applyAlignment="1">
      <alignment horizontal="center" vertical="center"/>
    </xf>
    <xf numFmtId="0" fontId="3" fillId="4" borderId="14" xfId="0" applyFont="1" applyFill="1" applyBorder="1" applyAlignment="1">
      <alignment horizontal="center" vertical="center"/>
    </xf>
    <xf numFmtId="0" fontId="3" fillId="4" borderId="1" xfId="0" applyFont="1" applyFill="1" applyBorder="1" applyAlignment="1">
      <alignment horizontal="center" vertical="center" wrapText="1"/>
    </xf>
    <xf numFmtId="0" fontId="18" fillId="6" borderId="2" xfId="0" applyFont="1" applyFill="1" applyBorder="1" applyAlignment="1">
      <alignment horizontal="center" vertical="center" textRotation="90" wrapText="1"/>
    </xf>
    <xf numFmtId="0" fontId="18" fillId="6" borderId="16" xfId="0" applyFont="1" applyFill="1" applyBorder="1" applyAlignment="1">
      <alignment horizontal="center" vertical="center" textRotation="90" wrapText="1"/>
    </xf>
    <xf numFmtId="0" fontId="18" fillId="6" borderId="5" xfId="0" applyFont="1" applyFill="1" applyBorder="1" applyAlignment="1">
      <alignment horizontal="center" vertical="center" textRotation="90" wrapText="1"/>
    </xf>
    <xf numFmtId="0" fontId="7" fillId="8" borderId="13" xfId="49" applyFont="1" applyFill="1" applyBorder="1" applyAlignment="1">
      <alignment horizontal="left" vertical="center" wrapText="1" shrinkToFit="1"/>
    </xf>
    <xf numFmtId="0" fontId="9" fillId="8" borderId="14" xfId="49" applyFont="1" applyFill="1" applyBorder="1" applyAlignment="1">
      <alignment horizontal="left" vertical="center" wrapText="1" shrinkToFit="1"/>
    </xf>
    <xf numFmtId="0" fontId="7" fillId="8" borderId="13" xfId="49" applyFont="1" applyFill="1" applyBorder="1" applyAlignment="1">
      <alignment horizontal="left" vertical="center" wrapText="1"/>
    </xf>
    <xf numFmtId="0" fontId="9" fillId="8" borderId="14" xfId="49" applyFont="1" applyFill="1" applyBorder="1" applyAlignment="1">
      <alignment horizontal="left" vertical="center" wrapText="1"/>
    </xf>
    <xf numFmtId="0" fontId="7" fillId="8" borderId="14" xfId="49" applyFont="1" applyFill="1" applyBorder="1" applyAlignment="1">
      <alignment horizontal="left" vertical="center" wrapText="1"/>
    </xf>
    <xf numFmtId="10" fontId="49" fillId="18" borderId="1" xfId="892" applyNumberFormat="1" applyFont="1" applyFill="1" applyBorder="1" applyAlignment="1">
      <alignment horizontal="center" vertical="center"/>
    </xf>
    <xf numFmtId="10" fontId="37" fillId="29" borderId="1" xfId="892" applyNumberFormat="1" applyFont="1" applyFill="1" applyBorder="1" applyAlignment="1">
      <alignment horizontal="center" vertical="center"/>
    </xf>
    <xf numFmtId="0" fontId="7" fillId="8" borderId="15" xfId="805" applyFont="1" applyFill="1" applyBorder="1" applyAlignment="1">
      <alignment horizontal="center" vertical="center" wrapText="1"/>
    </xf>
    <xf numFmtId="0" fontId="9" fillId="8" borderId="13" xfId="801" applyFont="1" applyFill="1" applyBorder="1" applyAlignment="1">
      <alignment horizontal="center" vertical="center" wrapText="1"/>
    </xf>
    <xf numFmtId="0" fontId="9" fillId="8" borderId="14" xfId="801" applyFont="1" applyFill="1" applyBorder="1" applyAlignment="1">
      <alignment horizontal="center" vertical="center" wrapText="1"/>
    </xf>
    <xf numFmtId="0" fontId="3" fillId="6" borderId="23" xfId="0" applyFont="1" applyFill="1" applyBorder="1" applyAlignment="1">
      <alignment horizontal="center" vertical="center" textRotation="90" wrapText="1"/>
    </xf>
    <xf numFmtId="0" fontId="3" fillId="6" borderId="24" xfId="0" applyFont="1" applyFill="1" applyBorder="1" applyAlignment="1">
      <alignment horizontal="center" vertical="center" textRotation="90" wrapText="1"/>
    </xf>
    <xf numFmtId="0" fontId="3" fillId="6" borderId="25" xfId="0" applyFont="1" applyFill="1" applyBorder="1" applyAlignment="1">
      <alignment horizontal="center" vertical="center" textRotation="90" wrapText="1"/>
    </xf>
    <xf numFmtId="0" fontId="7" fillId="8" borderId="1" xfId="797" applyFont="1" applyFill="1" applyBorder="1" applyAlignment="1">
      <alignment horizontal="center" vertical="center" wrapText="1"/>
    </xf>
    <xf numFmtId="0" fontId="19" fillId="6" borderId="1" xfId="0" applyFont="1" applyFill="1" applyBorder="1" applyAlignment="1">
      <alignment horizontal="center" vertical="center" textRotation="90"/>
    </xf>
    <xf numFmtId="0" fontId="7" fillId="8" borderId="0" xfId="797" applyFont="1" applyFill="1" applyBorder="1" applyAlignment="1">
      <alignment horizontal="center" vertical="center" wrapText="1"/>
    </xf>
    <xf numFmtId="0" fontId="9" fillId="8" borderId="15" xfId="47" applyFont="1" applyFill="1" applyBorder="1" applyAlignment="1">
      <alignment horizontal="center" vertical="center" wrapText="1"/>
    </xf>
    <xf numFmtId="0" fontId="9" fillId="8" borderId="13" xfId="47" applyFont="1" applyFill="1" applyBorder="1" applyAlignment="1">
      <alignment horizontal="center" vertical="center" wrapText="1"/>
    </xf>
    <xf numFmtId="175" fontId="0" fillId="0" borderId="12" xfId="0" applyNumberFormat="1" applyBorder="1"/>
    <xf numFmtId="0" fontId="19" fillId="6" borderId="23" xfId="0" applyFont="1" applyFill="1" applyBorder="1" applyAlignment="1">
      <alignment horizontal="center" vertical="center" textRotation="90"/>
    </xf>
    <xf numFmtId="0" fontId="19" fillId="6" borderId="24" xfId="0" applyFont="1" applyFill="1" applyBorder="1" applyAlignment="1">
      <alignment horizontal="center" vertical="center" textRotation="90"/>
    </xf>
    <xf numFmtId="0" fontId="19" fillId="6" borderId="25" xfId="0" applyFont="1" applyFill="1" applyBorder="1" applyAlignment="1">
      <alignment horizontal="center" vertical="center" textRotation="90"/>
    </xf>
    <xf numFmtId="165" fontId="56" fillId="0" borderId="2" xfId="0" applyNumberFormat="1" applyFont="1" applyBorder="1" applyAlignment="1">
      <alignment horizontal="center"/>
    </xf>
    <xf numFmtId="165" fontId="56" fillId="0" borderId="16" xfId="0" applyNumberFormat="1" applyFont="1" applyBorder="1" applyAlignment="1">
      <alignment horizontal="center"/>
    </xf>
    <xf numFmtId="165" fontId="56" fillId="0" borderId="5" xfId="0" applyNumberFormat="1" applyFont="1" applyBorder="1" applyAlignment="1">
      <alignment horizontal="center"/>
    </xf>
    <xf numFmtId="0" fontId="7" fillId="8" borderId="13" xfId="807" applyFont="1" applyFill="1" applyBorder="1" applyAlignment="1">
      <alignment horizontal="left" vertical="center" wrapText="1"/>
    </xf>
    <xf numFmtId="0" fontId="9" fillId="8" borderId="14" xfId="807" applyFont="1" applyFill="1" applyBorder="1" applyAlignment="1">
      <alignment horizontal="left" vertical="center" wrapText="1"/>
    </xf>
    <xf numFmtId="0" fontId="3" fillId="9" borderId="23" xfId="0" applyFont="1" applyFill="1" applyBorder="1" applyAlignment="1">
      <alignment horizontal="center" vertical="center" wrapText="1"/>
    </xf>
    <xf numFmtId="0" fontId="3" fillId="9" borderId="24" xfId="0" applyFont="1" applyFill="1" applyBorder="1" applyAlignment="1">
      <alignment horizontal="center" vertical="center" wrapText="1"/>
    </xf>
    <xf numFmtId="175" fontId="56" fillId="0" borderId="7" xfId="0" applyNumberFormat="1" applyFont="1" applyBorder="1" applyAlignment="1">
      <alignment horizontal="center"/>
    </xf>
    <xf numFmtId="175" fontId="56" fillId="0" borderId="12" xfId="0" applyNumberFormat="1" applyFont="1" applyBorder="1" applyAlignment="1">
      <alignment horizontal="center"/>
    </xf>
    <xf numFmtId="10" fontId="0" fillId="0" borderId="23" xfId="0" applyNumberFormat="1" applyFill="1" applyBorder="1" applyAlignment="1">
      <alignment horizontal="center"/>
    </xf>
    <xf numFmtId="10" fontId="0" fillId="0" borderId="25" xfId="0" applyNumberFormat="1" applyFill="1" applyBorder="1" applyAlignment="1">
      <alignment horizontal="center"/>
    </xf>
    <xf numFmtId="0" fontId="7" fillId="8" borderId="13" xfId="843" applyFont="1" applyFill="1" applyBorder="1" applyAlignment="1">
      <alignment horizontal="center" vertical="center" wrapText="1"/>
    </xf>
    <xf numFmtId="0" fontId="7" fillId="8" borderId="14" xfId="843" applyFont="1" applyFill="1" applyBorder="1" applyAlignment="1">
      <alignment horizontal="center" vertical="center" wrapText="1"/>
    </xf>
    <xf numFmtId="10" fontId="0" fillId="18" borderId="23" xfId="0" applyNumberFormat="1" applyFill="1" applyBorder="1" applyAlignment="1">
      <alignment horizontal="center"/>
    </xf>
    <xf numFmtId="10" fontId="0" fillId="18" borderId="25" xfId="0" applyNumberFormat="1" applyFill="1" applyBorder="1" applyAlignment="1">
      <alignment horizontal="center"/>
    </xf>
    <xf numFmtId="0" fontId="7" fillId="8" borderId="2" xfId="843" applyFont="1" applyFill="1" applyBorder="1" applyAlignment="1">
      <alignment horizontal="center" vertical="center" wrapText="1"/>
    </xf>
    <xf numFmtId="0" fontId="7" fillId="8" borderId="5" xfId="843" applyFont="1" applyFill="1" applyBorder="1" applyAlignment="1">
      <alignment horizontal="center" vertical="center" wrapText="1"/>
    </xf>
    <xf numFmtId="175" fontId="0" fillId="0" borderId="13" xfId="0" applyNumberFormat="1" applyBorder="1" applyAlignment="1">
      <alignment horizontal="center"/>
    </xf>
    <xf numFmtId="175" fontId="0" fillId="0" borderId="14" xfId="0" applyNumberFormat="1" applyBorder="1" applyAlignment="1">
      <alignment horizontal="center"/>
    </xf>
    <xf numFmtId="0" fontId="7" fillId="8" borderId="15" xfId="843" applyFont="1" applyFill="1" applyBorder="1" applyAlignment="1">
      <alignment horizontal="center" vertical="center" wrapText="1"/>
    </xf>
    <xf numFmtId="0" fontId="7" fillId="8" borderId="2" xfId="809" applyFont="1" applyFill="1" applyBorder="1" applyAlignment="1">
      <alignment horizontal="center" vertical="center" wrapText="1"/>
    </xf>
    <xf numFmtId="0" fontId="9" fillId="8" borderId="5" xfId="809" applyFont="1" applyFill="1" applyBorder="1" applyAlignment="1">
      <alignment horizontal="center" vertical="center" wrapText="1"/>
    </xf>
    <xf numFmtId="10" fontId="49" fillId="18" borderId="23" xfId="0" applyNumberFormat="1" applyFont="1" applyFill="1" applyBorder="1" applyAlignment="1">
      <alignment horizontal="center"/>
    </xf>
    <xf numFmtId="10" fontId="49" fillId="18" borderId="25" xfId="0" applyNumberFormat="1" applyFont="1" applyFill="1" applyBorder="1" applyAlignment="1">
      <alignment horizontal="center"/>
    </xf>
    <xf numFmtId="175" fontId="0" fillId="0" borderId="0" xfId="0" applyNumberFormat="1" applyBorder="1" applyAlignment="1">
      <alignment horizontal="center"/>
    </xf>
    <xf numFmtId="175" fontId="0" fillId="0" borderId="11" xfId="0" applyNumberFormat="1" applyFill="1" applyBorder="1" applyAlignment="1">
      <alignment horizontal="center"/>
    </xf>
    <xf numFmtId="175" fontId="0" fillId="0" borderId="12" xfId="0" applyNumberFormat="1" applyFill="1" applyBorder="1" applyAlignment="1">
      <alignment horizontal="center"/>
    </xf>
    <xf numFmtId="10" fontId="0" fillId="18" borderId="24" xfId="0" applyNumberFormat="1" applyFill="1" applyBorder="1" applyAlignment="1">
      <alignment horizontal="center"/>
    </xf>
    <xf numFmtId="10" fontId="37" fillId="18" borderId="23" xfId="0" applyNumberFormat="1" applyFont="1" applyFill="1" applyBorder="1" applyAlignment="1">
      <alignment horizontal="center"/>
    </xf>
    <xf numFmtId="10" fontId="37" fillId="18" borderId="25" xfId="0" applyNumberFormat="1" applyFont="1" applyFill="1" applyBorder="1" applyAlignment="1">
      <alignment horizontal="center"/>
    </xf>
    <xf numFmtId="9" fontId="37" fillId="18" borderId="23" xfId="891" applyFont="1" applyFill="1" applyBorder="1" applyAlignment="1">
      <alignment horizontal="center"/>
    </xf>
    <xf numFmtId="9" fontId="37" fillId="18" borderId="25" xfId="891" applyFont="1" applyFill="1" applyBorder="1" applyAlignment="1">
      <alignment horizontal="center"/>
    </xf>
    <xf numFmtId="175" fontId="0" fillId="0" borderId="7" xfId="0" applyNumberFormat="1" applyFill="1" applyBorder="1" applyAlignment="1">
      <alignment horizontal="center"/>
    </xf>
    <xf numFmtId="0" fontId="7" fillId="8" borderId="13" xfId="833" applyFont="1" applyFill="1" applyBorder="1" applyAlignment="1">
      <alignment horizontal="center" vertical="center" wrapText="1"/>
    </xf>
    <xf numFmtId="0" fontId="7" fillId="8" borderId="14" xfId="833" applyFont="1" applyFill="1" applyBorder="1" applyAlignment="1">
      <alignment horizontal="center" vertical="center" wrapText="1"/>
    </xf>
    <xf numFmtId="0" fontId="7" fillId="8" borderId="13" xfId="839" applyFont="1" applyFill="1" applyBorder="1" applyAlignment="1">
      <alignment horizontal="center" vertical="center" wrapText="1"/>
    </xf>
    <xf numFmtId="0" fontId="7" fillId="8" borderId="14" xfId="839" applyFont="1" applyFill="1" applyBorder="1" applyAlignment="1">
      <alignment horizontal="center" vertical="center" wrapText="1"/>
    </xf>
    <xf numFmtId="0" fontId="7" fillId="8" borderId="13" xfId="837" applyFont="1" applyFill="1" applyBorder="1" applyAlignment="1">
      <alignment horizontal="center" vertical="center" wrapText="1"/>
    </xf>
    <xf numFmtId="0" fontId="7" fillId="8" borderId="14" xfId="837" applyFont="1" applyFill="1" applyBorder="1" applyAlignment="1">
      <alignment horizontal="center" vertical="center" wrapText="1"/>
    </xf>
    <xf numFmtId="175" fontId="49" fillId="0" borderId="13" xfId="0" applyNumberFormat="1" applyFont="1" applyBorder="1" applyAlignment="1">
      <alignment horizontal="center"/>
    </xf>
    <xf numFmtId="175" fontId="49" fillId="0" borderId="14" xfId="0" applyNumberFormat="1" applyFont="1" applyBorder="1" applyAlignment="1">
      <alignment horizontal="center"/>
    </xf>
    <xf numFmtId="0" fontId="3" fillId="5" borderId="7" xfId="0" applyFont="1" applyFill="1" applyBorder="1" applyAlignment="1">
      <alignment horizontal="center" vertical="center" wrapText="1"/>
    </xf>
    <xf numFmtId="0" fontId="3" fillId="5" borderId="0"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7" fillId="8" borderId="2" xfId="837" applyFont="1" applyFill="1" applyBorder="1" applyAlignment="1">
      <alignment horizontal="center" vertical="center" wrapText="1"/>
    </xf>
    <xf numFmtId="0" fontId="7" fillId="8" borderId="5" xfId="837" applyFont="1" applyFill="1" applyBorder="1" applyAlignment="1">
      <alignment horizontal="center" vertical="center" wrapText="1"/>
    </xf>
    <xf numFmtId="0" fontId="3" fillId="7" borderId="23" xfId="0" applyFont="1" applyFill="1" applyBorder="1" applyAlignment="1">
      <alignment horizontal="center" vertical="center"/>
    </xf>
    <xf numFmtId="0" fontId="3" fillId="7" borderId="24" xfId="0" applyFont="1" applyFill="1" applyBorder="1" applyAlignment="1">
      <alignment horizontal="center" vertical="center"/>
    </xf>
    <xf numFmtId="0" fontId="7" fillId="8" borderId="13" xfId="831" applyFont="1" applyFill="1" applyBorder="1" applyAlignment="1">
      <alignment horizontal="center" vertical="center" wrapText="1"/>
    </xf>
    <xf numFmtId="0" fontId="7" fillId="8" borderId="14" xfId="831" applyFont="1" applyFill="1" applyBorder="1" applyAlignment="1">
      <alignment horizontal="center" vertical="center" wrapText="1"/>
    </xf>
    <xf numFmtId="0" fontId="20" fillId="2" borderId="13" xfId="815" applyFont="1" applyFill="1" applyBorder="1" applyAlignment="1">
      <alignment horizontal="center"/>
    </xf>
    <xf numFmtId="0" fontId="13" fillId="2" borderId="7" xfId="815" applyFont="1" applyFill="1" applyBorder="1" applyAlignment="1">
      <alignment horizontal="center"/>
    </xf>
    <xf numFmtId="0" fontId="13" fillId="2" borderId="23" xfId="815" applyFont="1" applyFill="1" applyBorder="1" applyAlignment="1">
      <alignment horizontal="center"/>
    </xf>
    <xf numFmtId="0" fontId="13" fillId="2" borderId="14" xfId="815" applyFont="1" applyFill="1" applyBorder="1" applyAlignment="1">
      <alignment horizontal="center"/>
    </xf>
    <xf numFmtId="0" fontId="13" fillId="2" borderId="12" xfId="815" applyFont="1" applyFill="1" applyBorder="1" applyAlignment="1">
      <alignment horizontal="center"/>
    </xf>
    <xf numFmtId="0" fontId="13" fillId="2" borderId="25" xfId="815" applyFont="1" applyFill="1" applyBorder="1" applyAlignment="1">
      <alignment horizontal="center"/>
    </xf>
    <xf numFmtId="0" fontId="7" fillId="8" borderId="2" xfId="813" applyFont="1" applyFill="1" applyBorder="1" applyAlignment="1">
      <alignment horizontal="center" vertical="center" wrapText="1"/>
    </xf>
    <xf numFmtId="0" fontId="7" fillId="8" borderId="5" xfId="813"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0"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3" fillId="4" borderId="38"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9" fillId="8" borderId="5" xfId="813" applyFont="1" applyFill="1" applyBorder="1" applyAlignment="1">
      <alignment horizontal="center" vertical="center" wrapText="1"/>
    </xf>
    <xf numFmtId="0" fontId="9" fillId="8" borderId="13" xfId="831" applyFont="1" applyFill="1" applyBorder="1" applyAlignment="1">
      <alignment horizontal="center" vertical="center" wrapText="1"/>
    </xf>
    <xf numFmtId="0" fontId="9" fillId="8" borderId="14" xfId="831" applyFont="1" applyFill="1" applyBorder="1" applyAlignment="1">
      <alignment horizontal="center" vertical="center" wrapText="1"/>
    </xf>
    <xf numFmtId="0" fontId="7" fillId="8" borderId="13" xfId="835" applyFont="1" applyFill="1" applyBorder="1" applyAlignment="1">
      <alignment horizontal="center" vertical="center" wrapText="1"/>
    </xf>
    <xf numFmtId="0" fontId="7" fillId="8" borderId="14" xfId="835" applyFont="1" applyFill="1" applyBorder="1" applyAlignment="1">
      <alignment horizontal="center" vertical="center" wrapText="1"/>
    </xf>
    <xf numFmtId="0" fontId="9" fillId="8" borderId="13" xfId="835" applyFont="1" applyFill="1" applyBorder="1" applyAlignment="1">
      <alignment horizontal="center" vertical="center" wrapText="1"/>
    </xf>
    <xf numFmtId="0" fontId="9" fillId="8" borderId="14" xfId="835" applyFont="1" applyFill="1" applyBorder="1" applyAlignment="1">
      <alignment horizontal="center" vertical="center" wrapText="1"/>
    </xf>
    <xf numFmtId="0" fontId="7" fillId="8" borderId="2" xfId="833" applyFont="1" applyFill="1" applyBorder="1" applyAlignment="1">
      <alignment horizontal="center" vertical="center" wrapText="1"/>
    </xf>
    <xf numFmtId="0" fontId="7" fillId="8" borderId="5" xfId="833" applyFont="1" applyFill="1" applyBorder="1" applyAlignment="1">
      <alignment horizontal="center" vertical="center" wrapText="1"/>
    </xf>
    <xf numFmtId="0" fontId="3" fillId="6" borderId="23" xfId="0" applyFont="1" applyFill="1" applyBorder="1" applyAlignment="1">
      <alignment horizontal="center" vertical="center" wrapText="1"/>
    </xf>
    <xf numFmtId="0" fontId="3" fillId="6" borderId="24" xfId="0" applyFont="1" applyFill="1" applyBorder="1" applyAlignment="1">
      <alignment horizontal="center" vertical="center" wrapText="1"/>
    </xf>
    <xf numFmtId="0" fontId="3" fillId="6" borderId="25" xfId="0" applyFont="1" applyFill="1" applyBorder="1" applyAlignment="1">
      <alignment horizontal="center" vertical="center" wrapText="1"/>
    </xf>
    <xf numFmtId="0" fontId="7" fillId="8" borderId="15" xfId="839" applyFont="1" applyFill="1" applyBorder="1" applyAlignment="1">
      <alignment horizontal="center" vertical="center" wrapText="1"/>
    </xf>
    <xf numFmtId="175" fontId="56" fillId="0" borderId="7" xfId="0" applyNumberFormat="1" applyFont="1" applyFill="1" applyBorder="1" applyAlignment="1">
      <alignment horizontal="center"/>
    </xf>
    <xf numFmtId="175" fontId="56" fillId="0" borderId="12" xfId="0" applyNumberFormat="1" applyFont="1" applyFill="1" applyBorder="1" applyAlignment="1">
      <alignment horizontal="center"/>
    </xf>
    <xf numFmtId="0" fontId="7" fillId="8" borderId="13" xfId="841" applyFont="1" applyFill="1" applyBorder="1" applyAlignment="1">
      <alignment horizontal="center" vertical="center" wrapText="1"/>
    </xf>
    <xf numFmtId="0" fontId="7" fillId="8" borderId="14" xfId="841" applyFont="1" applyFill="1" applyBorder="1" applyAlignment="1">
      <alignment horizontal="center" vertical="center" wrapText="1"/>
    </xf>
    <xf numFmtId="0" fontId="6" fillId="8" borderId="13" xfId="839" applyFont="1" applyFill="1" applyBorder="1" applyAlignment="1">
      <alignment horizontal="center" vertical="center" wrapText="1"/>
    </xf>
    <xf numFmtId="0" fontId="6" fillId="8" borderId="15" xfId="839" applyFont="1" applyFill="1" applyBorder="1" applyAlignment="1">
      <alignment horizontal="center" vertical="center" wrapText="1"/>
    </xf>
    <xf numFmtId="0" fontId="6" fillId="8" borderId="14" xfId="839" applyFont="1" applyFill="1" applyBorder="1" applyAlignment="1">
      <alignment horizontal="center" vertical="center" wrapText="1"/>
    </xf>
    <xf numFmtId="0" fontId="9" fillId="8" borderId="14" xfId="839" applyFont="1" applyFill="1" applyBorder="1" applyAlignment="1">
      <alignment horizontal="center" vertical="center" wrapText="1"/>
    </xf>
    <xf numFmtId="0" fontId="9" fillId="8" borderId="15" xfId="839" applyFont="1" applyFill="1" applyBorder="1" applyAlignment="1">
      <alignment horizontal="center" vertical="center" wrapText="1"/>
    </xf>
    <xf numFmtId="0" fontId="3" fillId="7" borderId="7" xfId="0" applyFont="1" applyFill="1" applyBorder="1" applyAlignment="1">
      <alignment horizontal="center" vertical="center"/>
    </xf>
    <xf numFmtId="0" fontId="3" fillId="7" borderId="0" xfId="0" applyFont="1" applyFill="1" applyBorder="1" applyAlignment="1">
      <alignment horizontal="center" vertical="center"/>
    </xf>
    <xf numFmtId="0" fontId="3" fillId="7" borderId="12" xfId="0" applyFont="1" applyFill="1" applyBorder="1" applyAlignment="1">
      <alignment horizontal="center" vertical="center"/>
    </xf>
    <xf numFmtId="0" fontId="7" fillId="8" borderId="2" xfId="841" applyFont="1" applyFill="1" applyBorder="1" applyAlignment="1">
      <alignment horizontal="center" vertical="center" wrapText="1"/>
    </xf>
    <xf numFmtId="0" fontId="7" fillId="8" borderId="5" xfId="841" applyFont="1" applyFill="1" applyBorder="1" applyAlignment="1">
      <alignment horizontal="center" vertical="center" wrapText="1"/>
    </xf>
    <xf numFmtId="0" fontId="6" fillId="8" borderId="2" xfId="839" applyFont="1" applyFill="1" applyBorder="1" applyAlignment="1">
      <alignment horizontal="center" vertical="center" wrapText="1"/>
    </xf>
    <xf numFmtId="0" fontId="6" fillId="8" borderId="5" xfId="839" applyFont="1" applyFill="1" applyBorder="1" applyAlignment="1">
      <alignment horizontal="center" vertical="center" wrapText="1"/>
    </xf>
    <xf numFmtId="175" fontId="0" fillId="0" borderId="15" xfId="0" applyNumberFormat="1" applyBorder="1" applyAlignment="1">
      <alignment horizontal="center"/>
    </xf>
    <xf numFmtId="0" fontId="9" fillId="8" borderId="13" xfId="841" applyFont="1" applyFill="1" applyBorder="1" applyAlignment="1">
      <alignment horizontal="center" vertical="center" wrapText="1"/>
    </xf>
    <xf numFmtId="0" fontId="9" fillId="8" borderId="14" xfId="841" applyFont="1" applyFill="1" applyBorder="1" applyAlignment="1">
      <alignment horizontal="center" vertical="center" wrapText="1"/>
    </xf>
    <xf numFmtId="0" fontId="7" fillId="8" borderId="15" xfId="841" applyFont="1" applyFill="1" applyBorder="1" applyAlignment="1">
      <alignment horizontal="center" vertical="center" wrapText="1"/>
    </xf>
    <xf numFmtId="175" fontId="0" fillId="0" borderId="1" xfId="0" applyNumberFormat="1" applyBorder="1" applyAlignment="1">
      <alignment horizontal="center"/>
    </xf>
    <xf numFmtId="173" fontId="0" fillId="0" borderId="1" xfId="0" applyNumberFormat="1" applyBorder="1" applyAlignment="1">
      <alignment horizontal="center"/>
    </xf>
    <xf numFmtId="175" fontId="56" fillId="0" borderId="13" xfId="0" applyNumberFormat="1" applyFont="1" applyBorder="1" applyAlignment="1">
      <alignment horizontal="center"/>
    </xf>
    <xf numFmtId="175" fontId="56" fillId="0" borderId="14" xfId="0" applyNumberFormat="1" applyFont="1" applyBorder="1" applyAlignment="1">
      <alignment horizontal="center"/>
    </xf>
    <xf numFmtId="0" fontId="68" fillId="20" borderId="1" xfId="0" applyFont="1" applyFill="1" applyBorder="1" applyAlignment="1">
      <alignment horizontal="center"/>
    </xf>
    <xf numFmtId="173" fontId="0" fillId="0" borderId="23" xfId="0" applyNumberFormat="1" applyBorder="1" applyAlignment="1">
      <alignment horizontal="center"/>
    </xf>
    <xf numFmtId="173" fontId="0" fillId="0" borderId="24" xfId="0" applyNumberFormat="1" applyBorder="1" applyAlignment="1">
      <alignment horizontal="center"/>
    </xf>
    <xf numFmtId="175" fontId="0" fillId="0" borderId="23" xfId="0" applyNumberFormat="1" applyBorder="1" applyAlignment="1">
      <alignment horizontal="center"/>
    </xf>
    <xf numFmtId="175" fontId="0" fillId="0" borderId="24" xfId="0" applyNumberFormat="1" applyBorder="1" applyAlignment="1">
      <alignment horizontal="center"/>
    </xf>
    <xf numFmtId="0" fontId="9" fillId="8" borderId="2" xfId="811" applyFont="1" applyFill="1" applyBorder="1" applyAlignment="1">
      <alignment horizontal="center" vertical="center" wrapText="1"/>
    </xf>
    <xf numFmtId="0" fontId="9" fillId="8" borderId="16" xfId="811" applyFont="1" applyFill="1" applyBorder="1" applyAlignment="1">
      <alignment horizontal="center" vertical="center" wrapText="1"/>
    </xf>
    <xf numFmtId="0" fontId="23" fillId="14" borderId="38" xfId="0" applyFont="1" applyFill="1" applyBorder="1" applyAlignment="1">
      <alignment horizontal="center"/>
    </xf>
    <xf numFmtId="0" fontId="23" fillId="14" borderId="41" xfId="0" applyFont="1" applyFill="1" applyBorder="1" applyAlignment="1">
      <alignment horizontal="center"/>
    </xf>
    <xf numFmtId="0" fontId="23" fillId="15" borderId="38" xfId="0" applyFont="1" applyFill="1" applyBorder="1" applyAlignment="1">
      <alignment horizontal="center"/>
    </xf>
    <xf numFmtId="0" fontId="23" fillId="15" borderId="11" xfId="0" applyFont="1" applyFill="1" applyBorder="1" applyAlignment="1">
      <alignment horizontal="center"/>
    </xf>
    <xf numFmtId="0" fontId="23" fillId="15" borderId="41" xfId="0" applyFont="1" applyFill="1" applyBorder="1" applyAlignment="1">
      <alignment horizontal="center"/>
    </xf>
    <xf numFmtId="0" fontId="23" fillId="14" borderId="11" xfId="0" applyFont="1" applyFill="1" applyBorder="1" applyAlignment="1">
      <alignment horizontal="center"/>
    </xf>
    <xf numFmtId="0" fontId="7" fillId="8" borderId="2" xfId="807" applyFont="1" applyFill="1" applyBorder="1" applyAlignment="1">
      <alignment horizontal="center" vertical="center" wrapText="1"/>
    </xf>
    <xf numFmtId="0" fontId="9" fillId="8" borderId="5" xfId="807" applyFont="1" applyFill="1" applyBorder="1" applyAlignment="1">
      <alignment horizontal="center" vertical="center" wrapText="1"/>
    </xf>
    <xf numFmtId="0" fontId="3" fillId="6" borderId="23" xfId="0" applyFont="1" applyFill="1" applyBorder="1" applyAlignment="1">
      <alignment horizontal="center" vertical="center"/>
    </xf>
    <xf numFmtId="0" fontId="3" fillId="6" borderId="24" xfId="0" applyFont="1" applyFill="1" applyBorder="1" applyAlignment="1">
      <alignment horizontal="center" vertical="center"/>
    </xf>
    <xf numFmtId="0" fontId="3" fillId="5" borderId="24" xfId="0" applyFont="1" applyFill="1" applyBorder="1" applyAlignment="1">
      <alignment horizontal="center" vertical="center"/>
    </xf>
    <xf numFmtId="175" fontId="0" fillId="0" borderId="25" xfId="0" applyNumberFormat="1" applyBorder="1" applyAlignment="1">
      <alignment horizontal="center"/>
    </xf>
    <xf numFmtId="175" fontId="56" fillId="0" borderId="1" xfId="0" applyNumberFormat="1" applyFont="1" applyBorder="1" applyAlignment="1">
      <alignment horizontal="center"/>
    </xf>
    <xf numFmtId="0" fontId="7" fillId="8" borderId="5" xfId="807" applyFont="1" applyFill="1" applyBorder="1" applyAlignment="1">
      <alignment horizontal="center" vertical="center" wrapText="1"/>
    </xf>
    <xf numFmtId="173" fontId="0" fillId="0" borderId="25" xfId="0" applyNumberFormat="1" applyBorder="1" applyAlignment="1">
      <alignment horizontal="center"/>
    </xf>
    <xf numFmtId="0" fontId="7" fillId="8" borderId="2" xfId="807" applyFont="1" applyFill="1" applyBorder="1" applyAlignment="1">
      <alignment horizontal="left" vertical="center" wrapText="1"/>
    </xf>
    <xf numFmtId="0" fontId="7" fillId="8" borderId="5" xfId="807" applyFont="1" applyFill="1" applyBorder="1" applyAlignment="1">
      <alignment horizontal="left" vertical="center" wrapText="1"/>
    </xf>
    <xf numFmtId="175" fontId="0" fillId="0" borderId="7" xfId="0" applyNumberFormat="1" applyBorder="1" applyAlignment="1">
      <alignment horizontal="center" vertical="center"/>
    </xf>
    <xf numFmtId="175" fontId="0" fillId="0" borderId="12" xfId="0" applyNumberFormat="1" applyBorder="1" applyAlignment="1">
      <alignment horizontal="center" vertical="center"/>
    </xf>
    <xf numFmtId="175" fontId="0" fillId="0" borderId="23" xfId="0" applyNumberFormat="1" applyFill="1" applyBorder="1" applyAlignment="1">
      <alignment horizontal="center"/>
    </xf>
    <xf numFmtId="175" fontId="0" fillId="0" borderId="25" xfId="0" applyNumberFormat="1" applyFill="1" applyBorder="1" applyAlignment="1">
      <alignment horizontal="center"/>
    </xf>
    <xf numFmtId="0" fontId="6" fillId="8" borderId="13" xfId="809" applyFont="1" applyFill="1" applyBorder="1" applyAlignment="1">
      <alignment horizontal="center" vertical="center" wrapText="1"/>
    </xf>
    <xf numFmtId="0" fontId="6" fillId="8" borderId="15" xfId="809" applyFont="1" applyFill="1" applyBorder="1" applyAlignment="1">
      <alignment horizontal="center" vertical="center" wrapText="1"/>
    </xf>
    <xf numFmtId="0" fontId="7" fillId="8" borderId="13" xfId="809" applyFont="1" applyFill="1" applyBorder="1" applyAlignment="1">
      <alignment horizontal="center" vertical="center" wrapText="1"/>
    </xf>
    <xf numFmtId="0" fontId="9" fillId="8" borderId="15" xfId="809" applyFont="1" applyFill="1" applyBorder="1" applyAlignment="1">
      <alignment horizontal="center" vertical="center" wrapText="1"/>
    </xf>
    <xf numFmtId="0" fontId="7" fillId="8" borderId="13" xfId="807" applyFont="1" applyFill="1" applyBorder="1" applyAlignment="1">
      <alignment horizontal="center" vertical="center" wrapText="1"/>
    </xf>
    <xf numFmtId="0" fontId="7" fillId="8" borderId="15" xfId="807" applyFont="1" applyFill="1" applyBorder="1" applyAlignment="1">
      <alignment horizontal="center" vertical="center" wrapText="1"/>
    </xf>
    <xf numFmtId="0" fontId="7" fillId="8" borderId="14" xfId="807" applyFont="1" applyFill="1" applyBorder="1" applyAlignment="1">
      <alignment horizontal="center" vertical="center" wrapText="1"/>
    </xf>
    <xf numFmtId="173" fontId="0" fillId="18" borderId="23" xfId="0" applyNumberFormat="1" applyFill="1" applyBorder="1" applyAlignment="1">
      <alignment horizontal="center"/>
    </xf>
    <xf numFmtId="173" fontId="0" fillId="18" borderId="24" xfId="0" applyNumberFormat="1" applyFill="1" applyBorder="1" applyAlignment="1">
      <alignment horizontal="center"/>
    </xf>
    <xf numFmtId="0" fontId="67" fillId="18" borderId="1" xfId="0" applyFont="1" applyFill="1" applyBorder="1" applyAlignment="1">
      <alignment horizontal="center"/>
    </xf>
    <xf numFmtId="0" fontId="7" fillId="8" borderId="2" xfId="811" applyFont="1" applyFill="1" applyBorder="1" applyAlignment="1">
      <alignment horizontal="center" vertical="center" wrapText="1"/>
    </xf>
    <xf numFmtId="0" fontId="7" fillId="8" borderId="16" xfId="811" applyFont="1" applyFill="1" applyBorder="1" applyAlignment="1">
      <alignment horizontal="center" vertical="center" wrapText="1"/>
    </xf>
    <xf numFmtId="0" fontId="7" fillId="8" borderId="16" xfId="807" applyFont="1" applyFill="1" applyBorder="1" applyAlignment="1">
      <alignment horizontal="center" vertical="center" wrapText="1"/>
    </xf>
    <xf numFmtId="0" fontId="6" fillId="8" borderId="14" xfId="809" applyFont="1" applyFill="1" applyBorder="1" applyAlignment="1">
      <alignment horizontal="center" vertical="center" wrapText="1"/>
    </xf>
    <xf numFmtId="0" fontId="9" fillId="8" borderId="13" xfId="809" applyFont="1" applyFill="1" applyBorder="1" applyAlignment="1">
      <alignment horizontal="center" vertical="center" wrapText="1"/>
    </xf>
    <xf numFmtId="0" fontId="7" fillId="8" borderId="14" xfId="807" applyFont="1" applyFill="1" applyBorder="1" applyAlignment="1">
      <alignment horizontal="left" vertical="center" wrapText="1"/>
    </xf>
    <xf numFmtId="175" fontId="49" fillId="0" borderId="0" xfId="0" applyNumberFormat="1" applyFont="1" applyFill="1" applyBorder="1" applyAlignment="1">
      <alignment horizontal="center"/>
    </xf>
    <xf numFmtId="175" fontId="0" fillId="0" borderId="7" xfId="0" applyNumberFormat="1" applyFill="1" applyBorder="1" applyAlignment="1">
      <alignment horizontal="center" vertical="center"/>
    </xf>
    <xf numFmtId="175" fontId="0" fillId="0" borderId="12" xfId="0" applyNumberFormat="1" applyFill="1" applyBorder="1" applyAlignment="1">
      <alignment horizontal="center" vertical="center"/>
    </xf>
    <xf numFmtId="175" fontId="49" fillId="0" borderId="0" xfId="0" applyNumberFormat="1" applyFont="1" applyFill="1" applyBorder="1" applyAlignment="1">
      <alignment horizontal="center" vertical="center"/>
    </xf>
    <xf numFmtId="0" fontId="21" fillId="2" borderId="39" xfId="815" applyFont="1" applyFill="1" applyBorder="1" applyAlignment="1">
      <alignment horizontal="center"/>
    </xf>
    <xf numFmtId="0" fontId="13" fillId="2" borderId="3" xfId="815" applyFont="1" applyFill="1" applyBorder="1" applyAlignment="1">
      <alignment horizontal="center"/>
    </xf>
    <xf numFmtId="0" fontId="13" fillId="2" borderId="30" xfId="815" applyFont="1" applyFill="1" applyBorder="1" applyAlignment="1">
      <alignment horizontal="center"/>
    </xf>
    <xf numFmtId="0" fontId="13" fillId="2" borderId="42" xfId="815" applyFont="1" applyFill="1" applyBorder="1" applyAlignment="1">
      <alignment horizontal="center"/>
    </xf>
    <xf numFmtId="0" fontId="13" fillId="2" borderId="4" xfId="815" applyFont="1" applyFill="1" applyBorder="1" applyAlignment="1">
      <alignment horizontal="center"/>
    </xf>
    <xf numFmtId="0" fontId="13" fillId="2" borderId="31" xfId="815" applyFont="1" applyFill="1" applyBorder="1" applyAlignment="1">
      <alignment horizontal="center"/>
    </xf>
    <xf numFmtId="0" fontId="7" fillId="8" borderId="15" xfId="809" applyFont="1" applyFill="1" applyBorder="1" applyAlignment="1">
      <alignment horizontal="center" vertical="center" wrapText="1"/>
    </xf>
    <xf numFmtId="0" fontId="9" fillId="8" borderId="13" xfId="807" applyFont="1" applyFill="1" applyBorder="1" applyAlignment="1">
      <alignment horizontal="left" vertical="center" wrapText="1"/>
    </xf>
    <xf numFmtId="0" fontId="9" fillId="8" borderId="15" xfId="807" applyFont="1" applyFill="1" applyBorder="1" applyAlignment="1">
      <alignment horizontal="left" vertical="center" wrapText="1"/>
    </xf>
    <xf numFmtId="0" fontId="7" fillId="8" borderId="15" xfId="807" applyFont="1" applyFill="1" applyBorder="1" applyAlignment="1">
      <alignment horizontal="left" vertical="center" wrapText="1"/>
    </xf>
    <xf numFmtId="175" fontId="0" fillId="0" borderId="0" xfId="0" applyNumberFormat="1" applyBorder="1" applyAlignment="1">
      <alignment horizontal="center" vertical="center"/>
    </xf>
    <xf numFmtId="0" fontId="23" fillId="16" borderId="38" xfId="0" applyFont="1" applyFill="1" applyBorder="1" applyAlignment="1">
      <alignment horizontal="center"/>
    </xf>
    <xf numFmtId="0" fontId="23" fillId="16" borderId="11" xfId="0" applyFont="1" applyFill="1" applyBorder="1" applyAlignment="1">
      <alignment horizontal="center"/>
    </xf>
    <xf numFmtId="0" fontId="23" fillId="16" borderId="41" xfId="0" applyFont="1" applyFill="1" applyBorder="1" applyAlignment="1">
      <alignment horizontal="center"/>
    </xf>
    <xf numFmtId="0" fontId="23" fillId="13" borderId="38" xfId="0" applyFont="1" applyFill="1" applyBorder="1" applyAlignment="1">
      <alignment horizontal="center"/>
    </xf>
    <xf numFmtId="0" fontId="23" fillId="13" borderId="11" xfId="0" applyFont="1" applyFill="1" applyBorder="1" applyAlignment="1">
      <alignment horizontal="center"/>
    </xf>
    <xf numFmtId="0" fontId="23" fillId="13" borderId="41" xfId="0" applyFont="1" applyFill="1" applyBorder="1" applyAlignment="1">
      <alignment horizontal="center"/>
    </xf>
    <xf numFmtId="0" fontId="23" fillId="12" borderId="38" xfId="0" applyFont="1" applyFill="1" applyBorder="1" applyAlignment="1">
      <alignment horizontal="center"/>
    </xf>
    <xf numFmtId="0" fontId="23" fillId="12" borderId="11" xfId="0" applyFont="1" applyFill="1" applyBorder="1" applyAlignment="1">
      <alignment horizontal="center"/>
    </xf>
    <xf numFmtId="0" fontId="23" fillId="12" borderId="41" xfId="0" applyFont="1" applyFill="1" applyBorder="1" applyAlignment="1">
      <alignment horizontal="center"/>
    </xf>
    <xf numFmtId="0" fontId="23" fillId="17" borderId="38" xfId="0" applyFont="1" applyFill="1" applyBorder="1" applyAlignment="1">
      <alignment horizontal="center"/>
    </xf>
    <xf numFmtId="0" fontId="23" fillId="17" borderId="11" xfId="0" applyFont="1" applyFill="1" applyBorder="1" applyAlignment="1">
      <alignment horizontal="center"/>
    </xf>
    <xf numFmtId="0" fontId="23" fillId="17" borderId="41" xfId="0" applyFont="1" applyFill="1" applyBorder="1" applyAlignment="1">
      <alignment horizontal="center"/>
    </xf>
    <xf numFmtId="173" fontId="0" fillId="18" borderId="25" xfId="0" applyNumberFormat="1" applyFill="1" applyBorder="1" applyAlignment="1">
      <alignment horizontal="center"/>
    </xf>
    <xf numFmtId="173" fontId="0" fillId="0" borderId="23" xfId="0" applyNumberFormat="1" applyFill="1" applyBorder="1" applyAlignment="1">
      <alignment horizontal="center"/>
    </xf>
    <xf numFmtId="173" fontId="0" fillId="0" borderId="25" xfId="0" applyNumberFormat="1" applyFill="1" applyBorder="1" applyAlignment="1">
      <alignment horizontal="center"/>
    </xf>
    <xf numFmtId="175" fontId="49" fillId="0" borderId="7" xfId="0" applyNumberFormat="1" applyFont="1" applyFill="1" applyBorder="1" applyAlignment="1">
      <alignment horizontal="center"/>
    </xf>
    <xf numFmtId="175" fontId="49" fillId="0" borderId="12" xfId="0" applyNumberFormat="1" applyFont="1" applyFill="1" applyBorder="1" applyAlignment="1">
      <alignment horizontal="center"/>
    </xf>
    <xf numFmtId="173" fontId="49" fillId="0" borderId="23" xfId="0" applyNumberFormat="1" applyFont="1" applyFill="1" applyBorder="1" applyAlignment="1">
      <alignment horizontal="center"/>
    </xf>
    <xf numFmtId="173" fontId="49" fillId="0" borderId="25" xfId="0" applyNumberFormat="1" applyFont="1" applyFill="1" applyBorder="1" applyAlignment="1">
      <alignment horizontal="center"/>
    </xf>
    <xf numFmtId="0" fontId="66" fillId="19" borderId="38" xfId="0" applyFont="1" applyFill="1" applyBorder="1" applyAlignment="1">
      <alignment horizontal="center"/>
    </xf>
    <xf numFmtId="0" fontId="66" fillId="19" borderId="11" xfId="0" applyFont="1" applyFill="1" applyBorder="1" applyAlignment="1">
      <alignment horizontal="center"/>
    </xf>
    <xf numFmtId="0" fontId="66" fillId="19" borderId="41" xfId="0" applyFont="1" applyFill="1" applyBorder="1" applyAlignment="1">
      <alignment horizontal="center"/>
    </xf>
    <xf numFmtId="0" fontId="66" fillId="19" borderId="1" xfId="0" applyFont="1" applyFill="1" applyBorder="1" applyAlignment="1">
      <alignment horizontal="center"/>
    </xf>
    <xf numFmtId="0" fontId="38" fillId="0" borderId="13" xfId="0" applyFont="1" applyFill="1" applyBorder="1" applyAlignment="1">
      <alignment horizontal="center" vertical="center"/>
    </xf>
    <xf numFmtId="0" fontId="38" fillId="0" borderId="53" xfId="0" applyFont="1" applyFill="1" applyBorder="1" applyAlignment="1">
      <alignment horizontal="center" vertical="center"/>
    </xf>
    <xf numFmtId="0" fontId="45" fillId="20" borderId="50" xfId="0" applyFont="1" applyFill="1" applyBorder="1" applyAlignment="1">
      <alignment horizontal="center" vertical="center"/>
    </xf>
    <xf numFmtId="0" fontId="45" fillId="20" borderId="46" xfId="0" applyFont="1" applyFill="1" applyBorder="1" applyAlignment="1">
      <alignment horizontal="center" vertical="center"/>
    </xf>
    <xf numFmtId="0" fontId="45" fillId="20" borderId="51" xfId="0" applyFont="1" applyFill="1" applyBorder="1" applyAlignment="1">
      <alignment horizontal="center" vertical="center"/>
    </xf>
    <xf numFmtId="0" fontId="38" fillId="0" borderId="52" xfId="0" applyFont="1" applyFill="1" applyBorder="1" applyAlignment="1">
      <alignment horizontal="center" vertical="center" wrapText="1"/>
    </xf>
    <xf numFmtId="0" fontId="38" fillId="0" borderId="14" xfId="0" applyFont="1" applyFill="1" applyBorder="1" applyAlignment="1">
      <alignment horizontal="center" vertical="center" wrapText="1"/>
    </xf>
    <xf numFmtId="3" fontId="38" fillId="0" borderId="3" xfId="0" applyNumberFormat="1" applyFont="1" applyFill="1" applyBorder="1" applyAlignment="1">
      <alignment horizontal="center" vertical="center"/>
    </xf>
    <xf numFmtId="3" fontId="38" fillId="0" borderId="12" xfId="0" applyNumberFormat="1" applyFont="1" applyFill="1" applyBorder="1" applyAlignment="1">
      <alignment horizontal="center" vertical="center"/>
    </xf>
    <xf numFmtId="0" fontId="38" fillId="0" borderId="13" xfId="0" applyFont="1" applyFill="1" applyBorder="1" applyAlignment="1">
      <alignment horizontal="center" vertical="center" wrapText="1"/>
    </xf>
    <xf numFmtId="3" fontId="38" fillId="0" borderId="0" xfId="0" applyNumberFormat="1" applyFont="1" applyFill="1" applyBorder="1" applyAlignment="1">
      <alignment horizontal="center" vertical="center"/>
    </xf>
    <xf numFmtId="3" fontId="38" fillId="0" borderId="7" xfId="0" applyNumberFormat="1" applyFont="1" applyFill="1" applyBorder="1" applyAlignment="1">
      <alignment horizontal="center" vertical="center"/>
    </xf>
    <xf numFmtId="3" fontId="38" fillId="0" borderId="4" xfId="0" applyNumberFormat="1" applyFont="1" applyFill="1" applyBorder="1" applyAlignment="1">
      <alignment horizontal="center" vertical="center"/>
    </xf>
    <xf numFmtId="0" fontId="45" fillId="20" borderId="6" xfId="0" applyFont="1" applyFill="1" applyBorder="1" applyAlignment="1">
      <alignment horizontal="center" vertical="center" wrapText="1"/>
    </xf>
    <xf numFmtId="0" fontId="45" fillId="20" borderId="42" xfId="0" applyFont="1" applyFill="1" applyBorder="1" applyAlignment="1">
      <alignment horizontal="center" vertical="center" wrapText="1"/>
    </xf>
    <xf numFmtId="0" fontId="38" fillId="0" borderId="14" xfId="0" applyFont="1" applyFill="1" applyBorder="1" applyAlignment="1">
      <alignment horizontal="center" vertical="center"/>
    </xf>
    <xf numFmtId="0" fontId="45" fillId="18" borderId="26" xfId="0" applyFont="1" applyFill="1" applyBorder="1" applyAlignment="1">
      <alignment horizontal="center" vertical="center" wrapText="1"/>
    </xf>
    <xf numFmtId="0" fontId="45" fillId="18" borderId="6" xfId="0" applyFont="1" applyFill="1" applyBorder="1" applyAlignment="1">
      <alignment horizontal="center" vertical="center" wrapText="1"/>
    </xf>
    <xf numFmtId="0" fontId="45" fillId="18" borderId="42" xfId="0" applyFont="1" applyFill="1" applyBorder="1" applyAlignment="1">
      <alignment horizontal="center" vertical="center" wrapText="1"/>
    </xf>
    <xf numFmtId="0" fontId="45" fillId="18" borderId="50" xfId="0" applyFont="1" applyFill="1" applyBorder="1" applyAlignment="1">
      <alignment horizontal="center" vertical="center"/>
    </xf>
    <xf numFmtId="0" fontId="45" fillId="18" borderId="46" xfId="0" applyFont="1" applyFill="1" applyBorder="1" applyAlignment="1">
      <alignment horizontal="center" vertical="center"/>
    </xf>
    <xf numFmtId="0" fontId="38" fillId="0" borderId="52" xfId="0" applyFont="1" applyFill="1" applyBorder="1" applyAlignment="1">
      <alignment horizontal="center" vertical="center"/>
    </xf>
    <xf numFmtId="0" fontId="38" fillId="0" borderId="15" xfId="0" applyFont="1" applyFill="1" applyBorder="1" applyAlignment="1">
      <alignment horizontal="center" vertical="center"/>
    </xf>
    <xf numFmtId="0" fontId="45" fillId="11" borderId="39" xfId="0" applyFont="1" applyFill="1" applyBorder="1" applyAlignment="1">
      <alignment horizontal="center" vertical="center"/>
    </xf>
    <xf numFmtId="0" fontId="45" fillId="11" borderId="6" xfId="0" applyFont="1" applyFill="1" applyBorder="1" applyAlignment="1">
      <alignment horizontal="center" vertical="center"/>
    </xf>
    <xf numFmtId="0" fontId="38" fillId="0" borderId="15" xfId="0" applyFont="1" applyFill="1" applyBorder="1" applyAlignment="1">
      <alignment horizontal="center" vertical="center" wrapText="1"/>
    </xf>
    <xf numFmtId="0" fontId="65" fillId="11" borderId="13" xfId="0" applyFont="1" applyFill="1" applyBorder="1" applyAlignment="1">
      <alignment horizontal="center"/>
    </xf>
    <xf numFmtId="0" fontId="65" fillId="11" borderId="7" xfId="0" applyFont="1" applyFill="1" applyBorder="1" applyAlignment="1">
      <alignment horizontal="center"/>
    </xf>
    <xf numFmtId="0" fontId="65" fillId="11" borderId="23" xfId="0" applyFont="1" applyFill="1" applyBorder="1" applyAlignment="1">
      <alignment horizontal="center"/>
    </xf>
    <xf numFmtId="0" fontId="65" fillId="11" borderId="14" xfId="0" applyFont="1" applyFill="1" applyBorder="1" applyAlignment="1">
      <alignment horizontal="center"/>
    </xf>
    <xf numFmtId="0" fontId="65" fillId="11" borderId="12" xfId="0" applyFont="1" applyFill="1" applyBorder="1" applyAlignment="1">
      <alignment horizontal="center"/>
    </xf>
    <xf numFmtId="0" fontId="65" fillId="11" borderId="25" xfId="0" applyFont="1" applyFill="1" applyBorder="1" applyAlignment="1">
      <alignment horizontal="center"/>
    </xf>
    <xf numFmtId="0" fontId="6" fillId="2" borderId="2" xfId="815" applyFont="1" applyFill="1" applyBorder="1" applyAlignment="1">
      <alignment horizontal="center" vertical="center" wrapText="1"/>
    </xf>
    <xf numFmtId="0" fontId="10" fillId="2" borderId="16" xfId="815" applyFont="1" applyFill="1" applyBorder="1" applyAlignment="1">
      <alignment horizontal="center" vertical="center" wrapText="1"/>
    </xf>
    <xf numFmtId="0" fontId="10" fillId="2" borderId="2" xfId="815" applyFont="1" applyFill="1" applyBorder="1" applyAlignment="1">
      <alignment horizontal="center" vertical="center" wrapText="1"/>
    </xf>
    <xf numFmtId="3" fontId="40" fillId="11" borderId="1" xfId="0" applyNumberFormat="1" applyFont="1" applyFill="1" applyBorder="1" applyAlignment="1">
      <alignment horizontal="center" vertical="center"/>
    </xf>
    <xf numFmtId="4" fontId="39" fillId="11" borderId="1" xfId="0" applyNumberFormat="1" applyFont="1" applyFill="1" applyBorder="1" applyAlignment="1">
      <alignment horizontal="center"/>
    </xf>
    <xf numFmtId="0" fontId="39" fillId="11" borderId="2" xfId="0" applyFont="1" applyFill="1" applyBorder="1" applyAlignment="1">
      <alignment horizontal="center" vertical="center" wrapText="1"/>
    </xf>
    <xf numFmtId="0" fontId="39" fillId="11" borderId="5" xfId="0" applyFont="1" applyFill="1" applyBorder="1" applyAlignment="1">
      <alignment horizontal="center" vertical="center" wrapText="1"/>
    </xf>
    <xf numFmtId="0" fontId="45" fillId="11" borderId="13" xfId="0" applyFont="1" applyFill="1" applyBorder="1" applyAlignment="1">
      <alignment horizontal="center"/>
    </xf>
    <xf numFmtId="0" fontId="45" fillId="11" borderId="7" xfId="0" applyFont="1" applyFill="1" applyBorder="1" applyAlignment="1">
      <alignment horizontal="center"/>
    </xf>
    <xf numFmtId="0" fontId="45" fillId="11" borderId="23" xfId="0" applyFont="1" applyFill="1" applyBorder="1" applyAlignment="1">
      <alignment horizontal="center"/>
    </xf>
    <xf numFmtId="0" fontId="45" fillId="11" borderId="14" xfId="0" applyFont="1" applyFill="1" applyBorder="1" applyAlignment="1">
      <alignment horizontal="center"/>
    </xf>
    <xf numFmtId="0" fontId="45" fillId="11" borderId="12" xfId="0" applyFont="1" applyFill="1" applyBorder="1" applyAlignment="1">
      <alignment horizontal="center"/>
    </xf>
    <xf numFmtId="0" fontId="45" fillId="11" borderId="25" xfId="0" applyFont="1" applyFill="1" applyBorder="1" applyAlignment="1">
      <alignment horizontal="center"/>
    </xf>
    <xf numFmtId="0" fontId="39" fillId="11" borderId="38" xfId="0" applyFont="1" applyFill="1" applyBorder="1" applyAlignment="1">
      <alignment horizontal="center"/>
    </xf>
    <xf numFmtId="0" fontId="39" fillId="11" borderId="41" xfId="0" applyFont="1" applyFill="1" applyBorder="1" applyAlignment="1">
      <alignment horizontal="center"/>
    </xf>
    <xf numFmtId="0" fontId="39" fillId="11" borderId="2" xfId="0" applyFont="1" applyFill="1" applyBorder="1" applyAlignment="1">
      <alignment horizontal="center" vertical="center"/>
    </xf>
    <xf numFmtId="0" fontId="39" fillId="11" borderId="5" xfId="0" applyFont="1" applyFill="1" applyBorder="1" applyAlignment="1">
      <alignment horizontal="center" vertical="center"/>
    </xf>
    <xf numFmtId="0" fontId="39" fillId="11" borderId="16" xfId="0" applyFont="1" applyFill="1" applyBorder="1" applyAlignment="1">
      <alignment horizontal="center" vertical="center" wrapText="1"/>
    </xf>
    <xf numFmtId="0" fontId="38" fillId="11" borderId="9" xfId="0" applyFont="1" applyFill="1" applyBorder="1" applyAlignment="1">
      <alignment horizontal="center" vertical="center"/>
    </xf>
    <xf numFmtId="0" fontId="38" fillId="11" borderId="54" xfId="0" applyFont="1" applyFill="1" applyBorder="1" applyAlignment="1">
      <alignment horizontal="center" vertical="center"/>
    </xf>
    <xf numFmtId="0" fontId="38" fillId="11" borderId="55" xfId="0" applyFont="1" applyFill="1" applyBorder="1" applyAlignment="1">
      <alignment horizontal="center" vertical="center"/>
    </xf>
    <xf numFmtId="0" fontId="38" fillId="11" borderId="7" xfId="0" applyFont="1" applyFill="1" applyBorder="1" applyAlignment="1">
      <alignment horizontal="center" vertical="center"/>
    </xf>
    <xf numFmtId="0" fontId="38" fillId="11" borderId="0" xfId="0" applyFont="1" applyFill="1" applyBorder="1" applyAlignment="1">
      <alignment horizontal="center" vertical="center"/>
    </xf>
    <xf numFmtId="0" fontId="38" fillId="11" borderId="12" xfId="0" applyFont="1" applyFill="1" applyBorder="1" applyAlignment="1">
      <alignment horizontal="center" vertical="center"/>
    </xf>
    <xf numFmtId="0" fontId="77" fillId="27" borderId="38" xfId="0" applyFont="1" applyFill="1" applyBorder="1" applyAlignment="1">
      <alignment horizontal="center" vertical="center"/>
    </xf>
    <xf numFmtId="0" fontId="77" fillId="27" borderId="11" xfId="0" applyFont="1" applyFill="1" applyBorder="1" applyAlignment="1">
      <alignment horizontal="center" vertical="center"/>
    </xf>
    <xf numFmtId="0" fontId="77" fillId="27" borderId="41" xfId="0" applyFont="1" applyFill="1" applyBorder="1" applyAlignment="1">
      <alignment horizontal="center" vertical="center"/>
    </xf>
    <xf numFmtId="0" fontId="38" fillId="0" borderId="28" xfId="0" applyFont="1" applyBorder="1" applyAlignment="1">
      <alignment horizontal="center" vertical="center"/>
    </xf>
    <xf numFmtId="3" fontId="38" fillId="0" borderId="1" xfId="0" applyNumberFormat="1" applyFont="1" applyBorder="1" applyAlignment="1">
      <alignment horizontal="center" vertical="center"/>
    </xf>
    <xf numFmtId="4" fontId="38" fillId="0" borderId="1" xfId="0" applyNumberFormat="1" applyFont="1" applyBorder="1" applyAlignment="1">
      <alignment horizontal="center" vertical="center"/>
    </xf>
    <xf numFmtId="4" fontId="38" fillId="0" borderId="1" xfId="0" applyNumberFormat="1" applyFont="1" applyFill="1" applyBorder="1" applyAlignment="1">
      <alignment horizontal="center"/>
    </xf>
    <xf numFmtId="4" fontId="38" fillId="0" borderId="0" xfId="0" applyNumberFormat="1" applyFont="1" applyFill="1" applyBorder="1" applyAlignment="1">
      <alignment horizontal="center" vertical="center"/>
    </xf>
    <xf numFmtId="0" fontId="78" fillId="26" borderId="43" xfId="0" applyFont="1" applyFill="1" applyBorder="1" applyAlignment="1">
      <alignment horizontal="center" vertical="center"/>
    </xf>
    <xf numFmtId="0" fontId="78" fillId="26" borderId="28" xfId="0" applyFont="1" applyFill="1" applyBorder="1" applyAlignment="1">
      <alignment horizontal="center" vertical="center"/>
    </xf>
    <xf numFmtId="0" fontId="78" fillId="26" borderId="29" xfId="0" applyFont="1" applyFill="1" applyBorder="1" applyAlignment="1">
      <alignment horizontal="center" vertical="center"/>
    </xf>
    <xf numFmtId="181" fontId="4" fillId="0" borderId="56" xfId="891" applyNumberFormat="1" applyFont="1" applyBorder="1" applyAlignment="1">
      <alignment horizontal="center" vertical="center"/>
    </xf>
    <xf numFmtId="181" fontId="4" fillId="0" borderId="57" xfId="891" applyNumberFormat="1" applyFont="1" applyBorder="1" applyAlignment="1">
      <alignment horizontal="center" vertical="center"/>
    </xf>
    <xf numFmtId="181" fontId="4" fillId="0" borderId="58" xfId="891" applyNumberFormat="1" applyFont="1" applyBorder="1" applyAlignment="1">
      <alignment horizontal="center" vertical="center"/>
    </xf>
    <xf numFmtId="4" fontId="39" fillId="11" borderId="36" xfId="0" applyNumberFormat="1" applyFont="1" applyFill="1" applyBorder="1" applyAlignment="1">
      <alignment horizontal="center" vertical="center"/>
    </xf>
    <xf numFmtId="4" fontId="39" fillId="11" borderId="68" xfId="0" applyNumberFormat="1" applyFont="1" applyFill="1" applyBorder="1" applyAlignment="1">
      <alignment horizontal="center" vertical="center"/>
    </xf>
    <xf numFmtId="0" fontId="38" fillId="21" borderId="56" xfId="0" applyFont="1" applyFill="1" applyBorder="1" applyAlignment="1">
      <alignment horizontal="center" vertical="center"/>
    </xf>
    <xf numFmtId="0" fontId="38" fillId="21" borderId="57" xfId="0" applyFont="1" applyFill="1" applyBorder="1" applyAlignment="1">
      <alignment horizontal="center" vertical="center"/>
    </xf>
    <xf numFmtId="0" fontId="38" fillId="21" borderId="58" xfId="0" applyFont="1" applyFill="1" applyBorder="1" applyAlignment="1">
      <alignment horizontal="center" vertical="center"/>
    </xf>
    <xf numFmtId="4" fontId="38" fillId="0" borderId="56" xfId="0" applyNumberFormat="1" applyFont="1" applyFill="1" applyBorder="1" applyAlignment="1">
      <alignment horizontal="center" vertical="center"/>
    </xf>
    <xf numFmtId="4" fontId="38" fillId="0" borderId="57" xfId="0" applyNumberFormat="1" applyFont="1" applyFill="1" applyBorder="1" applyAlignment="1">
      <alignment horizontal="center" vertical="center"/>
    </xf>
    <xf numFmtId="4" fontId="38" fillId="0" borderId="58" xfId="0" applyNumberFormat="1" applyFont="1" applyFill="1" applyBorder="1" applyAlignment="1">
      <alignment horizontal="center" vertical="center"/>
    </xf>
    <xf numFmtId="4" fontId="38" fillId="0" borderId="39" xfId="0" applyNumberFormat="1" applyFont="1" applyFill="1" applyBorder="1" applyAlignment="1">
      <alignment horizontal="center" vertical="center"/>
    </xf>
    <xf numFmtId="4" fontId="38" fillId="0" borderId="6" xfId="0" applyNumberFormat="1" applyFont="1" applyFill="1" applyBorder="1" applyAlignment="1">
      <alignment horizontal="center" vertical="center"/>
    </xf>
    <xf numFmtId="4" fontId="38" fillId="0" borderId="42" xfId="0" applyNumberFormat="1" applyFont="1" applyFill="1" applyBorder="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39" xfId="0" applyBorder="1" applyAlignment="1">
      <alignment horizontal="center" vertical="center"/>
    </xf>
    <xf numFmtId="0" fontId="0" fillId="0" borderId="6" xfId="0" applyBorder="1" applyAlignment="1">
      <alignment horizontal="center" vertical="center"/>
    </xf>
    <xf numFmtId="0" fontId="0" fillId="0" borderId="42"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7"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5" xfId="0" applyBorder="1" applyAlignment="1">
      <alignment horizontal="center" vertical="center"/>
    </xf>
    <xf numFmtId="0" fontId="0" fillId="0" borderId="67" xfId="0" applyBorder="1" applyAlignment="1">
      <alignment horizontal="center" vertical="center"/>
    </xf>
    <xf numFmtId="0" fontId="0" fillId="0" borderId="28" xfId="0" applyBorder="1" applyAlignment="1">
      <alignment horizontal="center" vertical="center"/>
    </xf>
    <xf numFmtId="0" fontId="38" fillId="21" borderId="59" xfId="0" applyFont="1" applyFill="1" applyBorder="1" applyAlignment="1">
      <alignment horizontal="center" vertical="center"/>
    </xf>
    <xf numFmtId="0" fontId="38" fillId="21" borderId="69" xfId="0" applyFont="1" applyFill="1" applyBorder="1" applyAlignment="1">
      <alignment horizontal="center" vertical="center"/>
    </xf>
    <xf numFmtId="0" fontId="38" fillId="21" borderId="62" xfId="0" applyFont="1" applyFill="1" applyBorder="1" applyAlignment="1">
      <alignment horizontal="center" vertical="center"/>
    </xf>
    <xf numFmtId="4" fontId="38" fillId="0" borderId="59" xfId="0" applyNumberFormat="1" applyFont="1" applyFill="1" applyBorder="1" applyAlignment="1">
      <alignment horizontal="center" vertical="center"/>
    </xf>
    <xf numFmtId="4" fontId="38" fillId="0" borderId="69" xfId="0" applyNumberFormat="1" applyFont="1" applyFill="1" applyBorder="1" applyAlignment="1">
      <alignment horizontal="center" vertical="center"/>
    </xf>
    <xf numFmtId="4" fontId="38" fillId="0" borderId="62" xfId="0" applyNumberFormat="1" applyFont="1" applyFill="1" applyBorder="1" applyAlignment="1">
      <alignment horizontal="center" vertical="center"/>
    </xf>
    <xf numFmtId="3" fontId="39" fillId="11" borderId="14" xfId="0" applyNumberFormat="1" applyFont="1" applyFill="1" applyBorder="1" applyAlignment="1">
      <alignment horizontal="center" vertical="center" wrapText="1"/>
    </xf>
    <xf numFmtId="3" fontId="39" fillId="11" borderId="13" xfId="0" applyNumberFormat="1" applyFont="1" applyFill="1" applyBorder="1" applyAlignment="1">
      <alignment horizontal="center" vertical="center" wrapText="1"/>
    </xf>
    <xf numFmtId="0" fontId="43" fillId="21" borderId="59" xfId="0" applyFont="1" applyFill="1" applyBorder="1" applyAlignment="1">
      <alignment horizontal="center" vertical="center"/>
    </xf>
    <xf numFmtId="0" fontId="43" fillId="21" borderId="60" xfId="0" applyFont="1" applyFill="1" applyBorder="1" applyAlignment="1">
      <alignment horizontal="center" vertical="center"/>
    </xf>
    <xf numFmtId="0" fontId="43" fillId="21" borderId="56" xfId="0" applyFont="1" applyFill="1" applyBorder="1" applyAlignment="1">
      <alignment horizontal="center" vertical="center"/>
    </xf>
    <xf numFmtId="0" fontId="43" fillId="21" borderId="58" xfId="0" applyFont="1" applyFill="1" applyBorder="1" applyAlignment="1">
      <alignment horizontal="center" vertical="center"/>
    </xf>
    <xf numFmtId="4" fontId="39" fillId="11" borderId="16" xfId="0" applyNumberFormat="1" applyFont="1" applyFill="1" applyBorder="1" applyAlignment="1">
      <alignment horizontal="center"/>
    </xf>
    <xf numFmtId="4" fontId="38" fillId="0" borderId="3" xfId="0" applyNumberFormat="1" applyFont="1" applyFill="1" applyBorder="1" applyAlignment="1">
      <alignment horizontal="center" vertical="center"/>
    </xf>
    <xf numFmtId="0" fontId="0" fillId="0" borderId="3" xfId="0" applyBorder="1" applyAlignment="1">
      <alignment horizontal="center" vertical="center"/>
    </xf>
    <xf numFmtId="0" fontId="0" fillId="0" borderId="0" xfId="0" applyBorder="1" applyAlignment="1">
      <alignment horizontal="center" vertical="center"/>
    </xf>
    <xf numFmtId="0" fontId="76" fillId="25" borderId="65" xfId="0" applyFont="1" applyFill="1" applyBorder="1" applyAlignment="1">
      <alignment horizontal="center" vertical="center" wrapText="1"/>
    </xf>
    <xf numFmtId="0" fontId="76" fillId="25" borderId="79" xfId="0" applyFont="1" applyFill="1" applyBorder="1" applyAlignment="1">
      <alignment horizontal="center" vertical="center" wrapText="1"/>
    </xf>
    <xf numFmtId="0" fontId="76" fillId="25" borderId="66" xfId="0" applyFont="1" applyFill="1" applyBorder="1" applyAlignment="1">
      <alignment horizontal="center" vertical="center" wrapText="1"/>
    </xf>
    <xf numFmtId="0" fontId="43" fillId="21" borderId="56" xfId="0" applyFont="1" applyFill="1" applyBorder="1" applyAlignment="1">
      <alignment horizontal="center" vertical="center" wrapText="1"/>
    </xf>
    <xf numFmtId="0" fontId="43" fillId="21" borderId="58" xfId="0" applyFont="1" applyFill="1" applyBorder="1" applyAlignment="1">
      <alignment horizontal="center" vertical="center" wrapText="1"/>
    </xf>
    <xf numFmtId="0" fontId="43" fillId="21" borderId="61" xfId="0" applyFont="1" applyFill="1" applyBorder="1" applyAlignment="1">
      <alignment horizontal="center"/>
    </xf>
    <xf numFmtId="0" fontId="43" fillId="21" borderId="62" xfId="0" applyFont="1" applyFill="1" applyBorder="1" applyAlignment="1">
      <alignment horizontal="center"/>
    </xf>
    <xf numFmtId="0" fontId="38" fillId="0" borderId="3" xfId="0" applyFont="1" applyFill="1" applyBorder="1" applyAlignment="1">
      <alignment horizontal="center" vertical="center"/>
    </xf>
    <xf numFmtId="0" fontId="38" fillId="0" borderId="4" xfId="0" applyFont="1" applyFill="1" applyBorder="1" applyAlignment="1">
      <alignment horizontal="center" vertical="center"/>
    </xf>
    <xf numFmtId="0" fontId="38" fillId="0" borderId="0" xfId="0" applyFont="1" applyFill="1" applyBorder="1" applyAlignment="1">
      <alignment horizontal="center" vertical="center"/>
    </xf>
    <xf numFmtId="0" fontId="43" fillId="21" borderId="57" xfId="0" applyFont="1" applyFill="1" applyBorder="1" applyAlignment="1">
      <alignment horizontal="center" vertical="center" wrapText="1"/>
    </xf>
    <xf numFmtId="0" fontId="38" fillId="21" borderId="1" xfId="0" applyFont="1" applyFill="1" applyBorder="1" applyAlignment="1">
      <alignment horizontal="center" vertical="center" wrapText="1"/>
    </xf>
    <xf numFmtId="0" fontId="49" fillId="0" borderId="59" xfId="0" applyFont="1" applyBorder="1" applyAlignment="1">
      <alignment horizontal="center" vertical="center"/>
    </xf>
    <xf numFmtId="0" fontId="49" fillId="0" borderId="69" xfId="0" applyFont="1" applyBorder="1" applyAlignment="1">
      <alignment horizontal="center" vertical="center"/>
    </xf>
    <xf numFmtId="0" fontId="49" fillId="0" borderId="62" xfId="0" applyFont="1" applyBorder="1" applyAlignment="1">
      <alignment horizontal="center" vertical="center"/>
    </xf>
    <xf numFmtId="0" fontId="4" fillId="0" borderId="51" xfId="0" applyFont="1" applyBorder="1" applyAlignment="1">
      <alignment horizontal="center" vertical="center"/>
    </xf>
    <xf numFmtId="0" fontId="4" fillId="0" borderId="45" xfId="0" applyFont="1" applyBorder="1" applyAlignment="1">
      <alignment horizontal="center" vertical="center"/>
    </xf>
    <xf numFmtId="0" fontId="4" fillId="0" borderId="8" xfId="0" applyFont="1" applyBorder="1" applyAlignment="1">
      <alignment horizontal="center" vertical="center"/>
    </xf>
    <xf numFmtId="0" fontId="38" fillId="0" borderId="12" xfId="0" applyFont="1" applyFill="1" applyBorder="1" applyAlignment="1">
      <alignment horizontal="center" vertical="center"/>
    </xf>
    <xf numFmtId="0" fontId="38" fillId="0" borderId="44" xfId="0" applyFont="1" applyBorder="1" applyAlignment="1">
      <alignment horizontal="center" vertical="center"/>
    </xf>
    <xf numFmtId="0" fontId="38" fillId="0" borderId="45" xfId="0" applyFont="1" applyBorder="1" applyAlignment="1">
      <alignment horizontal="center" vertical="center"/>
    </xf>
    <xf numFmtId="0" fontId="38" fillId="0" borderId="47" xfId="0" applyFont="1" applyBorder="1" applyAlignment="1">
      <alignment horizontal="center" vertical="center"/>
    </xf>
    <xf numFmtId="0" fontId="38" fillId="21" borderId="1" xfId="0" applyFont="1" applyFill="1" applyBorder="1" applyAlignment="1">
      <alignment horizontal="center" vertical="center"/>
    </xf>
    <xf numFmtId="0" fontId="38" fillId="21" borderId="2" xfId="0" applyFont="1" applyFill="1" applyBorder="1" applyAlignment="1">
      <alignment horizontal="center" vertical="center"/>
    </xf>
    <xf numFmtId="0" fontId="39" fillId="11" borderId="59" xfId="0" applyFont="1" applyFill="1" applyBorder="1" applyAlignment="1">
      <alignment horizontal="center" vertical="center"/>
    </xf>
    <xf numFmtId="0" fontId="39" fillId="11" borderId="62" xfId="0" applyFont="1" applyFill="1" applyBorder="1" applyAlignment="1">
      <alignment horizontal="center" vertical="center"/>
    </xf>
    <xf numFmtId="0" fontId="4" fillId="0" borderId="44" xfId="0" applyFont="1" applyBorder="1" applyAlignment="1">
      <alignment horizontal="center" vertical="center"/>
    </xf>
    <xf numFmtId="0" fontId="4" fillId="0" borderId="47" xfId="0" applyFont="1" applyBorder="1" applyAlignment="1">
      <alignment horizontal="center" vertical="center"/>
    </xf>
    <xf numFmtId="0" fontId="38" fillId="0" borderId="7" xfId="0" applyFont="1" applyFill="1" applyBorder="1" applyAlignment="1">
      <alignment horizontal="center" vertical="center" wrapText="1"/>
    </xf>
    <xf numFmtId="0" fontId="38" fillId="0" borderId="0" xfId="0" applyFont="1" applyFill="1" applyBorder="1" applyAlignment="1">
      <alignment horizontal="center" vertical="center" wrapText="1"/>
    </xf>
    <xf numFmtId="0" fontId="38" fillId="0" borderId="4" xfId="0" applyFont="1" applyFill="1" applyBorder="1" applyAlignment="1">
      <alignment horizontal="center" vertical="center" wrapText="1"/>
    </xf>
    <xf numFmtId="0" fontId="38" fillId="0" borderId="7" xfId="0" applyFont="1" applyFill="1" applyBorder="1" applyAlignment="1">
      <alignment horizontal="center" vertical="center"/>
    </xf>
    <xf numFmtId="3" fontId="39" fillId="11" borderId="5" xfId="0" applyNumberFormat="1" applyFont="1" applyFill="1" applyBorder="1" applyAlignment="1">
      <alignment horizontal="center" vertical="center" wrapText="1"/>
    </xf>
    <xf numFmtId="3" fontId="39" fillId="11" borderId="2" xfId="0" applyNumberFormat="1" applyFont="1" applyFill="1" applyBorder="1" applyAlignment="1">
      <alignment horizontal="center" vertical="center" wrapText="1"/>
    </xf>
    <xf numFmtId="3" fontId="39" fillId="11" borderId="16" xfId="0" applyNumberFormat="1" applyFont="1" applyFill="1" applyBorder="1" applyAlignment="1">
      <alignment horizontal="center" vertical="center"/>
    </xf>
    <xf numFmtId="0" fontId="38" fillId="0" borderId="26" xfId="0" applyFont="1" applyFill="1" applyBorder="1" applyAlignment="1">
      <alignment horizontal="center" vertical="center"/>
    </xf>
    <xf numFmtId="0" fontId="38" fillId="0" borderId="6" xfId="0" applyFont="1" applyFill="1" applyBorder="1" applyAlignment="1">
      <alignment horizontal="center" vertical="center"/>
    </xf>
    <xf numFmtId="0" fontId="38" fillId="0" borderId="27" xfId="0" applyFont="1" applyFill="1" applyBorder="1" applyAlignment="1">
      <alignment horizontal="center" vertical="center"/>
    </xf>
    <xf numFmtId="3" fontId="39" fillId="11" borderId="16" xfId="0" applyNumberFormat="1" applyFont="1" applyFill="1" applyBorder="1" applyAlignment="1">
      <alignment horizontal="center" vertical="center" wrapText="1"/>
    </xf>
    <xf numFmtId="3" fontId="39" fillId="11" borderId="5" xfId="0" applyNumberFormat="1" applyFont="1" applyFill="1" applyBorder="1" applyAlignment="1">
      <alignment horizontal="center" vertical="center"/>
    </xf>
    <xf numFmtId="0" fontId="45" fillId="11" borderId="43" xfId="0" applyFont="1" applyFill="1" applyBorder="1" applyAlignment="1">
      <alignment horizontal="center" vertical="center"/>
    </xf>
    <xf numFmtId="0" fontId="45" fillId="11" borderId="28" xfId="0" applyFont="1" applyFill="1" applyBorder="1" applyAlignment="1">
      <alignment horizontal="center" vertical="center"/>
    </xf>
    <xf numFmtId="0" fontId="45" fillId="11" borderId="29" xfId="0" applyFont="1" applyFill="1" applyBorder="1" applyAlignment="1">
      <alignment horizontal="center" vertical="center"/>
    </xf>
    <xf numFmtId="0" fontId="38" fillId="24" borderId="51" xfId="0" applyFont="1" applyFill="1" applyBorder="1" applyAlignment="1">
      <alignment horizontal="center"/>
    </xf>
    <xf numFmtId="0" fontId="38" fillId="24" borderId="55" xfId="0" applyFont="1" applyFill="1" applyBorder="1" applyAlignment="1">
      <alignment horizontal="center"/>
    </xf>
    <xf numFmtId="170" fontId="38" fillId="0" borderId="3" xfId="0" applyNumberFormat="1" applyFont="1" applyFill="1" applyBorder="1" applyAlignment="1">
      <alignment horizontal="center" vertical="center"/>
    </xf>
    <xf numFmtId="170" fontId="38" fillId="0" borderId="4" xfId="0" applyNumberFormat="1" applyFont="1" applyFill="1" applyBorder="1" applyAlignment="1">
      <alignment horizontal="center"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0" fontId="4" fillId="0" borderId="68" xfId="0" applyFont="1" applyBorder="1" applyAlignment="1">
      <alignment horizontal="center" vertical="center"/>
    </xf>
    <xf numFmtId="4" fontId="39" fillId="11" borderId="55" xfId="0" applyNumberFormat="1" applyFont="1" applyFill="1" applyBorder="1" applyAlignment="1">
      <alignment horizontal="center" vertical="center"/>
    </xf>
    <xf numFmtId="3" fontId="39" fillId="11" borderId="46" xfId="0" applyNumberFormat="1" applyFont="1" applyFill="1" applyBorder="1" applyAlignment="1">
      <alignment horizontal="center" vertical="center" wrapText="1"/>
    </xf>
    <xf numFmtId="3" fontId="39" fillId="11" borderId="63" xfId="0" applyNumberFormat="1" applyFont="1" applyFill="1" applyBorder="1" applyAlignment="1">
      <alignment horizontal="center" vertical="center" wrapText="1"/>
    </xf>
    <xf numFmtId="4" fontId="39" fillId="11" borderId="5" xfId="0" applyNumberFormat="1" applyFont="1" applyFill="1" applyBorder="1" applyAlignment="1">
      <alignment horizontal="center" vertical="center" wrapText="1"/>
    </xf>
    <xf numFmtId="4" fontId="39" fillId="11" borderId="67" xfId="0" applyNumberFormat="1" applyFont="1" applyFill="1" applyBorder="1" applyAlignment="1">
      <alignment horizontal="center" vertical="center" wrapText="1"/>
    </xf>
    <xf numFmtId="0" fontId="0" fillId="0" borderId="28" xfId="0" applyBorder="1"/>
    <xf numFmtId="0" fontId="0" fillId="0" borderId="29" xfId="0" applyBorder="1"/>
    <xf numFmtId="0" fontId="77" fillId="16" borderId="43" xfId="0" applyFont="1" applyFill="1" applyBorder="1" applyAlignment="1">
      <alignment horizontal="center"/>
    </xf>
    <xf numFmtId="0" fontId="77" fillId="16" borderId="28" xfId="0" applyFont="1" applyFill="1" applyBorder="1" applyAlignment="1">
      <alignment horizontal="center"/>
    </xf>
    <xf numFmtId="0" fontId="77" fillId="16" borderId="29" xfId="0" applyFont="1" applyFill="1" applyBorder="1" applyAlignment="1">
      <alignment horizontal="center"/>
    </xf>
    <xf numFmtId="0" fontId="0" fillId="0" borderId="51" xfId="0" applyBorder="1" applyAlignment="1">
      <alignment horizontal="center" vertical="center"/>
    </xf>
    <xf numFmtId="0" fontId="0" fillId="0" borderId="8" xfId="0" applyBorder="1" applyAlignment="1">
      <alignment horizontal="center" vertical="center"/>
    </xf>
    <xf numFmtId="0" fontId="39" fillId="11" borderId="59" xfId="0" applyFont="1" applyFill="1" applyBorder="1" applyAlignment="1">
      <alignment horizontal="center" vertical="center" wrapText="1"/>
    </xf>
    <xf numFmtId="0" fontId="39" fillId="11" borderId="62" xfId="0" applyFont="1" applyFill="1" applyBorder="1" applyAlignment="1">
      <alignment horizontal="center" vertical="center" wrapText="1"/>
    </xf>
    <xf numFmtId="0" fontId="39" fillId="11" borderId="57" xfId="0" applyFont="1" applyFill="1" applyBorder="1" applyAlignment="1">
      <alignment horizontal="center" vertical="center" wrapText="1"/>
    </xf>
    <xf numFmtId="0" fontId="39" fillId="11" borderId="58" xfId="0" applyFont="1" applyFill="1" applyBorder="1" applyAlignment="1">
      <alignment horizontal="center" vertical="center" wrapText="1"/>
    </xf>
    <xf numFmtId="0" fontId="4" fillId="0" borderId="55" xfId="0" applyFont="1" applyBorder="1" applyAlignment="1">
      <alignment horizontal="center" vertical="center"/>
    </xf>
    <xf numFmtId="0" fontId="4" fillId="0" borderId="9" xfId="0" applyFont="1" applyBorder="1" applyAlignment="1">
      <alignment horizontal="center" vertical="center"/>
    </xf>
    <xf numFmtId="4" fontId="39" fillId="11" borderId="59" xfId="0" applyNumberFormat="1" applyFont="1" applyFill="1" applyBorder="1" applyAlignment="1">
      <alignment horizontal="center" vertical="center"/>
    </xf>
    <xf numFmtId="4" fontId="39" fillId="11" borderId="62" xfId="0" applyNumberFormat="1" applyFont="1" applyFill="1" applyBorder="1" applyAlignment="1">
      <alignment horizontal="center" vertical="center"/>
    </xf>
    <xf numFmtId="0" fontId="49" fillId="0" borderId="3" xfId="0" applyFont="1" applyBorder="1" applyAlignment="1">
      <alignment horizontal="center" vertical="center"/>
    </xf>
    <xf numFmtId="0" fontId="49" fillId="0" borderId="0" xfId="0" applyFont="1" applyBorder="1" applyAlignment="1">
      <alignment horizontal="center" vertical="center"/>
    </xf>
    <xf numFmtId="4" fontId="39" fillId="11" borderId="10" xfId="0" applyNumberFormat="1" applyFont="1" applyFill="1" applyBorder="1" applyAlignment="1">
      <alignment horizontal="center" vertical="center"/>
    </xf>
    <xf numFmtId="4" fontId="39" fillId="11" borderId="5" xfId="0" applyNumberFormat="1" applyFont="1" applyFill="1" applyBorder="1" applyAlignment="1">
      <alignment horizontal="center"/>
    </xf>
    <xf numFmtId="0" fontId="39" fillId="11" borderId="6" xfId="0" applyFont="1" applyFill="1" applyBorder="1" applyAlignment="1">
      <alignment horizontal="center" vertical="center" wrapText="1"/>
    </xf>
    <xf numFmtId="0" fontId="39" fillId="11" borderId="10" xfId="0" applyFont="1" applyFill="1" applyBorder="1" applyAlignment="1">
      <alignment horizontal="center" vertical="center" wrapText="1"/>
    </xf>
    <xf numFmtId="0" fontId="50" fillId="0" borderId="28" xfId="0" applyFont="1" applyBorder="1" applyAlignment="1">
      <alignment horizontal="center" vertical="center"/>
    </xf>
    <xf numFmtId="0" fontId="38" fillId="11" borderId="5" xfId="0" applyFont="1" applyFill="1" applyBorder="1" applyAlignment="1">
      <alignment horizontal="center"/>
    </xf>
    <xf numFmtId="4" fontId="38" fillId="0" borderId="1" xfId="0" applyNumberFormat="1" applyFont="1" applyFill="1" applyBorder="1" applyAlignment="1">
      <alignment horizontal="center" vertical="center"/>
    </xf>
    <xf numFmtId="4" fontId="39" fillId="11" borderId="9" xfId="0" applyNumberFormat="1" applyFont="1" applyFill="1" applyBorder="1" applyAlignment="1">
      <alignment horizontal="center" vertical="center"/>
    </xf>
    <xf numFmtId="0" fontId="39" fillId="11" borderId="56" xfId="0" applyFont="1" applyFill="1" applyBorder="1" applyAlignment="1">
      <alignment horizontal="center" vertical="center" wrapText="1"/>
    </xf>
    <xf numFmtId="0" fontId="39" fillId="11" borderId="61" xfId="0" applyFont="1" applyFill="1" applyBorder="1" applyAlignment="1">
      <alignment horizontal="center" vertical="center" wrapText="1"/>
    </xf>
    <xf numFmtId="4" fontId="39" fillId="11" borderId="56" xfId="0" applyNumberFormat="1" applyFont="1" applyFill="1" applyBorder="1" applyAlignment="1">
      <alignment horizontal="center" vertical="center"/>
    </xf>
    <xf numFmtId="4" fontId="39" fillId="11" borderId="57" xfId="0" applyNumberFormat="1" applyFont="1" applyFill="1" applyBorder="1" applyAlignment="1">
      <alignment horizontal="center" vertical="center"/>
    </xf>
    <xf numFmtId="3" fontId="39" fillId="11" borderId="50" xfId="0" applyNumberFormat="1" applyFont="1" applyFill="1" applyBorder="1" applyAlignment="1">
      <alignment horizontal="center" vertical="center" wrapText="1"/>
    </xf>
    <xf numFmtId="4" fontId="39" fillId="11" borderId="35" xfId="0" applyNumberFormat="1" applyFont="1" applyFill="1" applyBorder="1" applyAlignment="1">
      <alignment horizontal="center" vertical="center" wrapText="1"/>
    </xf>
    <xf numFmtId="4" fontId="39" fillId="11" borderId="2" xfId="0" applyNumberFormat="1" applyFont="1" applyFill="1" applyBorder="1" applyAlignment="1">
      <alignment horizontal="center" vertical="center" wrapText="1"/>
    </xf>
    <xf numFmtId="4" fontId="39" fillId="11" borderId="61" xfId="0" applyNumberFormat="1" applyFont="1" applyFill="1" applyBorder="1" applyAlignment="1">
      <alignment horizontal="center" vertical="center"/>
    </xf>
    <xf numFmtId="0" fontId="39" fillId="11" borderId="61" xfId="0" applyFont="1" applyFill="1" applyBorder="1" applyAlignment="1">
      <alignment horizontal="center" vertical="center"/>
    </xf>
    <xf numFmtId="0" fontId="39" fillId="11" borderId="39" xfId="0" applyFont="1" applyFill="1" applyBorder="1" applyAlignment="1">
      <alignment horizontal="center" vertical="center" wrapText="1"/>
    </xf>
    <xf numFmtId="0" fontId="39" fillId="11" borderId="30" xfId="0" applyFont="1" applyFill="1" applyBorder="1" applyAlignment="1">
      <alignment horizontal="center" vertical="center" wrapText="1"/>
    </xf>
    <xf numFmtId="0" fontId="39" fillId="11" borderId="42" xfId="0" applyFont="1" applyFill="1" applyBorder="1" applyAlignment="1">
      <alignment horizontal="center" vertical="center" wrapText="1"/>
    </xf>
    <xf numFmtId="0" fontId="79" fillId="19" borderId="1" xfId="0" applyFont="1" applyFill="1" applyBorder="1" applyAlignment="1">
      <alignment horizontal="center"/>
    </xf>
  </cellXfs>
  <cellStyles count="897">
    <cellStyle name="Normal" xfId="0" builtinId="0"/>
    <cellStyle name="Normal 10" xfId="1"/>
    <cellStyle name="Normal 10 2" xfId="2"/>
    <cellStyle name="Normal 10 2 2" xfId="3"/>
    <cellStyle name="Normal 10 3" xfId="4"/>
    <cellStyle name="Normal 10 3 2" xfId="5"/>
    <cellStyle name="Normal 10 4" xfId="6"/>
    <cellStyle name="Normal 10 4 2" xfId="7"/>
    <cellStyle name="Normal 10 5" xfId="8"/>
    <cellStyle name="Normal 10 5 2" xfId="9"/>
    <cellStyle name="Normal 10 6" xfId="10"/>
    <cellStyle name="Normal 10 6 2" xfId="11"/>
    <cellStyle name="Normal 10 7" xfId="12"/>
    <cellStyle name="Normal 11" xfId="13"/>
    <cellStyle name="Normal 11 2" xfId="14"/>
    <cellStyle name="Normal 11 2 2" xfId="15"/>
    <cellStyle name="Normal 11 3" xfId="16"/>
    <cellStyle name="Normal 11 3 2" xfId="17"/>
    <cellStyle name="Normal 11 4" xfId="18"/>
    <cellStyle name="Normal 11 4 2" xfId="19"/>
    <cellStyle name="Normal 11 5" xfId="20"/>
    <cellStyle name="Normal 11 5 2" xfId="21"/>
    <cellStyle name="Normal 11 6" xfId="22"/>
    <cellStyle name="Normal 11 6 2" xfId="23"/>
    <cellStyle name="Normal 11 7" xfId="24"/>
    <cellStyle name="Normal 12" xfId="25"/>
    <cellStyle name="Normal 12 2" xfId="26"/>
    <cellStyle name="Normal 12 2 2" xfId="27"/>
    <cellStyle name="Normal 12 3" xfId="28"/>
    <cellStyle name="Normal 13" xfId="29"/>
    <cellStyle name="Normal 13 2" xfId="30"/>
    <cellStyle name="Normal 13 2 2" xfId="31"/>
    <cellStyle name="Normal 13 3" xfId="32"/>
    <cellStyle name="Normal 14" xfId="33"/>
    <cellStyle name="Normal 14 2" xfId="34"/>
    <cellStyle name="Normal 14 2 2" xfId="35"/>
    <cellStyle name="Normal 14 3" xfId="36"/>
    <cellStyle name="Normal 15" xfId="37"/>
    <cellStyle name="Normal 15 2" xfId="38"/>
    <cellStyle name="Normal 15 2 2" xfId="39"/>
    <cellStyle name="Normal 15 3" xfId="40"/>
    <cellStyle name="Normal 16" xfId="41"/>
    <cellStyle name="Normal 16 2" xfId="42"/>
    <cellStyle name="Normal 17" xfId="43"/>
    <cellStyle name="Normal 17 2" xfId="44"/>
    <cellStyle name="Normal 18" xfId="45"/>
    <cellStyle name="Normal 18 2" xfId="46"/>
    <cellStyle name="Normal 19" xfId="47"/>
    <cellStyle name="Normal 19 2" xfId="48"/>
    <cellStyle name="Normal 2" xfId="49"/>
    <cellStyle name="Normal 2 10" xfId="50"/>
    <cellStyle name="Normal 2 11" xfId="51"/>
    <cellStyle name="Normal 2 11 2" xfId="52"/>
    <cellStyle name="Normal 2 11 2 2" xfId="53"/>
    <cellStyle name="Normal 2 11 2 2 2" xfId="54"/>
    <cellStyle name="Normal 2 11 2 2 3" xfId="55"/>
    <cellStyle name="Normal 2 11 2 2 4" xfId="56"/>
    <cellStyle name="Normal 2 11 2 2 5" xfId="57"/>
    <cellStyle name="Normal 2 11 2 2 6" xfId="58"/>
    <cellStyle name="Normal 2 11 2 3" xfId="59"/>
    <cellStyle name="Normal 2 11 2 3 2" xfId="60"/>
    <cellStyle name="Normal 2 11 2 4" xfId="61"/>
    <cellStyle name="Normal 2 11 2 4 2" xfId="62"/>
    <cellStyle name="Normal 2 11 2 5" xfId="63"/>
    <cellStyle name="Normal 2 11 2 5 2" xfId="64"/>
    <cellStyle name="Normal 2 11 3" xfId="65"/>
    <cellStyle name="Normal 2 11 4" xfId="66"/>
    <cellStyle name="Normal 2 11 5" xfId="67"/>
    <cellStyle name="Normal 2 11 6" xfId="68"/>
    <cellStyle name="Normal 2 11 7" xfId="69"/>
    <cellStyle name="Normal 2 12" xfId="70"/>
    <cellStyle name="Normal 2 13" xfId="71"/>
    <cellStyle name="Normal 2 14" xfId="72"/>
    <cellStyle name="Normal 2 15" xfId="73"/>
    <cellStyle name="Normal 2 15 2" xfId="74"/>
    <cellStyle name="Normal 2 15 3" xfId="75"/>
    <cellStyle name="Normal 2 15 4" xfId="76"/>
    <cellStyle name="Normal 2 15 5" xfId="77"/>
    <cellStyle name="Normal 2 15 6" xfId="78"/>
    <cellStyle name="Normal 2 16" xfId="79"/>
    <cellStyle name="Normal 2 16 2" xfId="80"/>
    <cellStyle name="Normal 2 17" xfId="81"/>
    <cellStyle name="Normal 2 17 2" xfId="82"/>
    <cellStyle name="Normal 2 18" xfId="83"/>
    <cellStyle name="Normal 2 18 2" xfId="84"/>
    <cellStyle name="Normal 2 19" xfId="85"/>
    <cellStyle name="Normal 2 2" xfId="86"/>
    <cellStyle name="Normal 2 2 10" xfId="87"/>
    <cellStyle name="Normal 2 2 10 2" xfId="88"/>
    <cellStyle name="Normal 2 2 11" xfId="89"/>
    <cellStyle name="Normal 2 2 11 2" xfId="90"/>
    <cellStyle name="Normal 2 2 11 2 2" xfId="91"/>
    <cellStyle name="Normal 2 2 11 2 2 2" xfId="92"/>
    <cellStyle name="Normal 2 2 11 2 2 2 2" xfId="93"/>
    <cellStyle name="Normal 2 2 11 2 2 3" xfId="94"/>
    <cellStyle name="Normal 2 2 11 2 2 3 2" xfId="95"/>
    <cellStyle name="Normal 2 2 11 2 2 4" xfId="96"/>
    <cellStyle name="Normal 2 2 11 2 2 4 2" xfId="97"/>
    <cellStyle name="Normal 2 2 11 2 2 5" xfId="98"/>
    <cellStyle name="Normal 2 2 11 2 2 5 2" xfId="99"/>
    <cellStyle name="Normal 2 2 11 2 3" xfId="100"/>
    <cellStyle name="Normal 2 2 11 2 4" xfId="101"/>
    <cellStyle name="Normal 2 2 11 2 5" xfId="102"/>
    <cellStyle name="Normal 2 2 11 2 6" xfId="103"/>
    <cellStyle name="Normal 2 2 11 3" xfId="104"/>
    <cellStyle name="Normal 2 2 11 3 2" xfId="105"/>
    <cellStyle name="Normal 2 2 11 4" xfId="106"/>
    <cellStyle name="Normal 2 2 11 4 2" xfId="107"/>
    <cellStyle name="Normal 2 2 11 5" xfId="108"/>
    <cellStyle name="Normal 2 2 11 5 2" xfId="109"/>
    <cellStyle name="Normal 2 2 11 6" xfId="110"/>
    <cellStyle name="Normal 2 2 11 6 2" xfId="111"/>
    <cellStyle name="Normal 2 2 12" xfId="112"/>
    <cellStyle name="Normal 2 2 12 2" xfId="113"/>
    <cellStyle name="Normal 2 2 13" xfId="114"/>
    <cellStyle name="Normal 2 2 13 2" xfId="115"/>
    <cellStyle name="Normal 2 2 14" xfId="116"/>
    <cellStyle name="Normal 2 2 14 2" xfId="117"/>
    <cellStyle name="Normal 2 2 15" xfId="118"/>
    <cellStyle name="Normal 2 2 15 2" xfId="119"/>
    <cellStyle name="Normal 2 2 15 2 2" xfId="120"/>
    <cellStyle name="Normal 2 2 15 3" xfId="121"/>
    <cellStyle name="Normal 2 2 15 3 2" xfId="122"/>
    <cellStyle name="Normal 2 2 15 4" xfId="123"/>
    <cellStyle name="Normal 2 2 15 4 2" xfId="124"/>
    <cellStyle name="Normal 2 2 15 5" xfId="125"/>
    <cellStyle name="Normal 2 2 15 5 2" xfId="126"/>
    <cellStyle name="Normal 2 2 16" xfId="127"/>
    <cellStyle name="Normal 2 2 17" xfId="128"/>
    <cellStyle name="Normal 2 2 18" xfId="129"/>
    <cellStyle name="Normal 2 2 19" xfId="130"/>
    <cellStyle name="Normal 2 2 2" xfId="131"/>
    <cellStyle name="Normal 2 2 2 10" xfId="132"/>
    <cellStyle name="Normal 2 2 2 11" xfId="133"/>
    <cellStyle name="Normal 2 2 2 12" xfId="134"/>
    <cellStyle name="Normal 2 2 2 13" xfId="135"/>
    <cellStyle name="Normal 2 2 2 13 2" xfId="136"/>
    <cellStyle name="Normal 2 2 2 13 3" xfId="137"/>
    <cellStyle name="Normal 2 2 2 13 4" xfId="138"/>
    <cellStyle name="Normal 2 2 2 13 5" xfId="139"/>
    <cellStyle name="Normal 2 2 2 13 6" xfId="140"/>
    <cellStyle name="Normal 2 2 2 14" xfId="141"/>
    <cellStyle name="Normal 2 2 2 14 2" xfId="142"/>
    <cellStyle name="Normal 2 2 2 15" xfId="143"/>
    <cellStyle name="Normal 2 2 2 15 2" xfId="144"/>
    <cellStyle name="Normal 2 2 2 16" xfId="145"/>
    <cellStyle name="Normal 2 2 2 16 2" xfId="146"/>
    <cellStyle name="Normal 2 2 2 2" xfId="147"/>
    <cellStyle name="Normal 2 2 2 2 10" xfId="148"/>
    <cellStyle name="Normal 2 2 2 2 10 2" xfId="149"/>
    <cellStyle name="Normal 2 2 2 2 11" xfId="150"/>
    <cellStyle name="Normal 2 2 2 2 11 2" xfId="151"/>
    <cellStyle name="Normal 2 2 2 2 12" xfId="152"/>
    <cellStyle name="Normal 2 2 2 2 12 2" xfId="153"/>
    <cellStyle name="Normal 2 2 2 2 13" xfId="154"/>
    <cellStyle name="Normal 2 2 2 2 13 2" xfId="155"/>
    <cellStyle name="Normal 2 2 2 2 13 2 2" xfId="156"/>
    <cellStyle name="Normal 2 2 2 2 13 3" xfId="157"/>
    <cellStyle name="Normal 2 2 2 2 13 3 2" xfId="158"/>
    <cellStyle name="Normal 2 2 2 2 13 4" xfId="159"/>
    <cellStyle name="Normal 2 2 2 2 13 4 2" xfId="160"/>
    <cellStyle name="Normal 2 2 2 2 13 5" xfId="161"/>
    <cellStyle name="Normal 2 2 2 2 13 5 2" xfId="162"/>
    <cellStyle name="Normal 2 2 2 2 14" xfId="163"/>
    <cellStyle name="Normal 2 2 2 2 15" xfId="164"/>
    <cellStyle name="Normal 2 2 2 2 16" xfId="165"/>
    <cellStyle name="Normal 2 2 2 2 17" xfId="166"/>
    <cellStyle name="Normal 2 2 2 2 2" xfId="167"/>
    <cellStyle name="Normal 2 2 2 2 2 2" xfId="168"/>
    <cellStyle name="Normal 2 2 2 2 2 2 10" xfId="169"/>
    <cellStyle name="Normal 2 2 2 2 2 2 2" xfId="170"/>
    <cellStyle name="Normal 2 2 2 2 2 2 2 2" xfId="171"/>
    <cellStyle name="Normal 2 2 2 2 2 2 2 2 2" xfId="172"/>
    <cellStyle name="Normal 2 2 2 2 2 2 2 2 2 2" xfId="173"/>
    <cellStyle name="Normal 2 2 2 2 2 2 2 2 2 2 2" xfId="174"/>
    <cellStyle name="Normal 2 2 2 2 2 2 2 2 2 3" xfId="175"/>
    <cellStyle name="Normal 2 2 2 2 2 2 2 2 2 3 2" xfId="176"/>
    <cellStyle name="Normal 2 2 2 2 2 2 2 2 2 4" xfId="177"/>
    <cellStyle name="Normal 2 2 2 2 2 2 2 2 2 4 2" xfId="178"/>
    <cellStyle name="Normal 2 2 2 2 2 2 2 2 2 5" xfId="179"/>
    <cellStyle name="Normal 2 2 2 2 2 2 2 2 2 5 2" xfId="180"/>
    <cellStyle name="Normal 2 2 2 2 2 2 2 2 3" xfId="181"/>
    <cellStyle name="Normal 2 2 2 2 2 2 2 2 4" xfId="182"/>
    <cellStyle name="Normal 2 2 2 2 2 2 2 2 5" xfId="183"/>
    <cellStyle name="Normal 2 2 2 2 2 2 2 2 6" xfId="184"/>
    <cellStyle name="Normal 2 2 2 2 2 2 2 3" xfId="185"/>
    <cellStyle name="Normal 2 2 2 2 2 2 2 3 2" xfId="186"/>
    <cellStyle name="Normal 2 2 2 2 2 2 2 4" xfId="187"/>
    <cellStyle name="Normal 2 2 2 2 2 2 2 4 2" xfId="188"/>
    <cellStyle name="Normal 2 2 2 2 2 2 2 5" xfId="189"/>
    <cellStyle name="Normal 2 2 2 2 2 2 2 5 2" xfId="190"/>
    <cellStyle name="Normal 2 2 2 2 2 2 2 6" xfId="191"/>
    <cellStyle name="Normal 2 2 2 2 2 2 2 6 2" xfId="192"/>
    <cellStyle name="Normal 2 2 2 2 2 2 3" xfId="193"/>
    <cellStyle name="Normal 2 2 2 2 2 2 3 2" xfId="194"/>
    <cellStyle name="Normal 2 2 2 2 2 2 4" xfId="195"/>
    <cellStyle name="Normal 2 2 2 2 2 2 4 2" xfId="196"/>
    <cellStyle name="Normal 2 2 2 2 2 2 5" xfId="197"/>
    <cellStyle name="Normal 2 2 2 2 2 2 5 2" xfId="198"/>
    <cellStyle name="Normal 2 2 2 2 2 2 6" xfId="199"/>
    <cellStyle name="Normal 2 2 2 2 2 2 6 2" xfId="200"/>
    <cellStyle name="Normal 2 2 2 2 2 2 6 2 2" xfId="201"/>
    <cellStyle name="Normal 2 2 2 2 2 2 6 3" xfId="202"/>
    <cellStyle name="Normal 2 2 2 2 2 2 6 3 2" xfId="203"/>
    <cellStyle name="Normal 2 2 2 2 2 2 6 4" xfId="204"/>
    <cellStyle name="Normal 2 2 2 2 2 2 6 4 2" xfId="205"/>
    <cellStyle name="Normal 2 2 2 2 2 2 6 5" xfId="206"/>
    <cellStyle name="Normal 2 2 2 2 2 2 6 5 2" xfId="207"/>
    <cellStyle name="Normal 2 2 2 2 2 2 7" xfId="208"/>
    <cellStyle name="Normal 2 2 2 2 2 2 8" xfId="209"/>
    <cellStyle name="Normal 2 2 2 2 2 2 9" xfId="210"/>
    <cellStyle name="Normal 2 2 2 2 2 3" xfId="211"/>
    <cellStyle name="Normal 2 2 2 2 2 3 2" xfId="212"/>
    <cellStyle name="Normal 2 2 2 2 2 3 2 2" xfId="213"/>
    <cellStyle name="Normal 2 2 2 2 2 3 2 2 2" xfId="214"/>
    <cellStyle name="Normal 2 2 2 2 2 3 2 2 3" xfId="215"/>
    <cellStyle name="Normal 2 2 2 2 2 3 2 2 4" xfId="216"/>
    <cellStyle name="Normal 2 2 2 2 2 3 2 2 5" xfId="217"/>
    <cellStyle name="Normal 2 2 2 2 2 3 2 2 6" xfId="218"/>
    <cellStyle name="Normal 2 2 2 2 2 3 2 3" xfId="219"/>
    <cellStyle name="Normal 2 2 2 2 2 3 2 3 2" xfId="220"/>
    <cellStyle name="Normal 2 2 2 2 2 3 2 4" xfId="221"/>
    <cellStyle name="Normal 2 2 2 2 2 3 2 4 2" xfId="222"/>
    <cellStyle name="Normal 2 2 2 2 2 3 2 5" xfId="223"/>
    <cellStyle name="Normal 2 2 2 2 2 3 2 5 2" xfId="224"/>
    <cellStyle name="Normal 2 2 2 2 2 3 3" xfId="225"/>
    <cellStyle name="Normal 2 2 2 2 2 3 4" xfId="226"/>
    <cellStyle name="Normal 2 2 2 2 2 3 5" xfId="227"/>
    <cellStyle name="Normal 2 2 2 2 2 3 6" xfId="228"/>
    <cellStyle name="Normal 2 2 2 2 2 3 7" xfId="229"/>
    <cellStyle name="Normal 2 2 2 2 2 4" xfId="230"/>
    <cellStyle name="Normal 2 2 2 2 2 5" xfId="231"/>
    <cellStyle name="Normal 2 2 2 2 2 6" xfId="232"/>
    <cellStyle name="Normal 2 2 2 2 2 6 2" xfId="233"/>
    <cellStyle name="Normal 2 2 2 2 2 6 3" xfId="234"/>
    <cellStyle name="Normal 2 2 2 2 2 6 4" xfId="235"/>
    <cellStyle name="Normal 2 2 2 2 2 6 5" xfId="236"/>
    <cellStyle name="Normal 2 2 2 2 2 6 6" xfId="237"/>
    <cellStyle name="Normal 2 2 2 2 2 7" xfId="238"/>
    <cellStyle name="Normal 2 2 2 2 2 7 2" xfId="239"/>
    <cellStyle name="Normal 2 2 2 2 2 8" xfId="240"/>
    <cellStyle name="Normal 2 2 2 2 2 8 2" xfId="241"/>
    <cellStyle name="Normal 2 2 2 2 2 9" xfId="242"/>
    <cellStyle name="Normal 2 2 2 2 2 9 2" xfId="243"/>
    <cellStyle name="Normal 2 2 2 2 3" xfId="244"/>
    <cellStyle name="Normal 2 2 2 2 3 2" xfId="245"/>
    <cellStyle name="Normal 2 2 2 2 4" xfId="246"/>
    <cellStyle name="Normal 2 2 2 2 4 2" xfId="247"/>
    <cellStyle name="Normal 2 2 2 2 5" xfId="248"/>
    <cellStyle name="Normal 2 2 2 2 5 2" xfId="249"/>
    <cellStyle name="Normal 2 2 2 2 6" xfId="250"/>
    <cellStyle name="Normal 2 2 2 2 6 2" xfId="251"/>
    <cellStyle name="Normal 2 2 2 2 7" xfId="252"/>
    <cellStyle name="Normal 2 2 2 2 7 2" xfId="253"/>
    <cellStyle name="Normal 2 2 2 2 8" xfId="254"/>
    <cellStyle name="Normal 2 2 2 2 8 2" xfId="255"/>
    <cellStyle name="Normal 2 2 2 2 9" xfId="256"/>
    <cellStyle name="Normal 2 2 2 2 9 2" xfId="257"/>
    <cellStyle name="Normal 2 2 2 2 9 2 2" xfId="258"/>
    <cellStyle name="Normal 2 2 2 2 9 2 2 2" xfId="259"/>
    <cellStyle name="Normal 2 2 2 2 9 2 2 2 2" xfId="260"/>
    <cellStyle name="Normal 2 2 2 2 9 2 2 3" xfId="261"/>
    <cellStyle name="Normal 2 2 2 2 9 2 2 3 2" xfId="262"/>
    <cellStyle name="Normal 2 2 2 2 9 2 2 4" xfId="263"/>
    <cellStyle name="Normal 2 2 2 2 9 2 2 4 2" xfId="264"/>
    <cellStyle name="Normal 2 2 2 2 9 2 2 5" xfId="265"/>
    <cellStyle name="Normal 2 2 2 2 9 2 2 5 2" xfId="266"/>
    <cellStyle name="Normal 2 2 2 2 9 2 3" xfId="267"/>
    <cellStyle name="Normal 2 2 2 2 9 2 4" xfId="268"/>
    <cellStyle name="Normal 2 2 2 2 9 2 5" xfId="269"/>
    <cellStyle name="Normal 2 2 2 2 9 2 6" xfId="270"/>
    <cellStyle name="Normal 2 2 2 2 9 3" xfId="271"/>
    <cellStyle name="Normal 2 2 2 2 9 3 2" xfId="272"/>
    <cellStyle name="Normal 2 2 2 2 9 4" xfId="273"/>
    <cellStyle name="Normal 2 2 2 2 9 4 2" xfId="274"/>
    <cellStyle name="Normal 2 2 2 2 9 5" xfId="275"/>
    <cellStyle name="Normal 2 2 2 2 9 5 2" xfId="276"/>
    <cellStyle name="Normal 2 2 2 2 9 6" xfId="277"/>
    <cellStyle name="Normal 2 2 2 2 9 6 2" xfId="278"/>
    <cellStyle name="Normal 2 2 2 3" xfId="279"/>
    <cellStyle name="Normal 2 2 2 3 10" xfId="280"/>
    <cellStyle name="Normal 2 2 2 3 2" xfId="281"/>
    <cellStyle name="Normal 2 2 2 3 2 2" xfId="282"/>
    <cellStyle name="Normal 2 2 2 3 2 2 2" xfId="283"/>
    <cellStyle name="Normal 2 2 2 3 2 2 2 2" xfId="284"/>
    <cellStyle name="Normal 2 2 2 3 2 2 2 2 2" xfId="285"/>
    <cellStyle name="Normal 2 2 2 3 2 2 2 2 3" xfId="286"/>
    <cellStyle name="Normal 2 2 2 3 2 2 2 2 4" xfId="287"/>
    <cellStyle name="Normal 2 2 2 3 2 2 2 2 5" xfId="288"/>
    <cellStyle name="Normal 2 2 2 3 2 2 2 2 6" xfId="289"/>
    <cellStyle name="Normal 2 2 2 3 2 2 2 3" xfId="290"/>
    <cellStyle name="Normal 2 2 2 3 2 2 2 3 2" xfId="291"/>
    <cellStyle name="Normal 2 2 2 3 2 2 2 4" xfId="292"/>
    <cellStyle name="Normal 2 2 2 3 2 2 2 4 2" xfId="293"/>
    <cellStyle name="Normal 2 2 2 3 2 2 2 5" xfId="294"/>
    <cellStyle name="Normal 2 2 2 3 2 2 2 5 2" xfId="295"/>
    <cellStyle name="Normal 2 2 2 3 2 2 3" xfId="296"/>
    <cellStyle name="Normal 2 2 2 3 2 2 4" xfId="297"/>
    <cellStyle name="Normal 2 2 2 3 2 2 5" xfId="298"/>
    <cellStyle name="Normal 2 2 2 3 2 2 6" xfId="299"/>
    <cellStyle name="Normal 2 2 2 3 2 2 7" xfId="300"/>
    <cellStyle name="Normal 2 2 2 3 2 3" xfId="301"/>
    <cellStyle name="Normal 2 2 2 3 2 4" xfId="302"/>
    <cellStyle name="Normal 2 2 2 3 2 5" xfId="303"/>
    <cellStyle name="Normal 2 2 2 3 2 6" xfId="304"/>
    <cellStyle name="Normal 2 2 2 3 2 6 2" xfId="305"/>
    <cellStyle name="Normal 2 2 2 3 2 6 3" xfId="306"/>
    <cellStyle name="Normal 2 2 2 3 2 6 4" xfId="307"/>
    <cellStyle name="Normal 2 2 2 3 2 6 5" xfId="308"/>
    <cellStyle name="Normal 2 2 2 3 2 6 6" xfId="309"/>
    <cellStyle name="Normal 2 2 2 3 2 7" xfId="310"/>
    <cellStyle name="Normal 2 2 2 3 2 7 2" xfId="311"/>
    <cellStyle name="Normal 2 2 2 3 2 8" xfId="312"/>
    <cellStyle name="Normal 2 2 2 3 2 8 2" xfId="313"/>
    <cellStyle name="Normal 2 2 2 3 2 9" xfId="314"/>
    <cellStyle name="Normal 2 2 2 3 2 9 2" xfId="315"/>
    <cellStyle name="Normal 2 2 2 3 3" xfId="316"/>
    <cellStyle name="Normal 2 2 2 3 3 2" xfId="317"/>
    <cellStyle name="Normal 2 2 2 3 3 2 2" xfId="318"/>
    <cellStyle name="Normal 2 2 2 3 3 2 2 2" xfId="319"/>
    <cellStyle name="Normal 2 2 2 3 3 2 2 2 2" xfId="320"/>
    <cellStyle name="Normal 2 2 2 3 3 2 2 3" xfId="321"/>
    <cellStyle name="Normal 2 2 2 3 3 2 2 3 2" xfId="322"/>
    <cellStyle name="Normal 2 2 2 3 3 2 2 4" xfId="323"/>
    <cellStyle name="Normal 2 2 2 3 3 2 2 4 2" xfId="324"/>
    <cellStyle name="Normal 2 2 2 3 3 2 2 5" xfId="325"/>
    <cellStyle name="Normal 2 2 2 3 3 2 2 5 2" xfId="326"/>
    <cellStyle name="Normal 2 2 2 3 3 2 3" xfId="327"/>
    <cellStyle name="Normal 2 2 2 3 3 2 4" xfId="328"/>
    <cellStyle name="Normal 2 2 2 3 3 2 5" xfId="329"/>
    <cellStyle name="Normal 2 2 2 3 3 2 6" xfId="330"/>
    <cellStyle name="Normal 2 2 2 3 3 3" xfId="331"/>
    <cellStyle name="Normal 2 2 2 3 3 3 2" xfId="332"/>
    <cellStyle name="Normal 2 2 2 3 3 4" xfId="333"/>
    <cellStyle name="Normal 2 2 2 3 3 4 2" xfId="334"/>
    <cellStyle name="Normal 2 2 2 3 3 5" xfId="335"/>
    <cellStyle name="Normal 2 2 2 3 3 5 2" xfId="336"/>
    <cellStyle name="Normal 2 2 2 3 3 6" xfId="337"/>
    <cellStyle name="Normal 2 2 2 3 3 6 2" xfId="338"/>
    <cellStyle name="Normal 2 2 2 3 4" xfId="339"/>
    <cellStyle name="Normal 2 2 2 3 4 2" xfId="340"/>
    <cellStyle name="Normal 2 2 2 3 5" xfId="341"/>
    <cellStyle name="Normal 2 2 2 3 5 2" xfId="342"/>
    <cellStyle name="Normal 2 2 2 3 6" xfId="343"/>
    <cellStyle name="Normal 2 2 2 3 6 2" xfId="344"/>
    <cellStyle name="Normal 2 2 2 3 6 2 2" xfId="345"/>
    <cellStyle name="Normal 2 2 2 3 6 3" xfId="346"/>
    <cellStyle name="Normal 2 2 2 3 6 3 2" xfId="347"/>
    <cellStyle name="Normal 2 2 2 3 6 4" xfId="348"/>
    <cellStyle name="Normal 2 2 2 3 6 4 2" xfId="349"/>
    <cellStyle name="Normal 2 2 2 3 6 5" xfId="350"/>
    <cellStyle name="Normal 2 2 2 3 6 5 2" xfId="351"/>
    <cellStyle name="Normal 2 2 2 3 7" xfId="352"/>
    <cellStyle name="Normal 2 2 2 3 8" xfId="353"/>
    <cellStyle name="Normal 2 2 2 3 9" xfId="354"/>
    <cellStyle name="Normal 2 2 2 4" xfId="355"/>
    <cellStyle name="Normal 2 2 2 5" xfId="356"/>
    <cellStyle name="Normal 2 2 2 6" xfId="357"/>
    <cellStyle name="Normal 2 2 2 7" xfId="358"/>
    <cellStyle name="Normal 2 2 2 8" xfId="359"/>
    <cellStyle name="Normal 2 2 2 9" xfId="360"/>
    <cellStyle name="Normal 2 2 2 9 2" xfId="361"/>
    <cellStyle name="Normal 2 2 2 9 2 2" xfId="362"/>
    <cellStyle name="Normal 2 2 2 9 2 2 2" xfId="363"/>
    <cellStyle name="Normal 2 2 2 9 2 2 3" xfId="364"/>
    <cellStyle name="Normal 2 2 2 9 2 2 4" xfId="365"/>
    <cellStyle name="Normal 2 2 2 9 2 2 5" xfId="366"/>
    <cellStyle name="Normal 2 2 2 9 2 2 6" xfId="367"/>
    <cellStyle name="Normal 2 2 2 9 2 3" xfId="368"/>
    <cellStyle name="Normal 2 2 2 9 2 3 2" xfId="369"/>
    <cellStyle name="Normal 2 2 2 9 2 4" xfId="370"/>
    <cellStyle name="Normal 2 2 2 9 2 4 2" xfId="371"/>
    <cellStyle name="Normal 2 2 2 9 2 5" xfId="372"/>
    <cellStyle name="Normal 2 2 2 9 2 5 2" xfId="373"/>
    <cellStyle name="Normal 2 2 2 9 3" xfId="374"/>
    <cellStyle name="Normal 2 2 2 9 4" xfId="375"/>
    <cellStyle name="Normal 2 2 2 9 5" xfId="376"/>
    <cellStyle name="Normal 2 2 2 9 6" xfId="377"/>
    <cellStyle name="Normal 2 2 2 9 7" xfId="378"/>
    <cellStyle name="Normal 2 2 3" xfId="379"/>
    <cellStyle name="Normal 2 2 3 2" xfId="380"/>
    <cellStyle name="Normal 2 2 4" xfId="381"/>
    <cellStyle name="Normal 2 2 4 2" xfId="382"/>
    <cellStyle name="Normal 2 2 4 2 10" xfId="383"/>
    <cellStyle name="Normal 2 2 4 2 2" xfId="384"/>
    <cellStyle name="Normal 2 2 4 2 2 2" xfId="385"/>
    <cellStyle name="Normal 2 2 4 2 2 2 2" xfId="386"/>
    <cellStyle name="Normal 2 2 4 2 2 2 2 2" xfId="387"/>
    <cellStyle name="Normal 2 2 4 2 2 2 2 2 2" xfId="388"/>
    <cellStyle name="Normal 2 2 4 2 2 2 2 3" xfId="389"/>
    <cellStyle name="Normal 2 2 4 2 2 2 2 3 2" xfId="390"/>
    <cellStyle name="Normal 2 2 4 2 2 2 2 4" xfId="391"/>
    <cellStyle name="Normal 2 2 4 2 2 2 2 4 2" xfId="392"/>
    <cellStyle name="Normal 2 2 4 2 2 2 2 5" xfId="393"/>
    <cellStyle name="Normal 2 2 4 2 2 2 2 5 2" xfId="394"/>
    <cellStyle name="Normal 2 2 4 2 2 2 3" xfId="395"/>
    <cellStyle name="Normal 2 2 4 2 2 2 4" xfId="396"/>
    <cellStyle name="Normal 2 2 4 2 2 2 5" xfId="397"/>
    <cellStyle name="Normal 2 2 4 2 2 2 6" xfId="398"/>
    <cellStyle name="Normal 2 2 4 2 2 3" xfId="399"/>
    <cellStyle name="Normal 2 2 4 2 2 3 2" xfId="400"/>
    <cellStyle name="Normal 2 2 4 2 2 4" xfId="401"/>
    <cellStyle name="Normal 2 2 4 2 2 4 2" xfId="402"/>
    <cellStyle name="Normal 2 2 4 2 2 5" xfId="403"/>
    <cellStyle name="Normal 2 2 4 2 2 5 2" xfId="404"/>
    <cellStyle name="Normal 2 2 4 2 2 6" xfId="405"/>
    <cellStyle name="Normal 2 2 4 2 2 6 2" xfId="406"/>
    <cellStyle name="Normal 2 2 4 2 3" xfId="407"/>
    <cellStyle name="Normal 2 2 4 2 3 2" xfId="408"/>
    <cellStyle name="Normal 2 2 4 2 4" xfId="409"/>
    <cellStyle name="Normal 2 2 4 2 4 2" xfId="410"/>
    <cellStyle name="Normal 2 2 4 2 5" xfId="411"/>
    <cellStyle name="Normal 2 2 4 2 5 2" xfId="412"/>
    <cellStyle name="Normal 2 2 4 2 6" xfId="413"/>
    <cellStyle name="Normal 2 2 4 2 6 2" xfId="414"/>
    <cellStyle name="Normal 2 2 4 2 6 2 2" xfId="415"/>
    <cellStyle name="Normal 2 2 4 2 6 3" xfId="416"/>
    <cellStyle name="Normal 2 2 4 2 6 3 2" xfId="417"/>
    <cellStyle name="Normal 2 2 4 2 6 4" xfId="418"/>
    <cellStyle name="Normal 2 2 4 2 6 4 2" xfId="419"/>
    <cellStyle name="Normal 2 2 4 2 6 5" xfId="420"/>
    <cellStyle name="Normal 2 2 4 2 6 5 2" xfId="421"/>
    <cellStyle name="Normal 2 2 4 2 7" xfId="422"/>
    <cellStyle name="Normal 2 2 4 2 8" xfId="423"/>
    <cellStyle name="Normal 2 2 4 2 9" xfId="424"/>
    <cellStyle name="Normal 2 2 4 3" xfId="425"/>
    <cellStyle name="Normal 2 2 4 3 2" xfId="426"/>
    <cellStyle name="Normal 2 2 4 3 2 2" xfId="427"/>
    <cellStyle name="Normal 2 2 4 3 2 2 2" xfId="428"/>
    <cellStyle name="Normal 2 2 4 3 2 2 3" xfId="429"/>
    <cellStyle name="Normal 2 2 4 3 2 2 4" xfId="430"/>
    <cellStyle name="Normal 2 2 4 3 2 2 5" xfId="431"/>
    <cellStyle name="Normal 2 2 4 3 2 2 6" xfId="432"/>
    <cellStyle name="Normal 2 2 4 3 2 3" xfId="433"/>
    <cellStyle name="Normal 2 2 4 3 2 3 2" xfId="434"/>
    <cellStyle name="Normal 2 2 4 3 2 4" xfId="435"/>
    <cellStyle name="Normal 2 2 4 3 2 4 2" xfId="436"/>
    <cellStyle name="Normal 2 2 4 3 2 5" xfId="437"/>
    <cellStyle name="Normal 2 2 4 3 2 5 2" xfId="438"/>
    <cellStyle name="Normal 2 2 4 3 3" xfId="439"/>
    <cellStyle name="Normal 2 2 4 3 4" xfId="440"/>
    <cellStyle name="Normal 2 2 4 3 5" xfId="441"/>
    <cellStyle name="Normal 2 2 4 3 6" xfId="442"/>
    <cellStyle name="Normal 2 2 4 3 7" xfId="443"/>
    <cellStyle name="Normal 2 2 4 4" xfId="444"/>
    <cellStyle name="Normal 2 2 4 5" xfId="445"/>
    <cellStyle name="Normal 2 2 4 6" xfId="446"/>
    <cellStyle name="Normal 2 2 4 6 2" xfId="447"/>
    <cellStyle name="Normal 2 2 4 6 3" xfId="448"/>
    <cellStyle name="Normal 2 2 4 6 4" xfId="449"/>
    <cellStyle name="Normal 2 2 4 6 5" xfId="450"/>
    <cellStyle name="Normal 2 2 4 6 6" xfId="451"/>
    <cellStyle name="Normal 2 2 4 7" xfId="452"/>
    <cellStyle name="Normal 2 2 4 7 2" xfId="453"/>
    <cellStyle name="Normal 2 2 4 8" xfId="454"/>
    <cellStyle name="Normal 2 2 4 8 2" xfId="455"/>
    <cellStyle name="Normal 2 2 4 9" xfId="456"/>
    <cellStyle name="Normal 2 2 4 9 2" xfId="457"/>
    <cellStyle name="Normal 2 2 5" xfId="458"/>
    <cellStyle name="Normal 2 2 5 2" xfId="459"/>
    <cellStyle name="Normal 2 2 6" xfId="460"/>
    <cellStyle name="Normal 2 2 6 2" xfId="461"/>
    <cellStyle name="Normal 2 2 7" xfId="462"/>
    <cellStyle name="Normal 2 2 7 2" xfId="463"/>
    <cellStyle name="Normal 2 2 8" xfId="464"/>
    <cellStyle name="Normal 2 2 8 2" xfId="465"/>
    <cellStyle name="Normal 2 2 9" xfId="466"/>
    <cellStyle name="Normal 2 2 9 2" xfId="467"/>
    <cellStyle name="Normal 2 3" xfId="468"/>
    <cellStyle name="Normal 2 3 10" xfId="469"/>
    <cellStyle name="Normal 2 3 10 2" xfId="470"/>
    <cellStyle name="Normal 2 3 11" xfId="471"/>
    <cellStyle name="Normal 2 3 11 2" xfId="472"/>
    <cellStyle name="Normal 2 3 12" xfId="473"/>
    <cellStyle name="Normal 2 3 12 2" xfId="474"/>
    <cellStyle name="Normal 2 3 13" xfId="475"/>
    <cellStyle name="Normal 2 3 13 2" xfId="476"/>
    <cellStyle name="Normal 2 3 13 2 2" xfId="477"/>
    <cellStyle name="Normal 2 3 13 3" xfId="478"/>
    <cellStyle name="Normal 2 3 13 3 2" xfId="479"/>
    <cellStyle name="Normal 2 3 13 4" xfId="480"/>
    <cellStyle name="Normal 2 3 13 4 2" xfId="481"/>
    <cellStyle name="Normal 2 3 13 5" xfId="482"/>
    <cellStyle name="Normal 2 3 13 5 2" xfId="483"/>
    <cellStyle name="Normal 2 3 14" xfId="484"/>
    <cellStyle name="Normal 2 3 15" xfId="485"/>
    <cellStyle name="Normal 2 3 16" xfId="486"/>
    <cellStyle name="Normal 2 3 17" xfId="487"/>
    <cellStyle name="Normal 2 3 2" xfId="488"/>
    <cellStyle name="Normal 2 3 2 10" xfId="489"/>
    <cellStyle name="Normal 2 3 2 11" xfId="490"/>
    <cellStyle name="Normal 2 3 2 12" xfId="491"/>
    <cellStyle name="Normal 2 3 2 13" xfId="492"/>
    <cellStyle name="Normal 2 3 2 13 2" xfId="493"/>
    <cellStyle name="Normal 2 3 2 13 3" xfId="494"/>
    <cellStyle name="Normal 2 3 2 13 4" xfId="495"/>
    <cellStyle name="Normal 2 3 2 13 5" xfId="496"/>
    <cellStyle name="Normal 2 3 2 13 6" xfId="497"/>
    <cellStyle name="Normal 2 3 2 14" xfId="498"/>
    <cellStyle name="Normal 2 3 2 14 2" xfId="499"/>
    <cellStyle name="Normal 2 3 2 15" xfId="500"/>
    <cellStyle name="Normal 2 3 2 15 2" xfId="501"/>
    <cellStyle name="Normal 2 3 2 16" xfId="502"/>
    <cellStyle name="Normal 2 3 2 16 2" xfId="503"/>
    <cellStyle name="Normal 2 3 2 2" xfId="504"/>
    <cellStyle name="Normal 2 3 2 2 10" xfId="505"/>
    <cellStyle name="Normal 2 3 2 2 2" xfId="506"/>
    <cellStyle name="Normal 2 3 2 2 2 2" xfId="507"/>
    <cellStyle name="Normal 2 3 2 2 2 2 2" xfId="508"/>
    <cellStyle name="Normal 2 3 2 2 2 2 2 2" xfId="509"/>
    <cellStyle name="Normal 2 3 2 2 2 2 2 2 2" xfId="510"/>
    <cellStyle name="Normal 2 3 2 2 2 2 2 2 3" xfId="511"/>
    <cellStyle name="Normal 2 3 2 2 2 2 2 2 4" xfId="512"/>
    <cellStyle name="Normal 2 3 2 2 2 2 2 2 5" xfId="513"/>
    <cellStyle name="Normal 2 3 2 2 2 2 2 2 6" xfId="514"/>
    <cellStyle name="Normal 2 3 2 2 2 2 2 3" xfId="515"/>
    <cellStyle name="Normal 2 3 2 2 2 2 2 3 2" xfId="516"/>
    <cellStyle name="Normal 2 3 2 2 2 2 2 4" xfId="517"/>
    <cellStyle name="Normal 2 3 2 2 2 2 2 4 2" xfId="518"/>
    <cellStyle name="Normal 2 3 2 2 2 2 2 5" xfId="519"/>
    <cellStyle name="Normal 2 3 2 2 2 2 2 5 2" xfId="520"/>
    <cellStyle name="Normal 2 3 2 2 2 2 3" xfId="521"/>
    <cellStyle name="Normal 2 3 2 2 2 2 4" xfId="522"/>
    <cellStyle name="Normal 2 3 2 2 2 2 5" xfId="523"/>
    <cellStyle name="Normal 2 3 2 2 2 2 6" xfId="524"/>
    <cellStyle name="Normal 2 3 2 2 2 2 7" xfId="525"/>
    <cellStyle name="Normal 2 3 2 2 2 3" xfId="526"/>
    <cellStyle name="Normal 2 3 2 2 2 4" xfId="527"/>
    <cellStyle name="Normal 2 3 2 2 2 5" xfId="528"/>
    <cellStyle name="Normal 2 3 2 2 2 6" xfId="529"/>
    <cellStyle name="Normal 2 3 2 2 2 6 2" xfId="530"/>
    <cellStyle name="Normal 2 3 2 2 2 6 3" xfId="531"/>
    <cellStyle name="Normal 2 3 2 2 2 6 4" xfId="532"/>
    <cellStyle name="Normal 2 3 2 2 2 6 5" xfId="533"/>
    <cellStyle name="Normal 2 3 2 2 2 6 6" xfId="534"/>
    <cellStyle name="Normal 2 3 2 2 2 7" xfId="535"/>
    <cellStyle name="Normal 2 3 2 2 2 7 2" xfId="536"/>
    <cellStyle name="Normal 2 3 2 2 2 8" xfId="537"/>
    <cellStyle name="Normal 2 3 2 2 2 8 2" xfId="538"/>
    <cellStyle name="Normal 2 3 2 2 2 9" xfId="539"/>
    <cellStyle name="Normal 2 3 2 2 2 9 2" xfId="540"/>
    <cellStyle name="Normal 2 3 2 2 3" xfId="541"/>
    <cellStyle name="Normal 2 3 2 2 3 2" xfId="542"/>
    <cellStyle name="Normal 2 3 2 2 3 2 2" xfId="543"/>
    <cellStyle name="Normal 2 3 2 2 3 2 2 2" xfId="544"/>
    <cellStyle name="Normal 2 3 2 2 3 2 2 2 2" xfId="545"/>
    <cellStyle name="Normal 2 3 2 2 3 2 2 3" xfId="546"/>
    <cellStyle name="Normal 2 3 2 2 3 2 2 3 2" xfId="547"/>
    <cellStyle name="Normal 2 3 2 2 3 2 2 4" xfId="548"/>
    <cellStyle name="Normal 2 3 2 2 3 2 2 4 2" xfId="549"/>
    <cellStyle name="Normal 2 3 2 2 3 2 2 5" xfId="550"/>
    <cellStyle name="Normal 2 3 2 2 3 2 2 5 2" xfId="551"/>
    <cellStyle name="Normal 2 3 2 2 3 2 3" xfId="552"/>
    <cellStyle name="Normal 2 3 2 2 3 2 4" xfId="553"/>
    <cellStyle name="Normal 2 3 2 2 3 2 5" xfId="554"/>
    <cellStyle name="Normal 2 3 2 2 3 2 6" xfId="555"/>
    <cellStyle name="Normal 2 3 2 2 3 3" xfId="556"/>
    <cellStyle name="Normal 2 3 2 2 3 3 2" xfId="557"/>
    <cellStyle name="Normal 2 3 2 2 3 4" xfId="558"/>
    <cellStyle name="Normal 2 3 2 2 3 4 2" xfId="559"/>
    <cellStyle name="Normal 2 3 2 2 3 5" xfId="560"/>
    <cellStyle name="Normal 2 3 2 2 3 5 2" xfId="561"/>
    <cellStyle name="Normal 2 3 2 2 3 6" xfId="562"/>
    <cellStyle name="Normal 2 3 2 2 3 6 2" xfId="563"/>
    <cellStyle name="Normal 2 3 2 2 4" xfId="564"/>
    <cellStyle name="Normal 2 3 2 2 4 2" xfId="565"/>
    <cellStyle name="Normal 2 3 2 2 5" xfId="566"/>
    <cellStyle name="Normal 2 3 2 2 5 2" xfId="567"/>
    <cellStyle name="Normal 2 3 2 2 6" xfId="568"/>
    <cellStyle name="Normal 2 3 2 2 6 2" xfId="569"/>
    <cellStyle name="Normal 2 3 2 2 6 2 2" xfId="570"/>
    <cellStyle name="Normal 2 3 2 2 6 3" xfId="571"/>
    <cellStyle name="Normal 2 3 2 2 6 3 2" xfId="572"/>
    <cellStyle name="Normal 2 3 2 2 6 4" xfId="573"/>
    <cellStyle name="Normal 2 3 2 2 6 4 2" xfId="574"/>
    <cellStyle name="Normal 2 3 2 2 6 5" xfId="575"/>
    <cellStyle name="Normal 2 3 2 2 6 5 2" xfId="576"/>
    <cellStyle name="Normal 2 3 2 2 7" xfId="577"/>
    <cellStyle name="Normal 2 3 2 2 8" xfId="578"/>
    <cellStyle name="Normal 2 3 2 2 9" xfId="579"/>
    <cellStyle name="Normal 2 3 2 3" xfId="580"/>
    <cellStyle name="Normal 2 3 2 4" xfId="581"/>
    <cellStyle name="Normal 2 3 2 5" xfId="582"/>
    <cellStyle name="Normal 2 3 2 6" xfId="583"/>
    <cellStyle name="Normal 2 3 2 7" xfId="584"/>
    <cellStyle name="Normal 2 3 2 8" xfId="585"/>
    <cellStyle name="Normal 2 3 2 9" xfId="586"/>
    <cellStyle name="Normal 2 3 2 9 2" xfId="587"/>
    <cellStyle name="Normal 2 3 2 9 2 2" xfId="588"/>
    <cellStyle name="Normal 2 3 2 9 2 2 2" xfId="589"/>
    <cellStyle name="Normal 2 3 2 9 2 2 3" xfId="590"/>
    <cellStyle name="Normal 2 3 2 9 2 2 4" xfId="591"/>
    <cellStyle name="Normal 2 3 2 9 2 2 5" xfId="592"/>
    <cellStyle name="Normal 2 3 2 9 2 2 6" xfId="593"/>
    <cellStyle name="Normal 2 3 2 9 2 3" xfId="594"/>
    <cellStyle name="Normal 2 3 2 9 2 3 2" xfId="595"/>
    <cellStyle name="Normal 2 3 2 9 2 4" xfId="596"/>
    <cellStyle name="Normal 2 3 2 9 2 4 2" xfId="597"/>
    <cellStyle name="Normal 2 3 2 9 2 5" xfId="598"/>
    <cellStyle name="Normal 2 3 2 9 2 5 2" xfId="599"/>
    <cellStyle name="Normal 2 3 2 9 3" xfId="600"/>
    <cellStyle name="Normal 2 3 2 9 4" xfId="601"/>
    <cellStyle name="Normal 2 3 2 9 5" xfId="602"/>
    <cellStyle name="Normal 2 3 2 9 6" xfId="603"/>
    <cellStyle name="Normal 2 3 2 9 7" xfId="604"/>
    <cellStyle name="Normal 2 3 3" xfId="605"/>
    <cellStyle name="Normal 2 3 3 2" xfId="606"/>
    <cellStyle name="Normal 2 3 3 2 10" xfId="607"/>
    <cellStyle name="Normal 2 3 3 2 2" xfId="608"/>
    <cellStyle name="Normal 2 3 3 2 2 2" xfId="609"/>
    <cellStyle name="Normal 2 3 3 2 2 2 2" xfId="610"/>
    <cellStyle name="Normal 2 3 3 2 2 2 2 2" xfId="611"/>
    <cellStyle name="Normal 2 3 3 2 2 2 2 2 2" xfId="612"/>
    <cellStyle name="Normal 2 3 3 2 2 2 2 3" xfId="613"/>
    <cellStyle name="Normal 2 3 3 2 2 2 2 3 2" xfId="614"/>
    <cellStyle name="Normal 2 3 3 2 2 2 2 4" xfId="615"/>
    <cellStyle name="Normal 2 3 3 2 2 2 2 4 2" xfId="616"/>
    <cellStyle name="Normal 2 3 3 2 2 2 2 5" xfId="617"/>
    <cellStyle name="Normal 2 3 3 2 2 2 2 5 2" xfId="618"/>
    <cellStyle name="Normal 2 3 3 2 2 2 3" xfId="619"/>
    <cellStyle name="Normal 2 3 3 2 2 2 4" xfId="620"/>
    <cellStyle name="Normal 2 3 3 2 2 2 5" xfId="621"/>
    <cellStyle name="Normal 2 3 3 2 2 2 6" xfId="622"/>
    <cellStyle name="Normal 2 3 3 2 2 3" xfId="623"/>
    <cellStyle name="Normal 2 3 3 2 2 3 2" xfId="624"/>
    <cellStyle name="Normal 2 3 3 2 2 4" xfId="625"/>
    <cellStyle name="Normal 2 3 3 2 2 4 2" xfId="626"/>
    <cellStyle name="Normal 2 3 3 2 2 5" xfId="627"/>
    <cellStyle name="Normal 2 3 3 2 2 5 2" xfId="628"/>
    <cellStyle name="Normal 2 3 3 2 2 6" xfId="629"/>
    <cellStyle name="Normal 2 3 3 2 2 6 2" xfId="630"/>
    <cellStyle name="Normal 2 3 3 2 3" xfId="631"/>
    <cellStyle name="Normal 2 3 3 2 3 2" xfId="632"/>
    <cellStyle name="Normal 2 3 3 2 4" xfId="633"/>
    <cellStyle name="Normal 2 3 3 2 4 2" xfId="634"/>
    <cellStyle name="Normal 2 3 3 2 5" xfId="635"/>
    <cellStyle name="Normal 2 3 3 2 5 2" xfId="636"/>
    <cellStyle name="Normal 2 3 3 2 6" xfId="637"/>
    <cellStyle name="Normal 2 3 3 2 6 2" xfId="638"/>
    <cellStyle name="Normal 2 3 3 2 6 2 2" xfId="639"/>
    <cellStyle name="Normal 2 3 3 2 6 3" xfId="640"/>
    <cellStyle name="Normal 2 3 3 2 6 3 2" xfId="641"/>
    <cellStyle name="Normal 2 3 3 2 6 4" xfId="642"/>
    <cellStyle name="Normal 2 3 3 2 6 4 2" xfId="643"/>
    <cellStyle name="Normal 2 3 3 2 6 5" xfId="644"/>
    <cellStyle name="Normal 2 3 3 2 6 5 2" xfId="645"/>
    <cellStyle name="Normal 2 3 3 2 7" xfId="646"/>
    <cellStyle name="Normal 2 3 3 2 8" xfId="647"/>
    <cellStyle name="Normal 2 3 3 2 9" xfId="648"/>
    <cellStyle name="Normal 2 3 3 3" xfId="649"/>
    <cellStyle name="Normal 2 3 3 3 2" xfId="650"/>
    <cellStyle name="Normal 2 3 3 3 2 2" xfId="651"/>
    <cellStyle name="Normal 2 3 3 3 2 2 2" xfId="652"/>
    <cellStyle name="Normal 2 3 3 3 2 2 3" xfId="653"/>
    <cellStyle name="Normal 2 3 3 3 2 2 4" xfId="654"/>
    <cellStyle name="Normal 2 3 3 3 2 2 5" xfId="655"/>
    <cellStyle name="Normal 2 3 3 3 2 2 6" xfId="656"/>
    <cellStyle name="Normal 2 3 3 3 2 3" xfId="657"/>
    <cellStyle name="Normal 2 3 3 3 2 3 2" xfId="658"/>
    <cellStyle name="Normal 2 3 3 3 2 4" xfId="659"/>
    <cellStyle name="Normal 2 3 3 3 2 4 2" xfId="660"/>
    <cellStyle name="Normal 2 3 3 3 2 5" xfId="661"/>
    <cellStyle name="Normal 2 3 3 3 2 5 2" xfId="662"/>
    <cellStyle name="Normal 2 3 3 3 3" xfId="663"/>
    <cellStyle name="Normal 2 3 3 3 4" xfId="664"/>
    <cellStyle name="Normal 2 3 3 3 5" xfId="665"/>
    <cellStyle name="Normal 2 3 3 3 6" xfId="666"/>
    <cellStyle name="Normal 2 3 3 3 7" xfId="667"/>
    <cellStyle name="Normal 2 3 3 4" xfId="668"/>
    <cellStyle name="Normal 2 3 3 5" xfId="669"/>
    <cellStyle name="Normal 2 3 3 6" xfId="670"/>
    <cellStyle name="Normal 2 3 3 6 2" xfId="671"/>
    <cellStyle name="Normal 2 3 3 6 3" xfId="672"/>
    <cellStyle name="Normal 2 3 3 6 4" xfId="673"/>
    <cellStyle name="Normal 2 3 3 6 5" xfId="674"/>
    <cellStyle name="Normal 2 3 3 6 6" xfId="675"/>
    <cellStyle name="Normal 2 3 3 7" xfId="676"/>
    <cellStyle name="Normal 2 3 3 7 2" xfId="677"/>
    <cellStyle name="Normal 2 3 3 8" xfId="678"/>
    <cellStyle name="Normal 2 3 3 8 2" xfId="679"/>
    <cellStyle name="Normal 2 3 3 9" xfId="680"/>
    <cellStyle name="Normal 2 3 3 9 2" xfId="681"/>
    <cellStyle name="Normal 2 3 4" xfId="682"/>
    <cellStyle name="Normal 2 3 4 2" xfId="683"/>
    <cellStyle name="Normal 2 3 5" xfId="684"/>
    <cellStyle name="Normal 2 3 5 2" xfId="685"/>
    <cellStyle name="Normal 2 3 6" xfId="686"/>
    <cellStyle name="Normal 2 3 6 2" xfId="687"/>
    <cellStyle name="Normal 2 3 7" xfId="688"/>
    <cellStyle name="Normal 2 3 7 2" xfId="689"/>
    <cellStyle name="Normal 2 3 8" xfId="690"/>
    <cellStyle name="Normal 2 3 8 2" xfId="691"/>
    <cellStyle name="Normal 2 3 9" xfId="692"/>
    <cellStyle name="Normal 2 3 9 2" xfId="693"/>
    <cellStyle name="Normal 2 3 9 2 2" xfId="694"/>
    <cellStyle name="Normal 2 3 9 2 2 2" xfId="695"/>
    <cellStyle name="Normal 2 3 9 2 2 2 2" xfId="696"/>
    <cellStyle name="Normal 2 3 9 2 2 3" xfId="697"/>
    <cellStyle name="Normal 2 3 9 2 2 3 2" xfId="698"/>
    <cellStyle name="Normal 2 3 9 2 2 4" xfId="699"/>
    <cellStyle name="Normal 2 3 9 2 2 4 2" xfId="700"/>
    <cellStyle name="Normal 2 3 9 2 2 5" xfId="701"/>
    <cellStyle name="Normal 2 3 9 2 2 5 2" xfId="702"/>
    <cellStyle name="Normal 2 3 9 2 3" xfId="703"/>
    <cellStyle name="Normal 2 3 9 2 4" xfId="704"/>
    <cellStyle name="Normal 2 3 9 2 5" xfId="705"/>
    <cellStyle name="Normal 2 3 9 2 6" xfId="706"/>
    <cellStyle name="Normal 2 3 9 3" xfId="707"/>
    <cellStyle name="Normal 2 3 9 3 2" xfId="708"/>
    <cellStyle name="Normal 2 3 9 4" xfId="709"/>
    <cellStyle name="Normal 2 3 9 4 2" xfId="710"/>
    <cellStyle name="Normal 2 3 9 5" xfId="711"/>
    <cellStyle name="Normal 2 3 9 5 2" xfId="712"/>
    <cellStyle name="Normal 2 3 9 6" xfId="713"/>
    <cellStyle name="Normal 2 3 9 6 2" xfId="714"/>
    <cellStyle name="Normal 2 4" xfId="715"/>
    <cellStyle name="Normal 2 4 10" xfId="716"/>
    <cellStyle name="Normal 2 4 2" xfId="717"/>
    <cellStyle name="Normal 2 4 2 2" xfId="718"/>
    <cellStyle name="Normal 2 4 2 2 2" xfId="719"/>
    <cellStyle name="Normal 2 4 2 2 2 2" xfId="720"/>
    <cellStyle name="Normal 2 4 2 2 2 2 2" xfId="721"/>
    <cellStyle name="Normal 2 4 2 2 2 2 3" xfId="722"/>
    <cellStyle name="Normal 2 4 2 2 2 2 4" xfId="723"/>
    <cellStyle name="Normal 2 4 2 2 2 2 5" xfId="724"/>
    <cellStyle name="Normal 2 4 2 2 2 2 6" xfId="725"/>
    <cellStyle name="Normal 2 4 2 2 2 3" xfId="726"/>
    <cellStyle name="Normal 2 4 2 2 2 3 2" xfId="727"/>
    <cellStyle name="Normal 2 4 2 2 2 4" xfId="728"/>
    <cellStyle name="Normal 2 4 2 2 2 4 2" xfId="729"/>
    <cellStyle name="Normal 2 4 2 2 2 5" xfId="730"/>
    <cellStyle name="Normal 2 4 2 2 2 5 2" xfId="731"/>
    <cellStyle name="Normal 2 4 2 2 3" xfId="732"/>
    <cellStyle name="Normal 2 4 2 2 4" xfId="733"/>
    <cellStyle name="Normal 2 4 2 2 5" xfId="734"/>
    <cellStyle name="Normal 2 4 2 2 6" xfId="735"/>
    <cellStyle name="Normal 2 4 2 2 7" xfId="736"/>
    <cellStyle name="Normal 2 4 2 3" xfId="737"/>
    <cellStyle name="Normal 2 4 2 4" xfId="738"/>
    <cellStyle name="Normal 2 4 2 5" xfId="739"/>
    <cellStyle name="Normal 2 4 2 6" xfId="740"/>
    <cellStyle name="Normal 2 4 2 6 2" xfId="741"/>
    <cellStyle name="Normal 2 4 2 6 3" xfId="742"/>
    <cellStyle name="Normal 2 4 2 6 4" xfId="743"/>
    <cellStyle name="Normal 2 4 2 6 5" xfId="744"/>
    <cellStyle name="Normal 2 4 2 6 6" xfId="745"/>
    <cellStyle name="Normal 2 4 2 7" xfId="746"/>
    <cellStyle name="Normal 2 4 2 7 2" xfId="747"/>
    <cellStyle name="Normal 2 4 2 8" xfId="748"/>
    <cellStyle name="Normal 2 4 2 8 2" xfId="749"/>
    <cellStyle name="Normal 2 4 2 9" xfId="750"/>
    <cellStyle name="Normal 2 4 2 9 2" xfId="751"/>
    <cellStyle name="Normal 2 4 3" xfId="752"/>
    <cellStyle name="Normal 2 4 3 2" xfId="753"/>
    <cellStyle name="Normal 2 4 3 2 2" xfId="754"/>
    <cellStyle name="Normal 2 4 3 2 2 2" xfId="755"/>
    <cellStyle name="Normal 2 4 3 2 2 2 2" xfId="756"/>
    <cellStyle name="Normal 2 4 3 2 2 3" xfId="757"/>
    <cellStyle name="Normal 2 4 3 2 2 3 2" xfId="758"/>
    <cellStyle name="Normal 2 4 3 2 2 4" xfId="759"/>
    <cellStyle name="Normal 2 4 3 2 2 4 2" xfId="760"/>
    <cellStyle name="Normal 2 4 3 2 2 5" xfId="761"/>
    <cellStyle name="Normal 2 4 3 2 2 5 2" xfId="762"/>
    <cellStyle name="Normal 2 4 3 2 3" xfId="763"/>
    <cellStyle name="Normal 2 4 3 2 4" xfId="764"/>
    <cellStyle name="Normal 2 4 3 2 5" xfId="765"/>
    <cellStyle name="Normal 2 4 3 2 6" xfId="766"/>
    <cellStyle name="Normal 2 4 3 3" xfId="767"/>
    <cellStyle name="Normal 2 4 3 3 2" xfId="768"/>
    <cellStyle name="Normal 2 4 3 4" xfId="769"/>
    <cellStyle name="Normal 2 4 3 4 2" xfId="770"/>
    <cellStyle name="Normal 2 4 3 5" xfId="771"/>
    <cellStyle name="Normal 2 4 3 5 2" xfId="772"/>
    <cellStyle name="Normal 2 4 3 6" xfId="773"/>
    <cellStyle name="Normal 2 4 3 6 2" xfId="774"/>
    <cellStyle name="Normal 2 4 4" xfId="775"/>
    <cellStyle name="Normal 2 4 4 2" xfId="776"/>
    <cellStyle name="Normal 2 4 5" xfId="777"/>
    <cellStyle name="Normal 2 4 5 2" xfId="778"/>
    <cellStyle name="Normal 2 4 6" xfId="779"/>
    <cellStyle name="Normal 2 4 6 2" xfId="780"/>
    <cellStyle name="Normal 2 4 6 2 2" xfId="781"/>
    <cellStyle name="Normal 2 4 6 3" xfId="782"/>
    <cellStyle name="Normal 2 4 6 3 2" xfId="783"/>
    <cellStyle name="Normal 2 4 6 4" xfId="784"/>
    <cellStyle name="Normal 2 4 6 4 2" xfId="785"/>
    <cellStyle name="Normal 2 4 6 5" xfId="786"/>
    <cellStyle name="Normal 2 4 6 5 2" xfId="787"/>
    <cellStyle name="Normal 2 4 7" xfId="788"/>
    <cellStyle name="Normal 2 4 8" xfId="789"/>
    <cellStyle name="Normal 2 4 9" xfId="790"/>
    <cellStyle name="Normal 2 5" xfId="791"/>
    <cellStyle name="Normal 2 6" xfId="792"/>
    <cellStyle name="Normal 2 7" xfId="793"/>
    <cellStyle name="Normal 2 8" xfId="794"/>
    <cellStyle name="Normal 2 9" xfId="795"/>
    <cellStyle name="Normal 20" xfId="796"/>
    <cellStyle name="Normal 21" xfId="797"/>
    <cellStyle name="Normal 21 2" xfId="798"/>
    <cellStyle name="Normal 22" xfId="799"/>
    <cellStyle name="Normal 22 2" xfId="800"/>
    <cellStyle name="Normal 23" xfId="801"/>
    <cellStyle name="Normal 23 2" xfId="802"/>
    <cellStyle name="Normal 24" xfId="803"/>
    <cellStyle name="Normal 24 2" xfId="804"/>
    <cellStyle name="Normal 25" xfId="805"/>
    <cellStyle name="Normal 25 2" xfId="806"/>
    <cellStyle name="Normal 26" xfId="807"/>
    <cellStyle name="Normal 26 2" xfId="808"/>
    <cellStyle name="Normal 27" xfId="809"/>
    <cellStyle name="Normal 27 2" xfId="810"/>
    <cellStyle name="Normal 28" xfId="811"/>
    <cellStyle name="Normal 28 2" xfId="812"/>
    <cellStyle name="Normal 29" xfId="813"/>
    <cellStyle name="Normal 29 2" xfId="814"/>
    <cellStyle name="Normal 3" xfId="815"/>
    <cellStyle name="Normal 3 2" xfId="816"/>
    <cellStyle name="Normal 3 2 2" xfId="817"/>
    <cellStyle name="Normal 3 3" xfId="818"/>
    <cellStyle name="Normal 3 3 2" xfId="819"/>
    <cellStyle name="Normal 3 4" xfId="820"/>
    <cellStyle name="Normal 3 4 2" xfId="821"/>
    <cellStyle name="Normal 3 5" xfId="822"/>
    <cellStyle name="Normal 3 5 2" xfId="823"/>
    <cellStyle name="Normal 3 6" xfId="824"/>
    <cellStyle name="Normal 3 6 2" xfId="825"/>
    <cellStyle name="Normal 3 7" xfId="826"/>
    <cellStyle name="Normal 3 7 2" xfId="827"/>
    <cellStyle name="Normal 3 8" xfId="828"/>
    <cellStyle name="Normal 3 8 2" xfId="829"/>
    <cellStyle name="Normal 3 9" xfId="830"/>
    <cellStyle name="Normal 30" xfId="831"/>
    <cellStyle name="Normal 30 2" xfId="832"/>
    <cellStyle name="Normal 31" xfId="833"/>
    <cellStyle name="Normal 31 2" xfId="834"/>
    <cellStyle name="Normal 32" xfId="835"/>
    <cellStyle name="Normal 32 2" xfId="836"/>
    <cellStyle name="Normal 33" xfId="837"/>
    <cellStyle name="Normal 33 2" xfId="838"/>
    <cellStyle name="Normal 34" xfId="839"/>
    <cellStyle name="Normal 34 2" xfId="840"/>
    <cellStyle name="Normal 35" xfId="841"/>
    <cellStyle name="Normal 35 2" xfId="842"/>
    <cellStyle name="Normal 36" xfId="843"/>
    <cellStyle name="Normal 36 2" xfId="844"/>
    <cellStyle name="Normal 37" xfId="845"/>
    <cellStyle name="Normal 4" xfId="846"/>
    <cellStyle name="Normal 4 2" xfId="847"/>
    <cellStyle name="Normal 5" xfId="848"/>
    <cellStyle name="Normal 5 2" xfId="849"/>
    <cellStyle name="Normal 5 2 2" xfId="850"/>
    <cellStyle name="Normal 5 3" xfId="851"/>
    <cellStyle name="Normal 5 3 2" xfId="852"/>
    <cellStyle name="Normal 5 4" xfId="853"/>
    <cellStyle name="Normal 5 4 2" xfId="854"/>
    <cellStyle name="Normal 5 5" xfId="855"/>
    <cellStyle name="Normal 5 5 2" xfId="856"/>
    <cellStyle name="Normal 5 6" xfId="857"/>
    <cellStyle name="Normal 5 6 2" xfId="858"/>
    <cellStyle name="Normal 5 7" xfId="859"/>
    <cellStyle name="Normal 6" xfId="860"/>
    <cellStyle name="Normal 6 2" xfId="861"/>
    <cellStyle name="Normal 6 2 2" xfId="862"/>
    <cellStyle name="Normal 6 3" xfId="863"/>
    <cellStyle name="Normal 6 3 2" xfId="864"/>
    <cellStyle name="Normal 6 4" xfId="865"/>
    <cellStyle name="Normal 6 4 2" xfId="866"/>
    <cellStyle name="Normal 6 5" xfId="867"/>
    <cellStyle name="Normal 6 5 2" xfId="868"/>
    <cellStyle name="Normal 6 6" xfId="869"/>
    <cellStyle name="Normal 6 6 2" xfId="870"/>
    <cellStyle name="Normal 6 7" xfId="871"/>
    <cellStyle name="Normal 7" xfId="872"/>
    <cellStyle name="Normal 7 2" xfId="873"/>
    <cellStyle name="Normal 8" xfId="874"/>
    <cellStyle name="Normal 8 2" xfId="875"/>
    <cellStyle name="Normal 8 2 2" xfId="876"/>
    <cellStyle name="Normal 8 3" xfId="877"/>
    <cellStyle name="Normal 8 3 2" xfId="878"/>
    <cellStyle name="Normal 8 4" xfId="879"/>
    <cellStyle name="Normal 8 4 2" xfId="880"/>
    <cellStyle name="Normal 8 5" xfId="881"/>
    <cellStyle name="Normal 8 5 2" xfId="882"/>
    <cellStyle name="Normal 8 6" xfId="883"/>
    <cellStyle name="Normal 8 6 2" xfId="884"/>
    <cellStyle name="Normal 8 7" xfId="885"/>
    <cellStyle name="Normal 9" xfId="886"/>
    <cellStyle name="Normal 9 2" xfId="887"/>
    <cellStyle name="Normal_C.regionales" xfId="888"/>
    <cellStyle name="Normal_Global" xfId="889"/>
    <cellStyle name="Normal_Hoja1" xfId="890"/>
    <cellStyle name="Normal_Hoja1 2" xfId="895"/>
    <cellStyle name="Normal_jibia artesanal" xfId="896"/>
    <cellStyle name="Porcentual" xfId="891" builtinId="5"/>
    <cellStyle name="Porcentual 2" xfId="892"/>
    <cellStyle name="Porcentual 2 2" xfId="893"/>
    <cellStyle name="Porcentual 3 2" xfId="894"/>
  </cellStyles>
  <dxfs count="0"/>
  <tableStyles count="0" defaultTableStyle="TableStyleMedium9" defaultPivotStyle="PivotStyleLight16"/>
  <colors>
    <mruColors>
      <color rgb="FF4DBF1F"/>
      <color rgb="FF99CCFF"/>
      <color rgb="FFCC00FF"/>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142875</xdr:rowOff>
    </xdr:from>
    <xdr:to>
      <xdr:col>1</xdr:col>
      <xdr:colOff>200025</xdr:colOff>
      <xdr:row>4</xdr:row>
      <xdr:rowOff>47625</xdr:rowOff>
    </xdr:to>
    <xdr:pic>
      <xdr:nvPicPr>
        <xdr:cNvPr id="21136" name="2 Imagen" descr="LOGO_SNP_2012_sinfondo.PNG"/>
        <xdr:cNvPicPr>
          <a:picLocks noChangeAspect="1"/>
        </xdr:cNvPicPr>
      </xdr:nvPicPr>
      <xdr:blipFill>
        <a:blip xmlns:r="http://schemas.openxmlformats.org/officeDocument/2006/relationships" r:embed="rId1" cstate="print"/>
        <a:srcRect/>
        <a:stretch>
          <a:fillRect/>
        </a:stretch>
      </xdr:blipFill>
      <xdr:spPr bwMode="auto">
        <a:xfrm>
          <a:off x="0" y="333375"/>
          <a:ext cx="1562100" cy="5524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66675</xdr:rowOff>
    </xdr:from>
    <xdr:to>
      <xdr:col>0</xdr:col>
      <xdr:colOff>1533525</xdr:colOff>
      <xdr:row>4</xdr:row>
      <xdr:rowOff>0</xdr:rowOff>
    </xdr:to>
    <xdr:pic>
      <xdr:nvPicPr>
        <xdr:cNvPr id="17297" name="1 Imagen" descr="LOGO_SNP_2012_sinfondo.PNG"/>
        <xdr:cNvPicPr>
          <a:picLocks noChangeAspect="1"/>
        </xdr:cNvPicPr>
      </xdr:nvPicPr>
      <xdr:blipFill>
        <a:blip xmlns:r="http://schemas.openxmlformats.org/officeDocument/2006/relationships" r:embed="rId1" cstate="print"/>
        <a:srcRect/>
        <a:stretch>
          <a:fillRect/>
        </a:stretch>
      </xdr:blipFill>
      <xdr:spPr bwMode="auto">
        <a:xfrm>
          <a:off x="0" y="257175"/>
          <a:ext cx="1533525" cy="5143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57150</xdr:rowOff>
    </xdr:from>
    <xdr:to>
      <xdr:col>0</xdr:col>
      <xdr:colOff>1619250</xdr:colOff>
      <xdr:row>4</xdr:row>
      <xdr:rowOff>19050</xdr:rowOff>
    </xdr:to>
    <xdr:pic>
      <xdr:nvPicPr>
        <xdr:cNvPr id="18261" name="1 Imagen" descr="LOGO_SNP_2012_sinfondo.PNG"/>
        <xdr:cNvPicPr>
          <a:picLocks noChangeAspect="1"/>
        </xdr:cNvPicPr>
      </xdr:nvPicPr>
      <xdr:blipFill>
        <a:blip xmlns:r="http://schemas.openxmlformats.org/officeDocument/2006/relationships" r:embed="rId1" cstate="print"/>
        <a:srcRect/>
        <a:stretch>
          <a:fillRect/>
        </a:stretch>
      </xdr:blipFill>
      <xdr:spPr bwMode="auto">
        <a:xfrm>
          <a:off x="0" y="247650"/>
          <a:ext cx="1619250" cy="54292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1628775</xdr:colOff>
      <xdr:row>2</xdr:row>
      <xdr:rowOff>152400</xdr:rowOff>
    </xdr:to>
    <xdr:pic>
      <xdr:nvPicPr>
        <xdr:cNvPr id="19261" name="1 Imagen" descr="LOGO_SNP_2012_sinfondo.PNG"/>
        <xdr:cNvPicPr>
          <a:picLocks noChangeAspect="1"/>
        </xdr:cNvPicPr>
      </xdr:nvPicPr>
      <xdr:blipFill>
        <a:blip xmlns:r="http://schemas.openxmlformats.org/officeDocument/2006/relationships" r:embed="rId1" cstate="print"/>
        <a:srcRect/>
        <a:stretch>
          <a:fillRect/>
        </a:stretch>
      </xdr:blipFill>
      <xdr:spPr bwMode="auto">
        <a:xfrm>
          <a:off x="0" y="0"/>
          <a:ext cx="1628775" cy="542925"/>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xdr:colOff>
      <xdr:row>1</xdr:row>
      <xdr:rowOff>114300</xdr:rowOff>
    </xdr:from>
    <xdr:to>
      <xdr:col>0</xdr:col>
      <xdr:colOff>1495425</xdr:colOff>
      <xdr:row>4</xdr:row>
      <xdr:rowOff>114300</xdr:rowOff>
    </xdr:to>
    <xdr:pic>
      <xdr:nvPicPr>
        <xdr:cNvPr id="20131" name="1 Imagen" descr="LOGO_SNP_2012_sinfondo.PNG"/>
        <xdr:cNvPicPr>
          <a:picLocks noChangeAspect="1"/>
        </xdr:cNvPicPr>
      </xdr:nvPicPr>
      <xdr:blipFill>
        <a:blip xmlns:r="http://schemas.openxmlformats.org/officeDocument/2006/relationships" r:embed="rId1" cstate="print"/>
        <a:srcRect/>
        <a:stretch>
          <a:fillRect/>
        </a:stretch>
      </xdr:blipFill>
      <xdr:spPr bwMode="auto">
        <a:xfrm>
          <a:off x="19050" y="304800"/>
          <a:ext cx="1476375" cy="6477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sheetPr>
    <tabColor rgb="FF0070C0"/>
  </sheetPr>
  <dimension ref="A1:N34"/>
  <sheetViews>
    <sheetView zoomScale="90" zoomScaleNormal="90" workbookViewId="0">
      <selection activeCell="C15" sqref="C15"/>
    </sheetView>
  </sheetViews>
  <sheetFormatPr baseColWidth="10" defaultRowHeight="15"/>
  <cols>
    <col min="1" max="1" width="20.42578125" style="53" customWidth="1"/>
    <col min="2" max="2" width="14.42578125" style="53" customWidth="1"/>
    <col min="3" max="3" width="18.85546875" style="53" customWidth="1"/>
    <col min="4" max="4" width="18.7109375" style="53" customWidth="1"/>
    <col min="5" max="5" width="17.28515625" style="53" customWidth="1"/>
    <col min="6" max="6" width="17.85546875" style="53" customWidth="1"/>
    <col min="7" max="7" width="16.42578125" style="53" customWidth="1"/>
    <col min="8" max="8" width="14.85546875" style="53" customWidth="1"/>
    <col min="9" max="9" width="17" style="53" customWidth="1"/>
    <col min="10" max="10" width="13.42578125" style="53" customWidth="1"/>
    <col min="11" max="16384" width="11.42578125" style="53"/>
  </cols>
  <sheetData>
    <row r="1" spans="1:14">
      <c r="A1" s="52"/>
      <c r="B1" s="52"/>
      <c r="C1" s="52"/>
      <c r="D1" s="52"/>
      <c r="E1" s="52"/>
      <c r="F1" s="52"/>
      <c r="G1" s="52"/>
      <c r="H1" s="52"/>
      <c r="I1" s="52"/>
      <c r="J1" s="324"/>
      <c r="K1" s="52"/>
      <c r="L1" s="52"/>
    </row>
    <row r="2" spans="1:14">
      <c r="A2" s="855" t="s">
        <v>159</v>
      </c>
      <c r="B2" s="856"/>
      <c r="C2" s="856"/>
      <c r="D2" s="856"/>
      <c r="E2" s="856"/>
      <c r="F2" s="856"/>
      <c r="G2" s="856"/>
      <c r="H2" s="856"/>
      <c r="I2" s="857"/>
      <c r="J2" s="326"/>
      <c r="K2" s="52"/>
      <c r="L2" s="52"/>
    </row>
    <row r="3" spans="1:14">
      <c r="A3" s="855" t="s">
        <v>312</v>
      </c>
      <c r="B3" s="856"/>
      <c r="C3" s="856"/>
      <c r="D3" s="856"/>
      <c r="E3" s="856"/>
      <c r="F3" s="856"/>
      <c r="G3" s="856"/>
      <c r="H3" s="856"/>
      <c r="I3" s="857"/>
      <c r="J3" s="54"/>
      <c r="K3" s="54"/>
      <c r="L3" s="54"/>
      <c r="M3" s="55"/>
      <c r="N3" s="55"/>
    </row>
    <row r="4" spans="1:14" ht="21" customHeight="1">
      <c r="A4" s="858" t="s">
        <v>415</v>
      </c>
      <c r="B4" s="859"/>
      <c r="C4" s="859"/>
      <c r="D4" s="859"/>
      <c r="E4" s="859"/>
      <c r="F4" s="859"/>
      <c r="G4" s="859"/>
      <c r="H4" s="859"/>
      <c r="I4" s="860"/>
      <c r="J4" s="56"/>
      <c r="K4" s="56"/>
      <c r="L4" s="56"/>
      <c r="M4" s="56"/>
      <c r="N4" s="55"/>
    </row>
    <row r="5" spans="1:14" ht="52.5" customHeight="1">
      <c r="A5" s="327" t="s">
        <v>81</v>
      </c>
      <c r="B5" s="327" t="s">
        <v>82</v>
      </c>
      <c r="C5" s="328" t="s">
        <v>323</v>
      </c>
      <c r="D5" s="329" t="s">
        <v>186</v>
      </c>
      <c r="E5" s="329" t="s">
        <v>196</v>
      </c>
      <c r="F5" s="327" t="s">
        <v>160</v>
      </c>
      <c r="G5" s="327" t="s">
        <v>161</v>
      </c>
      <c r="H5" s="325" t="s">
        <v>162</v>
      </c>
      <c r="I5" s="327" t="s">
        <v>311</v>
      </c>
      <c r="J5" s="54"/>
      <c r="K5" s="54"/>
      <c r="L5" s="54"/>
      <c r="M5" s="55"/>
      <c r="N5" s="55"/>
    </row>
    <row r="6" spans="1:14">
      <c r="A6" s="496" t="s">
        <v>163</v>
      </c>
      <c r="B6" s="497" t="s">
        <v>164</v>
      </c>
      <c r="C6" s="181">
        <f>SUM('Pelagicos LTP '!E6:E11)</f>
        <v>521962</v>
      </c>
      <c r="D6" s="181">
        <f>SUM('Pelagicos LTP '!F6:F11)</f>
        <v>-31713.133999999998</v>
      </c>
      <c r="E6" s="181">
        <f>C6+D6</f>
        <v>490248.86599999998</v>
      </c>
      <c r="F6" s="181">
        <f>SUM('Pelagicos LTP '!H6:H11)</f>
        <v>343447.73800000001</v>
      </c>
      <c r="G6" s="182"/>
      <c r="H6" s="183">
        <f>E6-F6</f>
        <v>146801.12799999997</v>
      </c>
      <c r="I6" s="184">
        <f>F6/E6</f>
        <v>0.7005579447888004</v>
      </c>
      <c r="J6" s="52"/>
      <c r="K6" s="52"/>
      <c r="L6" s="52"/>
    </row>
    <row r="7" spans="1:14">
      <c r="A7" s="496" t="s">
        <v>163</v>
      </c>
      <c r="B7" s="497" t="s">
        <v>165</v>
      </c>
      <c r="C7" s="181">
        <f>SUM('Pelagicos LTP '!E14:E31)</f>
        <v>14664.998999999996</v>
      </c>
      <c r="D7" s="669">
        <f>SUM('Pelagicos LTP '!F14:F31)</f>
        <v>-13322.349000000002</v>
      </c>
      <c r="E7" s="181">
        <f t="shared" ref="E7:E26" si="0">C7+D7</f>
        <v>1342.6499999999942</v>
      </c>
      <c r="F7" s="181">
        <f>SUM('Pelagicos LTP '!H14:H31)</f>
        <v>0</v>
      </c>
      <c r="G7" s="182"/>
      <c r="H7" s="183">
        <f t="shared" ref="H7:H26" si="1">E7-F7</f>
        <v>1342.6499999999942</v>
      </c>
      <c r="I7" s="184">
        <f t="shared" ref="I7:I26" si="2">F7/E7</f>
        <v>0</v>
      </c>
      <c r="J7" s="52"/>
      <c r="K7" s="52"/>
      <c r="L7" s="52"/>
    </row>
    <row r="8" spans="1:14">
      <c r="A8" s="496" t="s">
        <v>163</v>
      </c>
      <c r="B8" s="497" t="s">
        <v>166</v>
      </c>
      <c r="C8" s="181">
        <f>SUM('Pelagicos LTP '!E34:E90)</f>
        <v>7379.9999999999964</v>
      </c>
      <c r="D8" s="669">
        <f>SUM('Pelagicos LTP '!F34:F90)</f>
        <v>-2509.4090000000006</v>
      </c>
      <c r="E8" s="181">
        <f t="shared" si="0"/>
        <v>4870.5909999999958</v>
      </c>
      <c r="F8" s="181">
        <f>SUM('Pelagicos LTP '!H34:H90)</f>
        <v>4082.4949999999999</v>
      </c>
      <c r="G8" s="182"/>
      <c r="H8" s="183">
        <f t="shared" si="1"/>
        <v>788.09599999999591</v>
      </c>
      <c r="I8" s="184">
        <f t="shared" si="2"/>
        <v>0.83819294208854811</v>
      </c>
      <c r="J8" s="52"/>
      <c r="K8" s="52"/>
      <c r="L8" s="52"/>
    </row>
    <row r="9" spans="1:14">
      <c r="A9" s="496" t="s">
        <v>90</v>
      </c>
      <c r="B9" s="497" t="s">
        <v>167</v>
      </c>
      <c r="C9" s="181">
        <f>SUM('Crustaceos  LTP'!AU6:AU41)</f>
        <v>4026.0039999999999</v>
      </c>
      <c r="D9" s="602">
        <f>SUM('Crustaceos  LTP'!AV6:AV41)</f>
        <v>95.489311039999791</v>
      </c>
      <c r="E9" s="181">
        <f>C9+D9</f>
        <v>4121.4933110399998</v>
      </c>
      <c r="F9" s="181">
        <f>SUM('Crustaceos  LTP'!AX6:AX41)</f>
        <v>3198.1949999999997</v>
      </c>
      <c r="G9" s="182"/>
      <c r="H9" s="183">
        <f>E9-F9</f>
        <v>923.29831104000004</v>
      </c>
      <c r="I9" s="184">
        <f t="shared" si="2"/>
        <v>0.77597966529102069</v>
      </c>
      <c r="J9" s="52"/>
      <c r="K9" s="52"/>
      <c r="L9" s="52"/>
    </row>
    <row r="10" spans="1:14">
      <c r="A10" s="496" t="s">
        <v>168</v>
      </c>
      <c r="B10" s="497" t="s">
        <v>169</v>
      </c>
      <c r="C10" s="181">
        <f>SUM('Demersales LTP '!E7:E16)</f>
        <v>416.49899999999997</v>
      </c>
      <c r="D10" s="181">
        <f>SUM('Demersales LTP '!F7:F16)</f>
        <v>0</v>
      </c>
      <c r="E10" s="181">
        <f t="shared" si="0"/>
        <v>416.49899999999997</v>
      </c>
      <c r="F10" s="181">
        <f>SUM('Demersales LTP '!H7:H16)</f>
        <v>326.75599999999997</v>
      </c>
      <c r="G10" s="182"/>
      <c r="H10" s="183">
        <f t="shared" si="1"/>
        <v>89.742999999999995</v>
      </c>
      <c r="I10" s="184">
        <f t="shared" si="2"/>
        <v>0.78453009491019188</v>
      </c>
      <c r="J10" s="52"/>
      <c r="K10" s="52"/>
      <c r="L10" s="52"/>
    </row>
    <row r="11" spans="1:14">
      <c r="A11" s="496" t="s">
        <v>168</v>
      </c>
      <c r="B11" s="497" t="s">
        <v>170</v>
      </c>
      <c r="C11" s="181">
        <f>SUM('Demersales LTP '!E18:E27)</f>
        <v>236</v>
      </c>
      <c r="D11" s="181">
        <f>SUM('Demersales LTP '!F18:F27)</f>
        <v>0</v>
      </c>
      <c r="E11" s="181">
        <f t="shared" si="0"/>
        <v>236</v>
      </c>
      <c r="F11" s="181">
        <f>SUM('Demersales LTP '!H18:H27)</f>
        <v>202.405</v>
      </c>
      <c r="G11" s="182"/>
      <c r="H11" s="183">
        <f t="shared" si="1"/>
        <v>33.594999999999999</v>
      </c>
      <c r="I11" s="184">
        <f t="shared" si="2"/>
        <v>0.85764830508474577</v>
      </c>
      <c r="J11" s="52"/>
      <c r="K11" s="52"/>
      <c r="L11" s="52"/>
    </row>
    <row r="12" spans="1:14">
      <c r="A12" s="496" t="s">
        <v>171</v>
      </c>
      <c r="B12" s="497" t="s">
        <v>172</v>
      </c>
      <c r="C12" s="185">
        <f>SUM('Pelagicos LTP '!E93:E98)</f>
        <v>41448.004000000001</v>
      </c>
      <c r="D12" s="185">
        <f>SUM('Pelagicos LTP '!F93:F98)</f>
        <v>-2000</v>
      </c>
      <c r="E12" s="181">
        <f t="shared" si="0"/>
        <v>39448.004000000001</v>
      </c>
      <c r="F12" s="185">
        <f>SUM('Pelagicos LTP '!H93:H98)</f>
        <v>34552.017999999996</v>
      </c>
      <c r="G12" s="182"/>
      <c r="H12" s="183">
        <f>E12-F12</f>
        <v>4895.9860000000044</v>
      </c>
      <c r="I12" s="184">
        <f t="shared" si="2"/>
        <v>0.87588761144923821</v>
      </c>
      <c r="J12" s="52"/>
      <c r="K12" s="52"/>
      <c r="L12" s="52"/>
    </row>
    <row r="13" spans="1:14">
      <c r="A13" s="496" t="s">
        <v>171</v>
      </c>
      <c r="B13" s="498" t="s">
        <v>165</v>
      </c>
      <c r="C13" s="12">
        <f>SUM('Pelagicos LTP '!E101:E126)</f>
        <v>8758.9989999999998</v>
      </c>
      <c r="D13" s="519">
        <f>SUM('Pelagicos LTP '!F101:F126)</f>
        <v>10916.367</v>
      </c>
      <c r="E13" s="181">
        <f t="shared" si="0"/>
        <v>19675.366000000002</v>
      </c>
      <c r="F13" s="185">
        <f>SUM('Pelagicos LTP '!H101:H126)</f>
        <v>19246.318000000003</v>
      </c>
      <c r="G13" s="186">
        <v>10817.393</v>
      </c>
      <c r="H13" s="183">
        <f>E13-F13</f>
        <v>429.04799999999886</v>
      </c>
      <c r="I13" s="184">
        <f>F13/E13</f>
        <v>0.97819364580054069</v>
      </c>
      <c r="J13" s="52"/>
      <c r="K13" s="57"/>
      <c r="L13" s="52"/>
    </row>
    <row r="14" spans="1:14">
      <c r="A14" s="496" t="s">
        <v>171</v>
      </c>
      <c r="B14" s="498" t="s">
        <v>173</v>
      </c>
      <c r="C14" s="12">
        <f>SUM('Pelagicos LTP '!E129:E192)</f>
        <v>187466.99699999989</v>
      </c>
      <c r="D14" s="519">
        <f>SUM('Pelagicos LTP '!F129:F192)</f>
        <v>-18812.762000000006</v>
      </c>
      <c r="E14" s="181">
        <f t="shared" si="0"/>
        <v>168654.23499999987</v>
      </c>
      <c r="F14" s="185">
        <f>SUM('Pelagicos LTP '!H129:H192)</f>
        <v>166902.07700000002</v>
      </c>
      <c r="G14" s="186">
        <v>30546.078000000001</v>
      </c>
      <c r="H14" s="183">
        <f>E14-F14</f>
        <v>1752.1579999998503</v>
      </c>
      <c r="I14" s="184">
        <f t="shared" si="2"/>
        <v>0.98961094573166308</v>
      </c>
      <c r="J14" s="52"/>
      <c r="K14" s="57"/>
      <c r="L14" s="52"/>
    </row>
    <row r="15" spans="1:14">
      <c r="A15" s="496" t="s">
        <v>171</v>
      </c>
      <c r="B15" s="498" t="s">
        <v>174</v>
      </c>
      <c r="C15" s="12">
        <f>SUM('Pelagicos LTP '!E195:E246)</f>
        <v>26281.998000000003</v>
      </c>
      <c r="D15" s="584">
        <f>SUM('Pelagicos LTP '!F195:F246)</f>
        <v>1569.7719999999999</v>
      </c>
      <c r="E15" s="181">
        <f t="shared" si="0"/>
        <v>27851.770000000004</v>
      </c>
      <c r="F15" s="185">
        <f>SUM('Pelagicos LTP '!H195:H246)</f>
        <v>27333.01</v>
      </c>
      <c r="G15" s="330">
        <v>14939.449000000001</v>
      </c>
      <c r="H15" s="183">
        <f t="shared" si="1"/>
        <v>518.76000000000568</v>
      </c>
      <c r="I15" s="184">
        <f t="shared" si="2"/>
        <v>0.98137425377274023</v>
      </c>
      <c r="J15" s="52"/>
      <c r="K15" s="57"/>
      <c r="L15" s="52"/>
    </row>
    <row r="16" spans="1:14">
      <c r="A16" s="496" t="s">
        <v>98</v>
      </c>
      <c r="B16" s="497" t="s">
        <v>147</v>
      </c>
      <c r="C16" s="181">
        <f>SUM('Crustaceos  LTP'!Q54:Q75)</f>
        <v>1779.9990000000003</v>
      </c>
      <c r="D16" s="602">
        <f>SUM('Crustaceos  LTP'!R54:R75)</f>
        <v>136.48220000000003</v>
      </c>
      <c r="E16" s="181">
        <f>C16+D16</f>
        <v>1916.4812000000002</v>
      </c>
      <c r="F16" s="181">
        <f>SUM('Crustaceos  LTP'!Z54:Z75)</f>
        <v>1645.675</v>
      </c>
      <c r="G16" s="182"/>
      <c r="H16" s="183">
        <f t="shared" si="1"/>
        <v>270.80620000000022</v>
      </c>
      <c r="I16" s="184">
        <f t="shared" si="2"/>
        <v>0.85869613539647549</v>
      </c>
      <c r="J16" s="52"/>
      <c r="K16" s="52"/>
      <c r="L16" s="52"/>
    </row>
    <row r="17" spans="1:12">
      <c r="A17" s="499" t="s">
        <v>100</v>
      </c>
      <c r="B17" s="497" t="s">
        <v>175</v>
      </c>
      <c r="C17" s="181">
        <f>SUM('Crustaceos  LTP'!W82:W95)</f>
        <v>66.000999999999991</v>
      </c>
      <c r="D17" s="602">
        <f>SUM('Crustaceos  LTP'!X82:X95)</f>
        <v>91.649440000000013</v>
      </c>
      <c r="E17" s="181">
        <f>C17+D17</f>
        <v>157.65044</v>
      </c>
      <c r="F17" s="181">
        <f>SUM('Crustaceos  LTP'!AF82:AF95)</f>
        <v>43.833000000000006</v>
      </c>
      <c r="G17" s="182"/>
      <c r="H17" s="183">
        <f t="shared" si="1"/>
        <v>113.81744</v>
      </c>
      <c r="I17" s="184">
        <f t="shared" si="2"/>
        <v>0.27803918593566884</v>
      </c>
      <c r="J17" s="52"/>
      <c r="K17" s="52"/>
      <c r="L17" s="52"/>
    </row>
    <row r="18" spans="1:12">
      <c r="A18" s="496" t="s">
        <v>118</v>
      </c>
      <c r="B18" s="497" t="s">
        <v>176</v>
      </c>
      <c r="C18" s="187">
        <f>SUM('Demersales LTP '!E132:E203)</f>
        <v>13542.000999999997</v>
      </c>
      <c r="D18" s="602">
        <f>SUM('Demersales LTP '!F132:F203)</f>
        <v>27.34038300000163</v>
      </c>
      <c r="E18" s="181">
        <f t="shared" si="0"/>
        <v>13569.341382999999</v>
      </c>
      <c r="F18" s="181">
        <f>SUM('Demersales LTP '!H132:H203)</f>
        <v>11853.182000000001</v>
      </c>
      <c r="G18" s="182"/>
      <c r="H18" s="183">
        <f t="shared" si="1"/>
        <v>1716.1593829999983</v>
      </c>
      <c r="I18" s="184">
        <f t="shared" si="2"/>
        <v>0.87352670003939581</v>
      </c>
      <c r="J18" s="52"/>
      <c r="K18" s="52"/>
      <c r="L18" s="52"/>
    </row>
    <row r="19" spans="1:12">
      <c r="A19" s="496" t="s">
        <v>119</v>
      </c>
      <c r="B19" s="497" t="s">
        <v>177</v>
      </c>
      <c r="C19" s="187">
        <f>SUM('Demersales LTP '!E64:E111)</f>
        <v>24102.999000000007</v>
      </c>
      <c r="D19" s="520">
        <f>SUM('Demersales LTP '!F64:F111)</f>
        <v>-11045.804174999999</v>
      </c>
      <c r="E19" s="181">
        <f t="shared" si="0"/>
        <v>13057.194825000008</v>
      </c>
      <c r="F19" s="181">
        <f>SUM('Demersales LTP '!H64:H111)</f>
        <v>12247.079</v>
      </c>
      <c r="G19" s="182"/>
      <c r="H19" s="183">
        <f t="shared" si="1"/>
        <v>810.11582500000804</v>
      </c>
      <c r="I19" s="184">
        <f t="shared" si="2"/>
        <v>0.93795636537115024</v>
      </c>
      <c r="J19" s="52"/>
      <c r="K19" s="52"/>
      <c r="L19" s="52"/>
    </row>
    <row r="20" spans="1:12">
      <c r="A20" s="496" t="s">
        <v>119</v>
      </c>
      <c r="B20" s="497" t="s">
        <v>178</v>
      </c>
      <c r="C20" s="187">
        <f>SUM('Demersales LTP '!E115:E130)</f>
        <v>16067.926000000001</v>
      </c>
      <c r="D20" s="601">
        <f>SUM('Demersales LTP '!F115:F130)</f>
        <v>11045.768280000002</v>
      </c>
      <c r="E20" s="181">
        <f t="shared" si="0"/>
        <v>27113.694280000003</v>
      </c>
      <c r="F20" s="181">
        <f>SUM('Demersales LTP '!H115:H130)</f>
        <v>23899.017</v>
      </c>
      <c r="G20" s="182"/>
      <c r="H20" s="183">
        <f t="shared" si="1"/>
        <v>3214.6772800000035</v>
      </c>
      <c r="I20" s="184">
        <f t="shared" si="2"/>
        <v>0.88143713479976571</v>
      </c>
      <c r="J20" s="52"/>
      <c r="K20" s="52"/>
      <c r="L20" s="52"/>
    </row>
    <row r="21" spans="1:12">
      <c r="A21" s="496" t="s">
        <v>179</v>
      </c>
      <c r="B21" s="497" t="s">
        <v>180</v>
      </c>
      <c r="C21" s="187">
        <f>SUM('Demersales LTP '!E53:E62)</f>
        <v>13770</v>
      </c>
      <c r="D21" s="187">
        <f>SUM('Demersales LTP '!F53:F62)</f>
        <v>0</v>
      </c>
      <c r="E21" s="181">
        <f t="shared" si="0"/>
        <v>13770</v>
      </c>
      <c r="F21" s="181">
        <f>SUM('Demersales LTP '!H53:H62)</f>
        <v>7117.143</v>
      </c>
      <c r="G21" s="182"/>
      <c r="H21" s="183">
        <f t="shared" si="1"/>
        <v>6652.857</v>
      </c>
      <c r="I21" s="184">
        <f t="shared" si="2"/>
        <v>0.51685860566448805</v>
      </c>
      <c r="J21" s="52"/>
      <c r="K21" s="52"/>
      <c r="L21" s="52"/>
    </row>
    <row r="22" spans="1:12">
      <c r="A22" s="496" t="s">
        <v>120</v>
      </c>
      <c r="B22" s="497" t="s">
        <v>169</v>
      </c>
      <c r="C22" s="187">
        <f>SUM('Demersales LTP '!E29:E38)</f>
        <v>3898.0010000000002</v>
      </c>
      <c r="D22" s="585">
        <f>SUM('Demersales LTP '!F29:F38)</f>
        <v>2527.3077180000005</v>
      </c>
      <c r="E22" s="181">
        <f t="shared" si="0"/>
        <v>6425.3087180000002</v>
      </c>
      <c r="F22" s="181">
        <f>SUM('Demersales LTP '!H29:H38)</f>
        <v>6326.5560000000005</v>
      </c>
      <c r="G22" s="182"/>
      <c r="H22" s="183">
        <f t="shared" si="1"/>
        <v>98.752717999999732</v>
      </c>
      <c r="I22" s="184">
        <f t="shared" si="2"/>
        <v>0.98463066564827439</v>
      </c>
      <c r="J22" s="52"/>
      <c r="K22" s="52"/>
      <c r="L22" s="52"/>
    </row>
    <row r="23" spans="1:12">
      <c r="A23" s="496" t="s">
        <v>120</v>
      </c>
      <c r="B23" s="497" t="s">
        <v>170</v>
      </c>
      <c r="C23" s="187">
        <f>SUM('Demersales LTP '!E42:E51)</f>
        <v>2492.9990000000003</v>
      </c>
      <c r="D23" s="520">
        <f>SUM('Demersales LTP '!F42:F51)</f>
        <v>-382.92242400000009</v>
      </c>
      <c r="E23" s="181">
        <f t="shared" si="0"/>
        <v>2110.0765760000004</v>
      </c>
      <c r="F23" s="181">
        <f>SUM('Demersales LTP '!H42:H51)</f>
        <v>1706.0249999999999</v>
      </c>
      <c r="G23" s="182"/>
      <c r="H23" s="183">
        <f t="shared" si="1"/>
        <v>404.05157600000052</v>
      </c>
      <c r="I23" s="184">
        <f t="shared" si="2"/>
        <v>0.80851331150931627</v>
      </c>
      <c r="J23" s="52"/>
      <c r="K23" s="52"/>
      <c r="L23" s="52"/>
    </row>
    <row r="24" spans="1:12">
      <c r="A24" s="496" t="s">
        <v>181</v>
      </c>
      <c r="B24" s="497" t="s">
        <v>182</v>
      </c>
      <c r="C24" s="187">
        <f>SUM('Pelagicos LTP '!E249:E317)</f>
        <v>103023.99799999998</v>
      </c>
      <c r="D24" s="520">
        <f>SUM('Pelagicos LTP '!F249:F317)</f>
        <v>-21833.553999999993</v>
      </c>
      <c r="E24" s="181">
        <f t="shared" si="0"/>
        <v>81190.443999999989</v>
      </c>
      <c r="F24" s="181">
        <f>SUM('Pelagicos LTP '!H249:H317)</f>
        <v>78031.757000000012</v>
      </c>
      <c r="G24" s="182"/>
      <c r="H24" s="183">
        <f t="shared" si="1"/>
        <v>3158.6869999999763</v>
      </c>
      <c r="I24" s="184">
        <f t="shared" si="2"/>
        <v>0.96109533530818014</v>
      </c>
      <c r="J24" s="52"/>
      <c r="K24" s="52"/>
      <c r="L24" s="52"/>
    </row>
    <row r="25" spans="1:12">
      <c r="A25" s="496" t="s">
        <v>183</v>
      </c>
      <c r="B25" s="497" t="s">
        <v>164</v>
      </c>
      <c r="C25" s="187">
        <f>SUM('Pelagicos LTP '!E320:E327)</f>
        <v>734.99999999999989</v>
      </c>
      <c r="D25" s="187">
        <f>SUM('Pelagicos LTP '!F320:F327)</f>
        <v>0</v>
      </c>
      <c r="E25" s="181">
        <f t="shared" si="0"/>
        <v>734.99999999999989</v>
      </c>
      <c r="F25" s="181">
        <f>SUM('Pelagicos LTP '!H320:H327)</f>
        <v>2.2360000000000002</v>
      </c>
      <c r="G25" s="182"/>
      <c r="H25" s="183">
        <f t="shared" si="1"/>
        <v>732.7639999999999</v>
      </c>
      <c r="I25" s="184">
        <f t="shared" si="2"/>
        <v>3.0421768707483E-3</v>
      </c>
      <c r="J25" s="52"/>
      <c r="K25" s="52"/>
      <c r="L25" s="52"/>
    </row>
    <row r="26" spans="1:12">
      <c r="A26" s="496" t="s">
        <v>183</v>
      </c>
      <c r="B26" s="497" t="s">
        <v>165</v>
      </c>
      <c r="C26" s="187">
        <f>SUM('Pelagicos LTP '!E330:E349)</f>
        <v>875.00199999999995</v>
      </c>
      <c r="D26" s="520">
        <f>SUM('Pelagicos LTP '!F330:F349)</f>
        <v>-193.4</v>
      </c>
      <c r="E26" s="181">
        <f t="shared" si="0"/>
        <v>681.60199999999998</v>
      </c>
      <c r="F26" s="181">
        <f>SUM('Pelagicos LTP '!H330:H349)</f>
        <v>0</v>
      </c>
      <c r="G26" s="182"/>
      <c r="H26" s="183">
        <f t="shared" si="1"/>
        <v>681.60199999999998</v>
      </c>
      <c r="I26" s="184">
        <f t="shared" si="2"/>
        <v>0</v>
      </c>
      <c r="J26" s="52"/>
      <c r="K26" s="52"/>
      <c r="L26" s="52"/>
    </row>
    <row r="27" spans="1:12" ht="16.5" customHeight="1">
      <c r="A27" s="52"/>
      <c r="B27" s="52"/>
      <c r="C27" s="58"/>
      <c r="D27" s="58"/>
      <c r="E27" s="58"/>
      <c r="F27" s="58"/>
      <c r="G27" s="59"/>
      <c r="H27" s="59"/>
      <c r="I27" s="59"/>
      <c r="J27" s="52"/>
      <c r="K27" s="52"/>
      <c r="L27" s="52"/>
    </row>
    <row r="28" spans="1:12" ht="33.75" customHeight="1">
      <c r="A28" s="861" t="s">
        <v>384</v>
      </c>
      <c r="B28" s="862"/>
      <c r="C28" s="862"/>
      <c r="D28" s="862"/>
      <c r="E28" s="862"/>
      <c r="F28" s="862"/>
      <c r="G28" s="862"/>
      <c r="H28" s="862"/>
      <c r="I28" s="862"/>
      <c r="J28" s="52"/>
      <c r="K28" s="52"/>
      <c r="L28" s="52"/>
    </row>
    <row r="29" spans="1:12">
      <c r="A29" s="52"/>
      <c r="B29" s="52"/>
      <c r="C29" s="52"/>
      <c r="D29" s="52"/>
      <c r="E29" s="52"/>
      <c r="F29" s="52"/>
      <c r="G29" s="52"/>
      <c r="H29" s="52"/>
      <c r="I29" s="52"/>
      <c r="J29" s="52"/>
      <c r="K29" s="52"/>
      <c r="L29" s="52"/>
    </row>
    <row r="30" spans="1:12">
      <c r="C30" s="60"/>
      <c r="D30" s="60"/>
      <c r="E30" s="60"/>
      <c r="F30" s="60"/>
    </row>
    <row r="31" spans="1:12">
      <c r="C31" s="60"/>
      <c r="D31" s="60"/>
      <c r="E31" s="60"/>
      <c r="F31" s="60"/>
      <c r="G31" s="61"/>
    </row>
    <row r="32" spans="1:12">
      <c r="F32" s="60"/>
    </row>
    <row r="33" spans="6:6">
      <c r="F33" s="60"/>
    </row>
    <row r="34" spans="6:6">
      <c r="F34" s="60"/>
    </row>
  </sheetData>
  <mergeCells count="4">
    <mergeCell ref="A2:I2"/>
    <mergeCell ref="A3:I3"/>
    <mergeCell ref="A4:I4"/>
    <mergeCell ref="A28:I28"/>
  </mergeCells>
  <pageMargins left="0.70866141732283472" right="0.70866141732283472" top="0.74803149606299213" bottom="0.74803149606299213" header="0.31496062992125984" footer="0.31496062992125984"/>
  <pageSetup paperSize="122" scale="85" orientation="landscape" r:id="rId1"/>
  <ignoredErrors>
    <ignoredError sqref="C25 C27" formulaRange="1"/>
  </ignoredErrors>
  <drawing r:id="rId2"/>
  <legacyDrawing r:id="rId3"/>
  <oleObjects>
    <oleObject progId="MSPhotoEd.3" shapeId="7169" r:id="rId4"/>
  </oleObjects>
</worksheet>
</file>

<file path=xl/worksheets/sheet2.xml><?xml version="1.0" encoding="utf-8"?>
<worksheet xmlns="http://schemas.openxmlformats.org/spreadsheetml/2006/main" xmlns:r="http://schemas.openxmlformats.org/officeDocument/2006/relationships">
  <sheetPr>
    <tabColor rgb="FFFFFF00"/>
  </sheetPr>
  <dimension ref="A1:R418"/>
  <sheetViews>
    <sheetView zoomScaleNormal="100" workbookViewId="0">
      <pane xSplit="2" ySplit="5" topLeftCell="D300" activePane="bottomRight" state="frozen"/>
      <selection pane="topRight" activeCell="C1" sqref="C1"/>
      <selection pane="bottomLeft" activeCell="A6" sqref="A6"/>
      <selection pane="bottomRight" activeCell="B330" sqref="B330:B349"/>
    </sheetView>
  </sheetViews>
  <sheetFormatPr baseColWidth="10" defaultRowHeight="15"/>
  <cols>
    <col min="1" max="1" width="26.5703125" customWidth="1"/>
    <col min="2" max="2" width="17.7109375" customWidth="1"/>
    <col min="3" max="3" width="7.85546875" bestFit="1" customWidth="1"/>
    <col min="4" max="4" width="11" customWidth="1"/>
    <col min="5" max="5" width="13.28515625" customWidth="1"/>
    <col min="6" max="6" width="15.85546875" customWidth="1"/>
    <col min="7" max="7" width="13.5703125" customWidth="1"/>
    <col min="8" max="8" width="15.85546875" customWidth="1"/>
    <col min="9" max="9" width="16.5703125" customWidth="1"/>
    <col min="10" max="10" width="12.7109375" customWidth="1"/>
    <col min="11" max="13" width="14.7109375" customWidth="1"/>
    <col min="14" max="14" width="19.5703125" customWidth="1"/>
    <col min="15" max="16" width="14.7109375" customWidth="1"/>
    <col min="18" max="18" width="18.42578125" customWidth="1"/>
  </cols>
  <sheetData>
    <row r="1" spans="1:17">
      <c r="B1" s="928" t="s">
        <v>414</v>
      </c>
      <c r="C1" s="929"/>
      <c r="D1" s="929"/>
      <c r="E1" s="929"/>
      <c r="F1" s="929"/>
      <c r="G1" s="929"/>
      <c r="H1" s="929"/>
      <c r="I1" s="929"/>
      <c r="J1" s="929"/>
      <c r="K1" s="929"/>
      <c r="L1" s="929"/>
      <c r="M1" s="929"/>
      <c r="N1" s="929"/>
      <c r="O1" s="929"/>
      <c r="P1" s="929"/>
    </row>
    <row r="2" spans="1:17" ht="15.75" customHeight="1">
      <c r="A2" s="3"/>
      <c r="B2" s="929"/>
      <c r="C2" s="929"/>
      <c r="D2" s="929"/>
      <c r="E2" s="929"/>
      <c r="F2" s="929"/>
      <c r="G2" s="929"/>
      <c r="H2" s="929"/>
      <c r="I2" s="929"/>
      <c r="J2" s="929"/>
      <c r="K2" s="929"/>
      <c r="L2" s="929"/>
      <c r="M2" s="929"/>
      <c r="N2" s="929"/>
      <c r="O2" s="929"/>
      <c r="P2" s="929"/>
    </row>
    <row r="3" spans="1:17">
      <c r="A3" s="3"/>
    </row>
    <row r="4" spans="1:17">
      <c r="A4" s="3"/>
      <c r="B4" s="1"/>
      <c r="C4" s="968" t="s">
        <v>199</v>
      </c>
      <c r="D4" s="956"/>
      <c r="E4" s="955" t="s">
        <v>335</v>
      </c>
      <c r="F4" s="955"/>
      <c r="G4" s="956"/>
      <c r="H4" s="964" t="s">
        <v>334</v>
      </c>
      <c r="I4" s="964"/>
      <c r="J4" s="964"/>
      <c r="K4" s="957" t="s">
        <v>333</v>
      </c>
      <c r="L4" s="958"/>
      <c r="M4" s="958"/>
      <c r="N4" s="958"/>
      <c r="O4" s="958"/>
      <c r="P4" s="959"/>
    </row>
    <row r="5" spans="1:17" ht="51" customHeight="1">
      <c r="A5" s="2" t="s">
        <v>36</v>
      </c>
      <c r="B5" s="772" t="s">
        <v>264</v>
      </c>
      <c r="C5" s="86" t="s">
        <v>197</v>
      </c>
      <c r="D5" s="86" t="s">
        <v>198</v>
      </c>
      <c r="E5" s="83" t="s">
        <v>385</v>
      </c>
      <c r="F5" s="83" t="s">
        <v>201</v>
      </c>
      <c r="G5" s="83" t="s">
        <v>202</v>
      </c>
      <c r="H5" s="87" t="s">
        <v>3</v>
      </c>
      <c r="I5" s="87" t="s">
        <v>4</v>
      </c>
      <c r="J5" s="87" t="s">
        <v>5</v>
      </c>
      <c r="K5" s="494" t="s">
        <v>332</v>
      </c>
      <c r="L5" s="494" t="s">
        <v>201</v>
      </c>
      <c r="M5" s="494" t="s">
        <v>202</v>
      </c>
      <c r="N5" s="494" t="s">
        <v>3</v>
      </c>
      <c r="O5" s="494" t="s">
        <v>4</v>
      </c>
      <c r="P5" s="494" t="s">
        <v>5</v>
      </c>
    </row>
    <row r="6" spans="1:17" ht="16.5" customHeight="1">
      <c r="A6" s="980" t="s">
        <v>2</v>
      </c>
      <c r="B6" s="984" t="s">
        <v>0</v>
      </c>
      <c r="C6" s="88">
        <v>42005</v>
      </c>
      <c r="D6" s="88">
        <v>42185</v>
      </c>
      <c r="E6" s="371">
        <v>2784.8539999999998</v>
      </c>
      <c r="F6" s="372">
        <f>-2784.854</f>
        <v>-2784.8539999999998</v>
      </c>
      <c r="G6" s="371">
        <f>E6+F6</f>
        <v>0</v>
      </c>
      <c r="H6" s="844"/>
      <c r="I6" s="371">
        <f t="shared" ref="I6:I11" si="0">G6-H6</f>
        <v>0</v>
      </c>
      <c r="J6" s="373" t="e">
        <f t="shared" ref="J6:J11" si="1">H6/G6</f>
        <v>#DIV/0!</v>
      </c>
      <c r="K6" s="960">
        <f>E6+E7</f>
        <v>3713.134</v>
      </c>
      <c r="L6" s="960">
        <f>F6+F7</f>
        <v>-3713.134</v>
      </c>
      <c r="M6" s="960">
        <f>K6+L6</f>
        <v>0</v>
      </c>
      <c r="N6" s="893">
        <f>H6+H7</f>
        <v>0</v>
      </c>
      <c r="O6" s="960">
        <f>M6-N6</f>
        <v>0</v>
      </c>
      <c r="P6" s="962" t="e">
        <f>N6/M6</f>
        <v>#DIV/0!</v>
      </c>
    </row>
    <row r="7" spans="1:17" ht="14.25" customHeight="1">
      <c r="A7" s="980"/>
      <c r="B7" s="985"/>
      <c r="C7" s="89">
        <v>42186</v>
      </c>
      <c r="D7" s="89">
        <v>42369</v>
      </c>
      <c r="E7" s="374">
        <v>928.28</v>
      </c>
      <c r="F7" s="375">
        <f>-928.28</f>
        <v>-928.28</v>
      </c>
      <c r="G7" s="374">
        <f>E7+F7+I6</f>
        <v>0</v>
      </c>
      <c r="H7" s="845"/>
      <c r="I7" s="374">
        <f t="shared" si="0"/>
        <v>0</v>
      </c>
      <c r="J7" s="376" t="e">
        <f t="shared" si="1"/>
        <v>#DIV/0!</v>
      </c>
      <c r="K7" s="961"/>
      <c r="L7" s="961"/>
      <c r="M7" s="961"/>
      <c r="N7" s="894"/>
      <c r="O7" s="961"/>
      <c r="P7" s="963"/>
    </row>
    <row r="8" spans="1:17" ht="15.75" customHeight="1">
      <c r="A8" s="980"/>
      <c r="B8" s="986" t="s">
        <v>1</v>
      </c>
      <c r="C8" s="88">
        <v>42005</v>
      </c>
      <c r="D8" s="88">
        <v>42185</v>
      </c>
      <c r="E8" s="371">
        <v>77269.213000000003</v>
      </c>
      <c r="F8" s="372"/>
      <c r="G8" s="371">
        <f>+E8+F8</f>
        <v>77269.213000000003</v>
      </c>
      <c r="H8" s="846">
        <v>28288.036</v>
      </c>
      <c r="I8" s="371">
        <f t="shared" si="0"/>
        <v>48981.177000000003</v>
      </c>
      <c r="J8" s="373">
        <f t="shared" si="1"/>
        <v>0.36609711554846558</v>
      </c>
      <c r="K8" s="960">
        <f t="shared" ref="K8" si="2">E8+E9</f>
        <v>103025.486</v>
      </c>
      <c r="L8" s="960">
        <f>F8+F9</f>
        <v>0</v>
      </c>
      <c r="M8" s="960">
        <f t="shared" ref="M8" si="3">K8+L8</f>
        <v>103025.486</v>
      </c>
      <c r="N8" s="893">
        <f>H8+H9</f>
        <v>66618.994000000006</v>
      </c>
      <c r="O8" s="960">
        <f>M8-N8</f>
        <v>36406.491999999998</v>
      </c>
      <c r="P8" s="965">
        <f t="shared" ref="P8" si="4">N8/M8</f>
        <v>0.64662635029938131</v>
      </c>
    </row>
    <row r="9" spans="1:17" ht="14.25" customHeight="1">
      <c r="A9" s="980"/>
      <c r="B9" s="987"/>
      <c r="C9" s="89">
        <v>42186</v>
      </c>
      <c r="D9" s="89">
        <v>42369</v>
      </c>
      <c r="E9" s="374">
        <v>25756.273000000001</v>
      </c>
      <c r="F9" s="375"/>
      <c r="G9" s="374">
        <f>E9+F9+I8</f>
        <v>74737.450000000012</v>
      </c>
      <c r="H9" s="847">
        <v>38330.957999999999</v>
      </c>
      <c r="I9" s="374">
        <f t="shared" si="0"/>
        <v>36406.492000000013</v>
      </c>
      <c r="J9" s="376">
        <f t="shared" si="1"/>
        <v>0.51287484387010784</v>
      </c>
      <c r="K9" s="961"/>
      <c r="L9" s="961"/>
      <c r="M9" s="961"/>
      <c r="N9" s="894"/>
      <c r="O9" s="961"/>
      <c r="P9" s="966"/>
    </row>
    <row r="10" spans="1:17">
      <c r="A10" s="980"/>
      <c r="B10" s="986" t="s">
        <v>49</v>
      </c>
      <c r="C10" s="88">
        <v>42005</v>
      </c>
      <c r="D10" s="88">
        <v>42185</v>
      </c>
      <c r="E10" s="371">
        <v>311417.93300000002</v>
      </c>
      <c r="F10" s="372"/>
      <c r="G10" s="371">
        <f>E10+F10</f>
        <v>311417.93300000002</v>
      </c>
      <c r="H10" s="846">
        <v>108923.80499999999</v>
      </c>
      <c r="I10" s="371">
        <f t="shared" si="0"/>
        <v>202494.12800000003</v>
      </c>
      <c r="J10" s="373">
        <f t="shared" si="1"/>
        <v>0.34976728523851575</v>
      </c>
      <c r="K10" s="960">
        <f t="shared" ref="K10" si="5">E10+E11</f>
        <v>415223.38</v>
      </c>
      <c r="L10" s="960">
        <f>F10+F11</f>
        <v>-28000</v>
      </c>
      <c r="M10" s="960">
        <f t="shared" ref="M10" si="6">K10+L10</f>
        <v>387223.38</v>
      </c>
      <c r="N10" s="893">
        <f>H10+H11</f>
        <v>276828.74400000001</v>
      </c>
      <c r="O10" s="960">
        <f>M10-N10</f>
        <v>110394.636</v>
      </c>
      <c r="P10" s="965">
        <f t="shared" ref="P10" si="7">N10/M10</f>
        <v>0.71490710090904119</v>
      </c>
      <c r="Q10" s="360"/>
    </row>
    <row r="11" spans="1:17" ht="15" customHeight="1">
      <c r="A11" s="980"/>
      <c r="B11" s="988"/>
      <c r="C11" s="89">
        <v>42186</v>
      </c>
      <c r="D11" s="89">
        <v>42369</v>
      </c>
      <c r="E11" s="374">
        <v>103805.447</v>
      </c>
      <c r="F11" s="375">
        <f>-10000-4000-10000-4000</f>
        <v>-28000</v>
      </c>
      <c r="G11" s="374">
        <f>E11+F11+I10</f>
        <v>278299.57500000001</v>
      </c>
      <c r="H11" s="847">
        <v>167904.93900000001</v>
      </c>
      <c r="I11" s="374">
        <f t="shared" si="0"/>
        <v>110394.636</v>
      </c>
      <c r="J11" s="376">
        <f t="shared" si="1"/>
        <v>0.60332445351380792</v>
      </c>
      <c r="K11" s="961"/>
      <c r="L11" s="961"/>
      <c r="M11" s="961"/>
      <c r="N11" s="894"/>
      <c r="O11" s="961"/>
      <c r="P11" s="967"/>
    </row>
    <row r="12" spans="1:17" ht="15" customHeight="1">
      <c r="A12" s="315"/>
      <c r="B12" s="316"/>
      <c r="C12" s="306"/>
      <c r="D12" s="306"/>
      <c r="E12" s="377"/>
      <c r="F12" s="378"/>
      <c r="G12" s="377"/>
      <c r="H12" s="378"/>
      <c r="I12" s="377"/>
      <c r="J12" s="377"/>
      <c r="K12" s="564"/>
      <c r="L12" s="564"/>
      <c r="M12" s="564"/>
      <c r="N12" s="564"/>
      <c r="O12" s="565"/>
      <c r="P12" s="611"/>
    </row>
    <row r="13" spans="1:17" ht="14.25" customHeight="1">
      <c r="A13" s="55"/>
      <c r="B13" s="55"/>
      <c r="C13" s="307"/>
      <c r="D13" s="307"/>
      <c r="E13" s="379"/>
      <c r="F13" s="379"/>
      <c r="G13" s="379"/>
      <c r="H13" s="379"/>
      <c r="I13" s="378"/>
      <c r="J13" s="379"/>
      <c r="K13" s="566"/>
      <c r="L13" s="566"/>
      <c r="M13" s="566"/>
      <c r="N13" s="566"/>
      <c r="O13" s="566"/>
      <c r="P13" s="612"/>
    </row>
    <row r="14" spans="1:17" ht="15" customHeight="1">
      <c r="A14" s="888" t="s">
        <v>9</v>
      </c>
      <c r="B14" s="972" t="s">
        <v>51</v>
      </c>
      <c r="C14" s="88">
        <v>42005</v>
      </c>
      <c r="D14" s="88">
        <v>42308</v>
      </c>
      <c r="E14" s="371">
        <v>917.82600000000002</v>
      </c>
      <c r="F14" s="380">
        <f>-2.05</f>
        <v>-2.0499999999999998</v>
      </c>
      <c r="G14" s="371">
        <f>E14+F14</f>
        <v>915.77600000000007</v>
      </c>
      <c r="H14" s="846"/>
      <c r="I14" s="371">
        <f>G14-H14</f>
        <v>915.77600000000007</v>
      </c>
      <c r="J14" s="373">
        <f>H14/G14</f>
        <v>0</v>
      </c>
      <c r="K14" s="893">
        <f>E14+E15</f>
        <v>966.11500000000001</v>
      </c>
      <c r="L14" s="893">
        <f>F14+F15</f>
        <v>-2.0499999999999998</v>
      </c>
      <c r="M14" s="893">
        <f>K14+L14</f>
        <v>964.06500000000005</v>
      </c>
      <c r="N14" s="893">
        <f>H14+H15</f>
        <v>0</v>
      </c>
      <c r="O14" s="893">
        <f>M14-N14</f>
        <v>964.06500000000005</v>
      </c>
      <c r="P14" s="886">
        <f>N14/M14</f>
        <v>0</v>
      </c>
    </row>
    <row r="15" spans="1:17" ht="15" customHeight="1">
      <c r="A15" s="889"/>
      <c r="B15" s="974"/>
      <c r="C15" s="89">
        <v>42309</v>
      </c>
      <c r="D15" s="89">
        <v>42369</v>
      </c>
      <c r="E15" s="374">
        <v>48.289000000000001</v>
      </c>
      <c r="F15" s="381"/>
      <c r="G15" s="374">
        <f>E15+F15+I14</f>
        <v>964.06500000000005</v>
      </c>
      <c r="H15" s="848"/>
      <c r="I15" s="374">
        <f t="shared" ref="I15:I27" si="8">G15-H15</f>
        <v>964.06500000000005</v>
      </c>
      <c r="J15" s="376">
        <f t="shared" ref="J15:J27" si="9">H15/G15</f>
        <v>0</v>
      </c>
      <c r="K15" s="894"/>
      <c r="L15" s="894"/>
      <c r="M15" s="894"/>
      <c r="N15" s="894"/>
      <c r="O15" s="894"/>
      <c r="P15" s="887"/>
    </row>
    <row r="16" spans="1:17" ht="15" customHeight="1">
      <c r="A16" s="889"/>
      <c r="B16" s="972" t="s">
        <v>50</v>
      </c>
      <c r="C16" s="88">
        <v>42005</v>
      </c>
      <c r="D16" s="88">
        <v>42308</v>
      </c>
      <c r="E16" s="371">
        <v>3871.8879999999999</v>
      </c>
      <c r="F16" s="372">
        <f>-3871.888</f>
        <v>-3871.8879999999999</v>
      </c>
      <c r="G16" s="371">
        <f>E16+F16</f>
        <v>0</v>
      </c>
      <c r="H16" s="849"/>
      <c r="I16" s="371">
        <f t="shared" si="8"/>
        <v>0</v>
      </c>
      <c r="J16" s="373" t="e">
        <f t="shared" si="9"/>
        <v>#DIV/0!</v>
      </c>
      <c r="K16" s="893">
        <f t="shared" ref="K16" si="10">E16+E17</f>
        <v>4075.598</v>
      </c>
      <c r="L16" s="893">
        <f>F16+F17</f>
        <v>-4075.598</v>
      </c>
      <c r="M16" s="893">
        <f t="shared" ref="M16" si="11">K16+L16</f>
        <v>0</v>
      </c>
      <c r="N16" s="893">
        <f>H16+H17</f>
        <v>0</v>
      </c>
      <c r="O16" s="893">
        <f t="shared" ref="O16" si="12">M16-N16</f>
        <v>0</v>
      </c>
      <c r="P16" s="886" t="e">
        <f t="shared" ref="P16" si="13">N16/M16</f>
        <v>#DIV/0!</v>
      </c>
    </row>
    <row r="17" spans="1:16" ht="15" customHeight="1">
      <c r="A17" s="889"/>
      <c r="B17" s="974"/>
      <c r="C17" s="89">
        <v>42309</v>
      </c>
      <c r="D17" s="89">
        <v>42369</v>
      </c>
      <c r="E17" s="374">
        <v>203.71</v>
      </c>
      <c r="F17" s="375">
        <f>-203.71</f>
        <v>-203.71</v>
      </c>
      <c r="G17" s="374">
        <f>E17+F17+I16</f>
        <v>0</v>
      </c>
      <c r="H17" s="845"/>
      <c r="I17" s="374">
        <f t="shared" si="8"/>
        <v>0</v>
      </c>
      <c r="J17" s="376" t="e">
        <f t="shared" si="9"/>
        <v>#DIV/0!</v>
      </c>
      <c r="K17" s="894"/>
      <c r="L17" s="894"/>
      <c r="M17" s="894"/>
      <c r="N17" s="894"/>
      <c r="O17" s="894"/>
      <c r="P17" s="887"/>
    </row>
    <row r="18" spans="1:16" ht="15" customHeight="1">
      <c r="A18" s="889"/>
      <c r="B18" s="972" t="s">
        <v>10</v>
      </c>
      <c r="C18" s="88">
        <v>42005</v>
      </c>
      <c r="D18" s="88">
        <v>42308</v>
      </c>
      <c r="E18" s="371">
        <v>3025.3020000000001</v>
      </c>
      <c r="F18" s="372">
        <f>-3025.302</f>
        <v>-3025.3020000000001</v>
      </c>
      <c r="G18" s="371">
        <f>E18+F18</f>
        <v>0</v>
      </c>
      <c r="H18" s="844"/>
      <c r="I18" s="371">
        <f t="shared" si="8"/>
        <v>0</v>
      </c>
      <c r="J18" s="373" t="e">
        <f t="shared" si="9"/>
        <v>#DIV/0!</v>
      </c>
      <c r="K18" s="893">
        <f t="shared" ref="K18" si="14">E18+E19</f>
        <v>3184.471</v>
      </c>
      <c r="L18" s="893">
        <f>F18+F19</f>
        <v>-3133.1510000000003</v>
      </c>
      <c r="M18" s="893">
        <f t="shared" ref="M18" si="15">K18+L18</f>
        <v>51.319999999999709</v>
      </c>
      <c r="N18" s="893">
        <f>H18+H19</f>
        <v>0</v>
      </c>
      <c r="O18" s="893">
        <f t="shared" ref="O18" si="16">M18-N18</f>
        <v>51.319999999999709</v>
      </c>
      <c r="P18" s="886">
        <f t="shared" ref="P18" si="17">N18/M18</f>
        <v>0</v>
      </c>
    </row>
    <row r="19" spans="1:16" ht="15" customHeight="1">
      <c r="A19" s="889"/>
      <c r="B19" s="973"/>
      <c r="C19" s="89">
        <v>42309</v>
      </c>
      <c r="D19" s="89">
        <v>42369</v>
      </c>
      <c r="E19" s="383">
        <v>159.16900000000001</v>
      </c>
      <c r="F19" s="384">
        <f>-107.849</f>
        <v>-107.849</v>
      </c>
      <c r="G19" s="383">
        <f>E19+F19+I18</f>
        <v>51.320000000000007</v>
      </c>
      <c r="H19" s="850"/>
      <c r="I19" s="383">
        <f t="shared" si="8"/>
        <v>51.320000000000007</v>
      </c>
      <c r="J19" s="386">
        <f t="shared" si="9"/>
        <v>0</v>
      </c>
      <c r="K19" s="894"/>
      <c r="L19" s="894"/>
      <c r="M19" s="894"/>
      <c r="N19" s="954"/>
      <c r="O19" s="894"/>
      <c r="P19" s="887"/>
    </row>
    <row r="20" spans="1:16" ht="15" customHeight="1">
      <c r="A20" s="889"/>
      <c r="B20" s="972" t="s">
        <v>52</v>
      </c>
      <c r="C20" s="88">
        <v>42005</v>
      </c>
      <c r="D20" s="88">
        <v>42308</v>
      </c>
      <c r="E20" s="371">
        <v>12.678000000000001</v>
      </c>
      <c r="F20" s="372"/>
      <c r="G20" s="371">
        <f>E20+F20</f>
        <v>12.678000000000001</v>
      </c>
      <c r="H20" s="844"/>
      <c r="I20" s="371">
        <f t="shared" si="8"/>
        <v>12.678000000000001</v>
      </c>
      <c r="J20" s="373">
        <f t="shared" si="9"/>
        <v>0</v>
      </c>
      <c r="K20" s="893">
        <f t="shared" ref="K20" si="18">E20+E21</f>
        <v>13.345000000000001</v>
      </c>
      <c r="L20" s="893">
        <f>F20+F21</f>
        <v>0</v>
      </c>
      <c r="M20" s="893">
        <f t="shared" ref="M20" si="19">K20+L20</f>
        <v>13.345000000000001</v>
      </c>
      <c r="N20" s="893">
        <f>H20+H21</f>
        <v>0</v>
      </c>
      <c r="O20" s="893">
        <f t="shared" ref="O20" si="20">M20-N20</f>
        <v>13.345000000000001</v>
      </c>
      <c r="P20" s="886">
        <f t="shared" ref="P20" si="21">N20/M20</f>
        <v>0</v>
      </c>
    </row>
    <row r="21" spans="1:16" ht="15" customHeight="1">
      <c r="A21" s="889"/>
      <c r="B21" s="974"/>
      <c r="C21" s="89">
        <v>42309</v>
      </c>
      <c r="D21" s="89">
        <v>42369</v>
      </c>
      <c r="E21" s="374">
        <v>0.66700000000000004</v>
      </c>
      <c r="F21" s="375"/>
      <c r="G21" s="374">
        <f>E21+F21+I20</f>
        <v>13.345000000000001</v>
      </c>
      <c r="H21" s="845"/>
      <c r="I21" s="374">
        <f t="shared" si="8"/>
        <v>13.345000000000001</v>
      </c>
      <c r="J21" s="376">
        <f t="shared" si="9"/>
        <v>0</v>
      </c>
      <c r="K21" s="894"/>
      <c r="L21" s="894"/>
      <c r="M21" s="894"/>
      <c r="N21" s="894"/>
      <c r="O21" s="894"/>
      <c r="P21" s="887"/>
    </row>
    <row r="22" spans="1:16">
      <c r="A22" s="889"/>
      <c r="B22" s="972" t="s">
        <v>277</v>
      </c>
      <c r="C22" s="88">
        <v>42005</v>
      </c>
      <c r="D22" s="88">
        <v>42308</v>
      </c>
      <c r="E22" s="371">
        <v>159.184</v>
      </c>
      <c r="F22" s="387">
        <f>-83.737</f>
        <v>-83.736999999999995</v>
      </c>
      <c r="G22" s="371">
        <f>E22+F22</f>
        <v>75.447000000000003</v>
      </c>
      <c r="H22" s="844"/>
      <c r="I22" s="371">
        <f t="shared" si="8"/>
        <v>75.447000000000003</v>
      </c>
      <c r="J22" s="373">
        <f t="shared" si="9"/>
        <v>0</v>
      </c>
      <c r="K22" s="893">
        <f t="shared" ref="K22" si="22">E22+E23</f>
        <v>167.559</v>
      </c>
      <c r="L22" s="893">
        <f>F22+F23</f>
        <v>-83.736999999999995</v>
      </c>
      <c r="M22" s="893">
        <f t="shared" ref="M22" si="23">K22+L22</f>
        <v>83.822000000000003</v>
      </c>
      <c r="N22" s="893">
        <f>H22+H23</f>
        <v>0</v>
      </c>
      <c r="O22" s="893">
        <f>M22-N22</f>
        <v>83.822000000000003</v>
      </c>
      <c r="P22" s="886">
        <f t="shared" ref="P22" si="24">N22/M22</f>
        <v>0</v>
      </c>
    </row>
    <row r="23" spans="1:16">
      <c r="A23" s="889"/>
      <c r="B23" s="973"/>
      <c r="C23" s="89">
        <v>42309</v>
      </c>
      <c r="D23" s="89">
        <v>42369</v>
      </c>
      <c r="E23" s="383">
        <v>8.375</v>
      </c>
      <c r="F23" s="388"/>
      <c r="G23" s="383">
        <f>E23+F23+I22</f>
        <v>83.822000000000003</v>
      </c>
      <c r="H23" s="850"/>
      <c r="I23" s="383">
        <f t="shared" si="8"/>
        <v>83.822000000000003</v>
      </c>
      <c r="J23" s="386">
        <f>H23/G23</f>
        <v>0</v>
      </c>
      <c r="K23" s="894"/>
      <c r="L23" s="894"/>
      <c r="M23" s="894"/>
      <c r="N23" s="954"/>
      <c r="O23" s="894"/>
      <c r="P23" s="887"/>
    </row>
    <row r="24" spans="1:16">
      <c r="A24" s="889"/>
      <c r="B24" s="972" t="s">
        <v>13</v>
      </c>
      <c r="C24" s="88">
        <v>42005</v>
      </c>
      <c r="D24" s="88">
        <v>42308</v>
      </c>
      <c r="E24" s="371">
        <v>5903.0540000000001</v>
      </c>
      <c r="F24" s="387">
        <f>-5903.054</f>
        <v>-5903.0540000000001</v>
      </c>
      <c r="G24" s="371">
        <f>E24+F24</f>
        <v>0</v>
      </c>
      <c r="H24" s="844"/>
      <c r="I24" s="371">
        <f t="shared" si="8"/>
        <v>0</v>
      </c>
      <c r="J24" s="373" t="e">
        <f t="shared" si="9"/>
        <v>#DIV/0!</v>
      </c>
      <c r="K24" s="893">
        <f t="shared" ref="K24" si="25">E24+E25</f>
        <v>6213.63</v>
      </c>
      <c r="L24" s="893">
        <f>F24+F25</f>
        <v>-6113.6</v>
      </c>
      <c r="M24" s="893">
        <f t="shared" ref="M24" si="26">K24+L24</f>
        <v>100.02999999999975</v>
      </c>
      <c r="N24" s="893">
        <f>H24+H25</f>
        <v>0</v>
      </c>
      <c r="O24" s="893">
        <f t="shared" ref="O24" si="27">M24-N24</f>
        <v>100.02999999999975</v>
      </c>
      <c r="P24" s="886">
        <f t="shared" ref="P24" si="28">N24/M24</f>
        <v>0</v>
      </c>
    </row>
    <row r="25" spans="1:16">
      <c r="A25" s="889"/>
      <c r="B25" s="974"/>
      <c r="C25" s="89">
        <v>42309</v>
      </c>
      <c r="D25" s="89">
        <v>42369</v>
      </c>
      <c r="E25" s="374">
        <v>310.57600000000002</v>
      </c>
      <c r="F25" s="389">
        <v>-210.54599999999999</v>
      </c>
      <c r="G25" s="374">
        <f>E25+F25+I24</f>
        <v>100.03000000000003</v>
      </c>
      <c r="H25" s="845"/>
      <c r="I25" s="374">
        <f t="shared" si="8"/>
        <v>100.03000000000003</v>
      </c>
      <c r="J25" s="376">
        <f t="shared" si="9"/>
        <v>0</v>
      </c>
      <c r="K25" s="894"/>
      <c r="L25" s="894"/>
      <c r="M25" s="894"/>
      <c r="N25" s="894"/>
      <c r="O25" s="894"/>
      <c r="P25" s="887"/>
    </row>
    <row r="26" spans="1:16">
      <c r="A26" s="889"/>
      <c r="B26" s="972" t="s">
        <v>8</v>
      </c>
      <c r="C26" s="88">
        <v>42005</v>
      </c>
      <c r="D26" s="88">
        <v>42308</v>
      </c>
      <c r="E26" s="371">
        <v>42.067999999999998</v>
      </c>
      <c r="F26" s="387"/>
      <c r="G26" s="371">
        <f>E26+F26</f>
        <v>42.067999999999998</v>
      </c>
      <c r="H26" s="844"/>
      <c r="I26" s="371">
        <f t="shared" si="8"/>
        <v>42.067999999999998</v>
      </c>
      <c r="J26" s="373">
        <f t="shared" si="9"/>
        <v>0</v>
      </c>
      <c r="K26" s="893">
        <f>E26+E27</f>
        <v>44.280999999999999</v>
      </c>
      <c r="L26" s="893">
        <f>F26+F27</f>
        <v>0</v>
      </c>
      <c r="M26" s="893">
        <f t="shared" ref="M26" si="29">K26+L26</f>
        <v>44.280999999999999</v>
      </c>
      <c r="N26" s="893">
        <f>H26+H27</f>
        <v>0</v>
      </c>
      <c r="O26" s="893">
        <f t="shared" ref="O26" si="30">M26-N26</f>
        <v>44.280999999999999</v>
      </c>
      <c r="P26" s="886">
        <f t="shared" ref="P26" si="31">N26/M26</f>
        <v>0</v>
      </c>
    </row>
    <row r="27" spans="1:16">
      <c r="A27" s="889"/>
      <c r="B27" s="974"/>
      <c r="C27" s="89">
        <v>42309</v>
      </c>
      <c r="D27" s="89">
        <v>42369</v>
      </c>
      <c r="E27" s="374">
        <v>2.2130000000000001</v>
      </c>
      <c r="F27" s="389"/>
      <c r="G27" s="374">
        <f>E27+F27+I26</f>
        <v>44.280999999999999</v>
      </c>
      <c r="H27" s="845"/>
      <c r="I27" s="374">
        <f t="shared" si="8"/>
        <v>44.280999999999999</v>
      </c>
      <c r="J27" s="376">
        <f t="shared" si="9"/>
        <v>0</v>
      </c>
      <c r="K27" s="894"/>
      <c r="L27" s="894"/>
      <c r="M27" s="894"/>
      <c r="N27" s="894"/>
      <c r="O27" s="894"/>
      <c r="P27" s="887"/>
    </row>
    <row r="28" spans="1:16">
      <c r="A28" s="889"/>
      <c r="B28" s="952" t="s">
        <v>279</v>
      </c>
      <c r="C28" s="88">
        <v>42005</v>
      </c>
      <c r="D28" s="88">
        <v>42308</v>
      </c>
      <c r="E28" s="371">
        <v>0</v>
      </c>
      <c r="F28" s="407">
        <f>83.737</f>
        <v>83.736999999999995</v>
      </c>
      <c r="G28" s="371">
        <f>E28+F28</f>
        <v>83.736999999999995</v>
      </c>
      <c r="H28" s="844"/>
      <c r="I28" s="371">
        <f>G28-H28</f>
        <v>83.736999999999995</v>
      </c>
      <c r="J28" s="373">
        <f>H28/G28</f>
        <v>0</v>
      </c>
      <c r="K28" s="893">
        <f>E28+E29</f>
        <v>0</v>
      </c>
      <c r="L28" s="895">
        <f>F28+F29</f>
        <v>83.736999999999995</v>
      </c>
      <c r="M28" s="893">
        <f t="shared" ref="M28" si="32">K28+L28</f>
        <v>83.736999999999995</v>
      </c>
      <c r="N28" s="893">
        <f>H28+H29</f>
        <v>0</v>
      </c>
      <c r="O28" s="893">
        <f t="shared" ref="O28" si="33">M28-N28</f>
        <v>83.736999999999995</v>
      </c>
      <c r="P28" s="886">
        <f t="shared" ref="P28" si="34">N28/M28</f>
        <v>0</v>
      </c>
    </row>
    <row r="29" spans="1:16">
      <c r="A29" s="889"/>
      <c r="B29" s="953"/>
      <c r="C29" s="89">
        <v>42309</v>
      </c>
      <c r="D29" s="89">
        <v>42369</v>
      </c>
      <c r="E29" s="374">
        <v>0</v>
      </c>
      <c r="F29" s="389"/>
      <c r="G29" s="374">
        <f>E29+F29+I28</f>
        <v>83.736999999999995</v>
      </c>
      <c r="H29" s="845"/>
      <c r="I29" s="374">
        <f>G29-H29</f>
        <v>83.736999999999995</v>
      </c>
      <c r="J29" s="376">
        <f>H29/G29</f>
        <v>0</v>
      </c>
      <c r="K29" s="894"/>
      <c r="L29" s="896"/>
      <c r="M29" s="894"/>
      <c r="N29" s="894"/>
      <c r="O29" s="894"/>
      <c r="P29" s="887"/>
    </row>
    <row r="30" spans="1:16">
      <c r="A30" s="889"/>
      <c r="B30" s="891" t="s">
        <v>53</v>
      </c>
      <c r="C30" s="88">
        <v>42005</v>
      </c>
      <c r="D30" s="88">
        <v>42308</v>
      </c>
      <c r="E30" s="371">
        <v>0</v>
      </c>
      <c r="F30" s="380">
        <f>2.05</f>
        <v>2.0499999999999998</v>
      </c>
      <c r="G30" s="371">
        <f>E30+F30</f>
        <v>2.0499999999999998</v>
      </c>
      <c r="H30" s="844"/>
      <c r="I30" s="371">
        <f>G30-H30</f>
        <v>2.0499999999999998</v>
      </c>
      <c r="J30" s="373">
        <f>H30/G30</f>
        <v>0</v>
      </c>
      <c r="K30" s="893">
        <f>E30+E31</f>
        <v>0</v>
      </c>
      <c r="L30" s="895">
        <f>F30+F31</f>
        <v>2.0499999999999998</v>
      </c>
      <c r="M30" s="893">
        <f t="shared" ref="M30" si="35">K30+L30</f>
        <v>2.0499999999999998</v>
      </c>
      <c r="N30" s="893">
        <f>H30+H31</f>
        <v>0</v>
      </c>
      <c r="O30" s="893">
        <f t="shared" ref="O30" si="36">M30-N30</f>
        <v>2.0499999999999998</v>
      </c>
      <c r="P30" s="886">
        <f t="shared" ref="P30" si="37">N30/M30</f>
        <v>0</v>
      </c>
    </row>
    <row r="31" spans="1:16">
      <c r="A31" s="890"/>
      <c r="B31" s="892"/>
      <c r="C31" s="89">
        <v>42309</v>
      </c>
      <c r="D31" s="89">
        <v>42369</v>
      </c>
      <c r="E31" s="374">
        <v>0</v>
      </c>
      <c r="F31" s="389"/>
      <c r="G31" s="374">
        <f>E31+F31+I30</f>
        <v>2.0499999999999998</v>
      </c>
      <c r="H31" s="845"/>
      <c r="I31" s="374">
        <f>G31-H31</f>
        <v>2.0499999999999998</v>
      </c>
      <c r="J31" s="376">
        <f>H31/G31</f>
        <v>0</v>
      </c>
      <c r="K31" s="894"/>
      <c r="L31" s="896"/>
      <c r="M31" s="894"/>
      <c r="N31" s="894"/>
      <c r="O31" s="894"/>
      <c r="P31" s="887"/>
    </row>
    <row r="32" spans="1:16">
      <c r="A32" s="308"/>
      <c r="B32" s="314"/>
      <c r="C32" s="306"/>
      <c r="D32" s="306"/>
      <c r="E32" s="377"/>
      <c r="F32" s="390"/>
      <c r="G32" s="377"/>
      <c r="H32" s="378"/>
      <c r="I32" s="377"/>
      <c r="J32" s="377"/>
      <c r="K32" s="564"/>
      <c r="L32" s="564"/>
      <c r="M32" s="564"/>
      <c r="N32" s="564"/>
      <c r="O32" s="564"/>
      <c r="P32" s="611"/>
    </row>
    <row r="33" spans="1:17" ht="14.25" customHeight="1">
      <c r="A33" s="55"/>
      <c r="B33" s="55"/>
      <c r="C33" s="307"/>
      <c r="D33" s="307"/>
      <c r="E33" s="379"/>
      <c r="F33" s="379"/>
      <c r="G33" s="379"/>
      <c r="H33" s="379"/>
      <c r="I33" s="378"/>
      <c r="J33" s="379"/>
      <c r="K33" s="568"/>
      <c r="L33" s="568"/>
      <c r="M33" s="568"/>
      <c r="N33" s="568"/>
      <c r="O33" s="568"/>
      <c r="P33" s="613"/>
    </row>
    <row r="34" spans="1:17" ht="15" customHeight="1">
      <c r="A34" s="977" t="s">
        <v>14</v>
      </c>
      <c r="B34" s="950" t="s">
        <v>56</v>
      </c>
      <c r="C34" s="130">
        <v>42005</v>
      </c>
      <c r="D34" s="131">
        <v>42124</v>
      </c>
      <c r="E34" s="371">
        <v>1173.088</v>
      </c>
      <c r="F34" s="372">
        <f>-209.025-111.48-350-350</f>
        <v>-1020.505</v>
      </c>
      <c r="G34" s="371">
        <f>E34+F34</f>
        <v>152.58299999999997</v>
      </c>
      <c r="H34" s="846">
        <v>24.486999999999998</v>
      </c>
      <c r="I34" s="371">
        <f>G34-H34</f>
        <v>128.09599999999998</v>
      </c>
      <c r="J34" s="373">
        <f>H34/G34</f>
        <v>0.16048314687743723</v>
      </c>
      <c r="K34" s="936">
        <f>E34+E35+E36</f>
        <v>1380.1030000000001</v>
      </c>
      <c r="L34" s="936">
        <f>F34+F35+F36</f>
        <v>-1353.405</v>
      </c>
      <c r="M34" s="936">
        <f>K34+L34</f>
        <v>26.698000000000093</v>
      </c>
      <c r="N34" s="936">
        <f>H34+H35+H36</f>
        <v>24.486999999999998</v>
      </c>
      <c r="O34" s="936">
        <f>M34-N34</f>
        <v>2.2110000000000944</v>
      </c>
      <c r="P34" s="903">
        <f>N34/M34</f>
        <v>0.91718480785077205</v>
      </c>
      <c r="Q34" s="90"/>
    </row>
    <row r="35" spans="1:17" ht="15" customHeight="1">
      <c r="A35" s="978"/>
      <c r="B35" s="949"/>
      <c r="C35" s="132">
        <v>42125</v>
      </c>
      <c r="D35" s="133">
        <v>42247</v>
      </c>
      <c r="E35" s="383">
        <v>138.01</v>
      </c>
      <c r="F35" s="385">
        <f>-332.9</f>
        <v>-332.9</v>
      </c>
      <c r="G35" s="383">
        <f>E35+F35+I34</f>
        <v>-66.794000000000011</v>
      </c>
      <c r="H35" s="851"/>
      <c r="I35" s="383">
        <f>G35-H35</f>
        <v>-66.794000000000011</v>
      </c>
      <c r="J35" s="386">
        <f t="shared" ref="J35:J87" si="38">H35/G35</f>
        <v>0</v>
      </c>
      <c r="K35" s="937"/>
      <c r="L35" s="937"/>
      <c r="M35" s="937"/>
      <c r="N35" s="937"/>
      <c r="O35" s="937"/>
      <c r="P35" s="932"/>
      <c r="Q35" s="90"/>
    </row>
    <row r="36" spans="1:17" ht="15" customHeight="1">
      <c r="A36" s="978"/>
      <c r="B36" s="951"/>
      <c r="C36" s="134">
        <v>42248</v>
      </c>
      <c r="D36" s="135">
        <v>42369</v>
      </c>
      <c r="E36" s="383">
        <v>69.004999999999995</v>
      </c>
      <c r="F36" s="383"/>
      <c r="G36" s="383">
        <f>E36+F36+I35</f>
        <v>2.2109999999999843</v>
      </c>
      <c r="H36" s="851"/>
      <c r="I36" s="374">
        <f>G36-H36</f>
        <v>2.2109999999999843</v>
      </c>
      <c r="J36" s="376">
        <f t="shared" si="38"/>
        <v>0</v>
      </c>
      <c r="K36" s="937"/>
      <c r="L36" s="938"/>
      <c r="M36" s="938"/>
      <c r="N36" s="937"/>
      <c r="O36" s="937"/>
      <c r="P36" s="932"/>
      <c r="Q36" s="90"/>
    </row>
    <row r="37" spans="1:17" ht="15" customHeight="1">
      <c r="A37" s="978"/>
      <c r="B37" s="950" t="s">
        <v>57</v>
      </c>
      <c r="C37" s="130">
        <v>42005</v>
      </c>
      <c r="D37" s="131">
        <v>42124</v>
      </c>
      <c r="E37" s="371">
        <v>21.98</v>
      </c>
      <c r="F37" s="372">
        <f>-21.98</f>
        <v>-21.98</v>
      </c>
      <c r="G37" s="371">
        <f>E37+F37</f>
        <v>0</v>
      </c>
      <c r="H37" s="846"/>
      <c r="I37" s="383">
        <f>G37-H37</f>
        <v>0</v>
      </c>
      <c r="J37" s="386" t="e">
        <f t="shared" si="38"/>
        <v>#DIV/0!</v>
      </c>
      <c r="K37" s="936">
        <f t="shared" ref="K37" si="39">E37+E38+E39</f>
        <v>25.858999999999998</v>
      </c>
      <c r="L37" s="936">
        <f>F37+F38+F39</f>
        <v>-25.858999999999998</v>
      </c>
      <c r="M37" s="936">
        <f>K37+L37</f>
        <v>0</v>
      </c>
      <c r="N37" s="936">
        <f>H37+H38+H39</f>
        <v>0</v>
      </c>
      <c r="O37" s="936">
        <f>M37-N37</f>
        <v>0</v>
      </c>
      <c r="P37" s="886" t="e">
        <f t="shared" ref="P37" si="40">N37/M37</f>
        <v>#DIV/0!</v>
      </c>
      <c r="Q37" s="90"/>
    </row>
    <row r="38" spans="1:17" ht="15" customHeight="1">
      <c r="A38" s="978"/>
      <c r="B38" s="949"/>
      <c r="C38" s="132">
        <v>42125</v>
      </c>
      <c r="D38" s="133">
        <v>42247</v>
      </c>
      <c r="E38" s="383">
        <v>2.5859999999999999</v>
      </c>
      <c r="F38" s="385">
        <f>-2.586</f>
        <v>-2.5859999999999999</v>
      </c>
      <c r="G38" s="383">
        <f>E38+F38+I37</f>
        <v>0</v>
      </c>
      <c r="H38" s="851"/>
      <c r="I38" s="383">
        <f>G38-H38</f>
        <v>0</v>
      </c>
      <c r="J38" s="386" t="e">
        <f t="shared" si="38"/>
        <v>#DIV/0!</v>
      </c>
      <c r="K38" s="937"/>
      <c r="L38" s="937"/>
      <c r="M38" s="937"/>
      <c r="N38" s="937"/>
      <c r="O38" s="937"/>
      <c r="P38" s="907"/>
      <c r="Q38" s="90"/>
    </row>
    <row r="39" spans="1:17" ht="15" customHeight="1">
      <c r="A39" s="978"/>
      <c r="B39" s="949"/>
      <c r="C39" s="134">
        <v>42248</v>
      </c>
      <c r="D39" s="135">
        <v>42369</v>
      </c>
      <c r="E39" s="383">
        <v>1.2929999999999999</v>
      </c>
      <c r="F39" s="385">
        <f>-1.293</f>
        <v>-1.2929999999999999</v>
      </c>
      <c r="G39" s="383">
        <f>E39+F39+I38</f>
        <v>0</v>
      </c>
      <c r="H39" s="851"/>
      <c r="I39" s="383">
        <f t="shared" ref="I39:I87" si="41">G39-H39</f>
        <v>0</v>
      </c>
      <c r="J39" s="386" t="e">
        <f t="shared" si="38"/>
        <v>#DIV/0!</v>
      </c>
      <c r="K39" s="937"/>
      <c r="L39" s="938"/>
      <c r="M39" s="938"/>
      <c r="N39" s="937"/>
      <c r="O39" s="937"/>
      <c r="P39" s="907"/>
      <c r="Q39" s="90"/>
    </row>
    <row r="40" spans="1:17">
      <c r="A40" s="978"/>
      <c r="B40" s="950" t="s">
        <v>10</v>
      </c>
      <c r="C40" s="130">
        <v>42005</v>
      </c>
      <c r="D40" s="131">
        <v>42124</v>
      </c>
      <c r="E40" s="371">
        <v>1474.91</v>
      </c>
      <c r="F40" s="372">
        <f>-660</f>
        <v>-660</v>
      </c>
      <c r="G40" s="371">
        <f>E40+F40</f>
        <v>814.91000000000008</v>
      </c>
      <c r="H40" s="846">
        <v>183.55099999999999</v>
      </c>
      <c r="I40" s="371">
        <f t="shared" si="41"/>
        <v>631.35900000000015</v>
      </c>
      <c r="J40" s="373">
        <f t="shared" si="38"/>
        <v>0.22524082414008906</v>
      </c>
      <c r="K40" s="936">
        <f t="shared" ref="K40" si="42">E40+E41+E42</f>
        <v>1735.1880000000001</v>
      </c>
      <c r="L40" s="936">
        <f>F40+F41+F42</f>
        <v>-680</v>
      </c>
      <c r="M40" s="936">
        <f>K40+L40</f>
        <v>1055.1880000000001</v>
      </c>
      <c r="N40" s="936">
        <f>H40+H41+H42</f>
        <v>832.74399999999991</v>
      </c>
      <c r="O40" s="936">
        <f>M40-N40</f>
        <v>222.44400000000019</v>
      </c>
      <c r="P40" s="886">
        <f t="shared" ref="P40" si="43">N40/M40</f>
        <v>0.78919017274646774</v>
      </c>
      <c r="Q40" s="90"/>
    </row>
    <row r="41" spans="1:17">
      <c r="A41" s="978"/>
      <c r="B41" s="949"/>
      <c r="C41" s="132">
        <v>42125</v>
      </c>
      <c r="D41" s="133">
        <v>42247</v>
      </c>
      <c r="E41" s="383">
        <v>173.51900000000001</v>
      </c>
      <c r="F41" s="383">
        <f>-20</f>
        <v>-20</v>
      </c>
      <c r="G41" s="383">
        <f>E41+F41+I40</f>
        <v>784.87800000000016</v>
      </c>
      <c r="H41" s="851"/>
      <c r="I41" s="383">
        <f t="shared" si="41"/>
        <v>784.87800000000016</v>
      </c>
      <c r="J41" s="386">
        <f t="shared" si="38"/>
        <v>0</v>
      </c>
      <c r="K41" s="937"/>
      <c r="L41" s="937"/>
      <c r="M41" s="937"/>
      <c r="N41" s="937"/>
      <c r="O41" s="937"/>
      <c r="P41" s="907"/>
      <c r="Q41" s="90"/>
    </row>
    <row r="42" spans="1:17">
      <c r="A42" s="978"/>
      <c r="B42" s="951"/>
      <c r="C42" s="134">
        <v>42248</v>
      </c>
      <c r="D42" s="135">
        <v>42369</v>
      </c>
      <c r="E42" s="374">
        <v>86.759</v>
      </c>
      <c r="F42" s="374"/>
      <c r="G42" s="374">
        <f>E42+F42+I41</f>
        <v>871.63700000000017</v>
      </c>
      <c r="H42" s="847">
        <v>649.19299999999998</v>
      </c>
      <c r="I42" s="374">
        <f t="shared" si="41"/>
        <v>222.44400000000019</v>
      </c>
      <c r="J42" s="376">
        <f t="shared" si="38"/>
        <v>0.7447974328763004</v>
      </c>
      <c r="K42" s="937"/>
      <c r="L42" s="938"/>
      <c r="M42" s="938"/>
      <c r="N42" s="937"/>
      <c r="O42" s="937"/>
      <c r="P42" s="907"/>
      <c r="Q42" s="90"/>
    </row>
    <row r="43" spans="1:17">
      <c r="A43" s="978"/>
      <c r="B43" s="949" t="s">
        <v>8</v>
      </c>
      <c r="C43" s="130">
        <v>42005</v>
      </c>
      <c r="D43" s="131">
        <v>42124</v>
      </c>
      <c r="E43" s="383">
        <v>971.12400000000002</v>
      </c>
      <c r="F43" s="385">
        <f>-21</f>
        <v>-21</v>
      </c>
      <c r="G43" s="383">
        <f>E43+F43</f>
        <v>950.12400000000002</v>
      </c>
      <c r="H43" s="851">
        <v>437.43</v>
      </c>
      <c r="I43" s="383">
        <f t="shared" si="41"/>
        <v>512.69399999999996</v>
      </c>
      <c r="J43" s="386">
        <f t="shared" si="38"/>
        <v>0.46039253823711429</v>
      </c>
      <c r="K43" s="936">
        <f t="shared" ref="K43" si="44">E43+E44+E45</f>
        <v>1142.499</v>
      </c>
      <c r="L43" s="936">
        <f>F43+F44+F45</f>
        <v>-230</v>
      </c>
      <c r="M43" s="936">
        <f>K43+L43</f>
        <v>912.49900000000002</v>
      </c>
      <c r="N43" s="937">
        <f>H43+H44+H45</f>
        <v>878.06</v>
      </c>
      <c r="O43" s="936">
        <f>M43-N43</f>
        <v>34.439000000000078</v>
      </c>
      <c r="P43" s="903">
        <f t="shared" ref="P43" si="45">N43/M43</f>
        <v>0.96225858877653558</v>
      </c>
      <c r="Q43" s="90"/>
    </row>
    <row r="44" spans="1:17">
      <c r="A44" s="978"/>
      <c r="B44" s="949"/>
      <c r="C44" s="132">
        <v>42125</v>
      </c>
      <c r="D44" s="133">
        <v>42247</v>
      </c>
      <c r="E44" s="383">
        <v>114.25</v>
      </c>
      <c r="F44" s="383"/>
      <c r="G44" s="383">
        <f>E44+F44+I43</f>
        <v>626.94399999999996</v>
      </c>
      <c r="H44" s="851">
        <v>7.4</v>
      </c>
      <c r="I44" s="383">
        <f t="shared" si="41"/>
        <v>619.54399999999998</v>
      </c>
      <c r="J44" s="386">
        <f t="shared" si="38"/>
        <v>1.1803287055941202E-2</v>
      </c>
      <c r="K44" s="937"/>
      <c r="L44" s="937"/>
      <c r="M44" s="937"/>
      <c r="N44" s="937"/>
      <c r="O44" s="937"/>
      <c r="P44" s="932"/>
      <c r="Q44" s="90"/>
    </row>
    <row r="45" spans="1:17">
      <c r="A45" s="978"/>
      <c r="B45" s="949"/>
      <c r="C45" s="134">
        <v>42248</v>
      </c>
      <c r="D45" s="135">
        <v>42369</v>
      </c>
      <c r="E45" s="383">
        <v>57.125</v>
      </c>
      <c r="F45" s="385">
        <f>-9-200</f>
        <v>-209</v>
      </c>
      <c r="G45" s="383">
        <f>E45+F45+I44</f>
        <v>467.66899999999998</v>
      </c>
      <c r="H45" s="851">
        <v>433.23</v>
      </c>
      <c r="I45" s="383">
        <f t="shared" si="41"/>
        <v>34.438999999999965</v>
      </c>
      <c r="J45" s="386">
        <f t="shared" si="38"/>
        <v>0.92636031039046851</v>
      </c>
      <c r="K45" s="937"/>
      <c r="L45" s="938"/>
      <c r="M45" s="938"/>
      <c r="N45" s="937"/>
      <c r="O45" s="937"/>
      <c r="P45" s="932"/>
      <c r="Q45" s="90"/>
    </row>
    <row r="46" spans="1:17">
      <c r="A46" s="978"/>
      <c r="B46" s="950" t="s">
        <v>1</v>
      </c>
      <c r="C46" s="130">
        <v>42005</v>
      </c>
      <c r="D46" s="131">
        <v>42124</v>
      </c>
      <c r="E46" s="371">
        <v>48.677999999999997</v>
      </c>
      <c r="F46" s="372"/>
      <c r="G46" s="371">
        <f>E46+F46</f>
        <v>48.677999999999997</v>
      </c>
      <c r="H46" s="846"/>
      <c r="I46" s="371">
        <f t="shared" si="41"/>
        <v>48.677999999999997</v>
      </c>
      <c r="J46" s="373">
        <f t="shared" si="38"/>
        <v>0</v>
      </c>
      <c r="K46" s="936">
        <f t="shared" ref="K46" si="46">E46+E47+E48</f>
        <v>57.268000000000001</v>
      </c>
      <c r="L46" s="936">
        <f>F46+F47+F48</f>
        <v>0</v>
      </c>
      <c r="M46" s="936">
        <f>K46+L46</f>
        <v>57.268000000000001</v>
      </c>
      <c r="N46" s="936">
        <f>H46+H47+H48</f>
        <v>0</v>
      </c>
      <c r="O46" s="936">
        <f>M46-N46</f>
        <v>57.268000000000001</v>
      </c>
      <c r="P46" s="886">
        <f t="shared" ref="P46" si="47">N46/M46</f>
        <v>0</v>
      </c>
      <c r="Q46" s="90"/>
    </row>
    <row r="47" spans="1:17">
      <c r="A47" s="978"/>
      <c r="B47" s="949"/>
      <c r="C47" s="132">
        <v>42125</v>
      </c>
      <c r="D47" s="133">
        <v>42247</v>
      </c>
      <c r="E47" s="383">
        <v>5.7270000000000003</v>
      </c>
      <c r="F47" s="383"/>
      <c r="G47" s="383">
        <f>E47+F47+I46</f>
        <v>54.405000000000001</v>
      </c>
      <c r="H47" s="851"/>
      <c r="I47" s="383">
        <f t="shared" si="41"/>
        <v>54.405000000000001</v>
      </c>
      <c r="J47" s="386">
        <f t="shared" si="38"/>
        <v>0</v>
      </c>
      <c r="K47" s="937"/>
      <c r="L47" s="937"/>
      <c r="M47" s="937"/>
      <c r="N47" s="937"/>
      <c r="O47" s="937"/>
      <c r="P47" s="907"/>
      <c r="Q47" s="90"/>
    </row>
    <row r="48" spans="1:17">
      <c r="A48" s="978"/>
      <c r="B48" s="951"/>
      <c r="C48" s="134">
        <v>42248</v>
      </c>
      <c r="D48" s="135">
        <v>42369</v>
      </c>
      <c r="E48" s="374">
        <v>2.863</v>
      </c>
      <c r="F48" s="374"/>
      <c r="G48" s="374">
        <f>E48+F48+I47</f>
        <v>57.268000000000001</v>
      </c>
      <c r="H48" s="847"/>
      <c r="I48" s="374">
        <f t="shared" si="41"/>
        <v>57.268000000000001</v>
      </c>
      <c r="J48" s="376">
        <f t="shared" si="38"/>
        <v>0</v>
      </c>
      <c r="K48" s="937"/>
      <c r="L48" s="938"/>
      <c r="M48" s="938"/>
      <c r="N48" s="938"/>
      <c r="O48" s="937"/>
      <c r="P48" s="907"/>
      <c r="Q48" s="90"/>
    </row>
    <row r="49" spans="1:17">
      <c r="A49" s="978"/>
      <c r="B49" s="949" t="s">
        <v>278</v>
      </c>
      <c r="C49" s="130">
        <v>42005</v>
      </c>
      <c r="D49" s="131">
        <v>42124</v>
      </c>
      <c r="E49" s="383">
        <v>66.623000000000005</v>
      </c>
      <c r="F49" s="385">
        <f>-66.623</f>
        <v>-66.623000000000005</v>
      </c>
      <c r="G49" s="383">
        <f>E49+F49</f>
        <v>0</v>
      </c>
      <c r="H49" s="851"/>
      <c r="I49" s="383">
        <f t="shared" si="41"/>
        <v>0</v>
      </c>
      <c r="J49" s="386" t="e">
        <f t="shared" si="38"/>
        <v>#DIV/0!</v>
      </c>
      <c r="K49" s="936">
        <f t="shared" ref="K49" si="48">E49+E50+E51</f>
        <v>78.38</v>
      </c>
      <c r="L49" s="936">
        <f>F49+F50+F51</f>
        <v>-78.38</v>
      </c>
      <c r="M49" s="936">
        <f>K49+L49</f>
        <v>0</v>
      </c>
      <c r="N49" s="937">
        <f>H49+H50+H51</f>
        <v>0</v>
      </c>
      <c r="O49" s="936">
        <f>M49-N49</f>
        <v>0</v>
      </c>
      <c r="P49" s="886" t="e">
        <f t="shared" ref="P49" si="49">N49/M49</f>
        <v>#DIV/0!</v>
      </c>
      <c r="Q49" s="90"/>
    </row>
    <row r="50" spans="1:17">
      <c r="A50" s="978"/>
      <c r="B50" s="949"/>
      <c r="C50" s="132">
        <v>42125</v>
      </c>
      <c r="D50" s="133">
        <v>42247</v>
      </c>
      <c r="E50" s="383">
        <v>7.8380000000000001</v>
      </c>
      <c r="F50" s="383">
        <f>-7.838</f>
        <v>-7.8380000000000001</v>
      </c>
      <c r="G50" s="383">
        <f>E50+F50+I49</f>
        <v>0</v>
      </c>
      <c r="H50" s="851"/>
      <c r="I50" s="383">
        <f t="shared" si="41"/>
        <v>0</v>
      </c>
      <c r="J50" s="386" t="e">
        <f t="shared" si="38"/>
        <v>#DIV/0!</v>
      </c>
      <c r="K50" s="937"/>
      <c r="L50" s="937"/>
      <c r="M50" s="937"/>
      <c r="N50" s="937"/>
      <c r="O50" s="937"/>
      <c r="P50" s="907"/>
      <c r="Q50" s="90"/>
    </row>
    <row r="51" spans="1:17" ht="15" customHeight="1">
      <c r="A51" s="978"/>
      <c r="B51" s="949"/>
      <c r="C51" s="134">
        <v>42248</v>
      </c>
      <c r="D51" s="135">
        <v>42369</v>
      </c>
      <c r="E51" s="383">
        <v>3.919</v>
      </c>
      <c r="F51" s="383">
        <f>-3.919</f>
        <v>-3.919</v>
      </c>
      <c r="G51" s="383">
        <f>E51+F51+I50</f>
        <v>0</v>
      </c>
      <c r="H51" s="851"/>
      <c r="I51" s="383">
        <f t="shared" si="41"/>
        <v>0</v>
      </c>
      <c r="J51" s="386" t="e">
        <f t="shared" si="38"/>
        <v>#DIV/0!</v>
      </c>
      <c r="K51" s="937"/>
      <c r="L51" s="938"/>
      <c r="M51" s="938"/>
      <c r="N51" s="937"/>
      <c r="O51" s="937"/>
      <c r="P51" s="907"/>
      <c r="Q51" s="90"/>
    </row>
    <row r="52" spans="1:17" ht="15" customHeight="1">
      <c r="A52" s="978"/>
      <c r="B52" s="950" t="s">
        <v>279</v>
      </c>
      <c r="C52" s="130">
        <v>42005</v>
      </c>
      <c r="D52" s="131">
        <v>42124</v>
      </c>
      <c r="E52" s="371">
        <v>66.56</v>
      </c>
      <c r="F52" s="372"/>
      <c r="G52" s="371">
        <f>E52+F52</f>
        <v>66.56</v>
      </c>
      <c r="H52" s="846">
        <v>11.201000000000001</v>
      </c>
      <c r="I52" s="371">
        <f t="shared" si="41"/>
        <v>55.359000000000002</v>
      </c>
      <c r="J52" s="373">
        <f t="shared" si="38"/>
        <v>0.1682842548076923</v>
      </c>
      <c r="K52" s="936">
        <f t="shared" ref="K52" si="50">E52+E53+E54</f>
        <v>78.306000000000012</v>
      </c>
      <c r="L52" s="936">
        <f>F52+F53+F54</f>
        <v>0</v>
      </c>
      <c r="M52" s="936">
        <f>K52+L52</f>
        <v>78.306000000000012</v>
      </c>
      <c r="N52" s="936">
        <f>H52+H53+H54</f>
        <v>47.77</v>
      </c>
      <c r="O52" s="936">
        <f>M52-N52</f>
        <v>30.536000000000008</v>
      </c>
      <c r="P52" s="903">
        <f t="shared" ref="P52" si="51">N52/M52</f>
        <v>0.61004265318110995</v>
      </c>
      <c r="Q52" s="90"/>
    </row>
    <row r="53" spans="1:17" ht="15" customHeight="1">
      <c r="A53" s="978"/>
      <c r="B53" s="949"/>
      <c r="C53" s="132">
        <v>42125</v>
      </c>
      <c r="D53" s="133">
        <v>42247</v>
      </c>
      <c r="E53" s="383">
        <v>7.8310000000000004</v>
      </c>
      <c r="F53" s="385"/>
      <c r="G53" s="383">
        <f>E53+F53+I52</f>
        <v>63.190000000000005</v>
      </c>
      <c r="H53" s="851"/>
      <c r="I53" s="383">
        <f t="shared" si="41"/>
        <v>63.190000000000005</v>
      </c>
      <c r="J53" s="386">
        <f t="shared" si="38"/>
        <v>0</v>
      </c>
      <c r="K53" s="937"/>
      <c r="L53" s="937"/>
      <c r="M53" s="937"/>
      <c r="N53" s="937"/>
      <c r="O53" s="937"/>
      <c r="P53" s="932"/>
      <c r="Q53" s="90"/>
    </row>
    <row r="54" spans="1:17" ht="15" customHeight="1">
      <c r="A54" s="978"/>
      <c r="B54" s="951"/>
      <c r="C54" s="134">
        <v>42248</v>
      </c>
      <c r="D54" s="135">
        <v>42369</v>
      </c>
      <c r="E54" s="374">
        <v>3.915</v>
      </c>
      <c r="F54" s="374"/>
      <c r="G54" s="374">
        <f>E54+F54+I53</f>
        <v>67.105000000000004</v>
      </c>
      <c r="H54" s="847">
        <f>36.569</f>
        <v>36.569000000000003</v>
      </c>
      <c r="I54" s="374">
        <f t="shared" si="41"/>
        <v>30.536000000000001</v>
      </c>
      <c r="J54" s="376">
        <f t="shared" si="38"/>
        <v>0.54495194098800392</v>
      </c>
      <c r="K54" s="937"/>
      <c r="L54" s="938"/>
      <c r="M54" s="938"/>
      <c r="N54" s="938"/>
      <c r="O54" s="937"/>
      <c r="P54" s="932"/>
      <c r="Q54" s="90"/>
    </row>
    <row r="55" spans="1:17" ht="15" customHeight="1">
      <c r="A55" s="978"/>
      <c r="B55" s="933" t="s">
        <v>53</v>
      </c>
      <c r="C55" s="130">
        <v>42005</v>
      </c>
      <c r="D55" s="131">
        <v>42124</v>
      </c>
      <c r="E55" s="371">
        <v>249.422</v>
      </c>
      <c r="F55" s="371">
        <f>-249.422</f>
        <v>-249.422</v>
      </c>
      <c r="G55" s="371">
        <f>E55+F55</f>
        <v>0</v>
      </c>
      <c r="H55" s="846">
        <v>15.91</v>
      </c>
      <c r="I55" s="371">
        <f t="shared" si="41"/>
        <v>-15.91</v>
      </c>
      <c r="J55" s="373" t="e">
        <f t="shared" si="38"/>
        <v>#DIV/0!</v>
      </c>
      <c r="K55" s="936">
        <f t="shared" ref="K55" si="52">E55+E56+E57</f>
        <v>293.43800000000005</v>
      </c>
      <c r="L55" s="936">
        <f>F55+F56+F57</f>
        <v>-276</v>
      </c>
      <c r="M55" s="936">
        <f t="shared" ref="M55" si="53">K55+L55</f>
        <v>17.438000000000045</v>
      </c>
      <c r="N55" s="936">
        <f>H55+H56+H57</f>
        <v>15.91</v>
      </c>
      <c r="O55" s="936">
        <f>M55-N55</f>
        <v>1.5280000000000449</v>
      </c>
      <c r="P55" s="903">
        <f t="shared" ref="P55:P73" si="54">N55/M55</f>
        <v>0.91237527239362082</v>
      </c>
      <c r="Q55" s="90"/>
    </row>
    <row r="56" spans="1:17" ht="15" customHeight="1">
      <c r="A56" s="978"/>
      <c r="B56" s="934"/>
      <c r="C56" s="132">
        <v>42125</v>
      </c>
      <c r="D56" s="133">
        <v>42247</v>
      </c>
      <c r="E56" s="383">
        <v>29.344000000000001</v>
      </c>
      <c r="F56" s="383">
        <f>-5.578-21</f>
        <v>-26.577999999999999</v>
      </c>
      <c r="G56" s="383">
        <f>E56+F56+I55</f>
        <v>-13.143999999999998</v>
      </c>
      <c r="H56" s="851"/>
      <c r="I56" s="383">
        <f t="shared" si="41"/>
        <v>-13.143999999999998</v>
      </c>
      <c r="J56" s="386">
        <f t="shared" si="38"/>
        <v>0</v>
      </c>
      <c r="K56" s="937"/>
      <c r="L56" s="937"/>
      <c r="M56" s="937"/>
      <c r="N56" s="937"/>
      <c r="O56" s="937"/>
      <c r="P56" s="932"/>
      <c r="Q56" s="90"/>
    </row>
    <row r="57" spans="1:17" ht="15" customHeight="1">
      <c r="A57" s="978"/>
      <c r="B57" s="935"/>
      <c r="C57" s="134">
        <v>42248</v>
      </c>
      <c r="D57" s="135">
        <v>42369</v>
      </c>
      <c r="E57" s="374">
        <v>14.672000000000001</v>
      </c>
      <c r="F57" s="374"/>
      <c r="G57" s="374">
        <f>E57+F57+I56</f>
        <v>1.5280000000000022</v>
      </c>
      <c r="H57" s="847"/>
      <c r="I57" s="374">
        <f t="shared" si="41"/>
        <v>1.5280000000000022</v>
      </c>
      <c r="J57" s="376">
        <f t="shared" si="38"/>
        <v>0</v>
      </c>
      <c r="K57" s="937"/>
      <c r="L57" s="938"/>
      <c r="M57" s="938"/>
      <c r="N57" s="938"/>
      <c r="O57" s="937"/>
      <c r="P57" s="932"/>
      <c r="Q57" s="90"/>
    </row>
    <row r="58" spans="1:17" ht="15" customHeight="1">
      <c r="A58" s="978"/>
      <c r="B58" s="949" t="s">
        <v>11</v>
      </c>
      <c r="C58" s="130">
        <v>42005</v>
      </c>
      <c r="D58" s="131">
        <v>42124</v>
      </c>
      <c r="E58" s="383">
        <v>1.901</v>
      </c>
      <c r="F58" s="385">
        <f>-1.901</f>
        <v>-1.901</v>
      </c>
      <c r="G58" s="383">
        <f>E58+F58</f>
        <v>0</v>
      </c>
      <c r="H58" s="851"/>
      <c r="I58" s="383">
        <f t="shared" si="41"/>
        <v>0</v>
      </c>
      <c r="J58" s="386" t="e">
        <f t="shared" si="38"/>
        <v>#DIV/0!</v>
      </c>
      <c r="K58" s="936">
        <f t="shared" ref="K58:L58" si="55">E58+E59+E60</f>
        <v>2.2370000000000001</v>
      </c>
      <c r="L58" s="936">
        <f t="shared" si="55"/>
        <v>-2.2370000000000001</v>
      </c>
      <c r="M58" s="936">
        <f t="shared" ref="M58" si="56">K58+L58</f>
        <v>0</v>
      </c>
      <c r="N58" s="937">
        <f>H58+H59+H60</f>
        <v>0</v>
      </c>
      <c r="O58" s="936">
        <f>M58-N58</f>
        <v>0</v>
      </c>
      <c r="P58" s="886" t="e">
        <f t="shared" si="54"/>
        <v>#DIV/0!</v>
      </c>
      <c r="Q58" s="90"/>
    </row>
    <row r="59" spans="1:17" ht="15" customHeight="1">
      <c r="A59" s="978"/>
      <c r="B59" s="949"/>
      <c r="C59" s="132">
        <v>42125</v>
      </c>
      <c r="D59" s="133">
        <v>42247</v>
      </c>
      <c r="E59" s="383">
        <v>0.224</v>
      </c>
      <c r="F59" s="385">
        <f>-0.224</f>
        <v>-0.224</v>
      </c>
      <c r="G59" s="383">
        <f>E59+F59+I58</f>
        <v>0</v>
      </c>
      <c r="H59" s="851"/>
      <c r="I59" s="383">
        <f t="shared" si="41"/>
        <v>0</v>
      </c>
      <c r="J59" s="386" t="e">
        <f t="shared" si="38"/>
        <v>#DIV/0!</v>
      </c>
      <c r="K59" s="937"/>
      <c r="L59" s="937"/>
      <c r="M59" s="937"/>
      <c r="N59" s="937"/>
      <c r="O59" s="937"/>
      <c r="P59" s="907"/>
      <c r="Q59" s="90"/>
    </row>
    <row r="60" spans="1:17">
      <c r="A60" s="978"/>
      <c r="B60" s="949"/>
      <c r="C60" s="134">
        <v>42248</v>
      </c>
      <c r="D60" s="135">
        <v>42369</v>
      </c>
      <c r="E60" s="383">
        <v>0.112</v>
      </c>
      <c r="F60" s="385">
        <f>-0.112</f>
        <v>-0.112</v>
      </c>
      <c r="G60" s="383">
        <f>E60+F60+I59</f>
        <v>0</v>
      </c>
      <c r="H60" s="851"/>
      <c r="I60" s="383">
        <f t="shared" si="41"/>
        <v>0</v>
      </c>
      <c r="J60" s="386" t="e">
        <f t="shared" si="38"/>
        <v>#DIV/0!</v>
      </c>
      <c r="K60" s="937"/>
      <c r="L60" s="938"/>
      <c r="M60" s="938"/>
      <c r="N60" s="937"/>
      <c r="O60" s="937"/>
      <c r="P60" s="907"/>
      <c r="Q60" s="90"/>
    </row>
    <row r="61" spans="1:17">
      <c r="A61" s="978"/>
      <c r="B61" s="950" t="s">
        <v>45</v>
      </c>
      <c r="C61" s="130">
        <v>42005</v>
      </c>
      <c r="D61" s="131">
        <v>42124</v>
      </c>
      <c r="E61" s="371">
        <v>5.8869999999999996</v>
      </c>
      <c r="F61" s="372">
        <v>-5.8869999999999996</v>
      </c>
      <c r="G61" s="371">
        <f>E61+F61</f>
        <v>0</v>
      </c>
      <c r="H61" s="846"/>
      <c r="I61" s="371">
        <f t="shared" si="41"/>
        <v>0</v>
      </c>
      <c r="J61" s="373" t="e">
        <f t="shared" si="38"/>
        <v>#DIV/0!</v>
      </c>
      <c r="K61" s="936">
        <f t="shared" ref="K61:L61" si="57">E61+E62+E63</f>
        <v>6.9259999999999993</v>
      </c>
      <c r="L61" s="936">
        <f t="shared" si="57"/>
        <v>-6.9259999999999993</v>
      </c>
      <c r="M61" s="936">
        <f t="shared" ref="M61" si="58">K61+L61</f>
        <v>0</v>
      </c>
      <c r="N61" s="936">
        <f>H61+H62+H63</f>
        <v>0</v>
      </c>
      <c r="O61" s="936">
        <f>M61-N61</f>
        <v>0</v>
      </c>
      <c r="P61" s="886" t="e">
        <f t="shared" si="54"/>
        <v>#DIV/0!</v>
      </c>
      <c r="Q61" s="90"/>
    </row>
    <row r="62" spans="1:17">
      <c r="A62" s="978"/>
      <c r="B62" s="949"/>
      <c r="C62" s="132">
        <v>42125</v>
      </c>
      <c r="D62" s="133">
        <v>42247</v>
      </c>
      <c r="E62" s="383">
        <v>0.69299999999999995</v>
      </c>
      <c r="F62" s="385">
        <v>-0.69299999999999995</v>
      </c>
      <c r="G62" s="383">
        <f>E62+F62+I61</f>
        <v>0</v>
      </c>
      <c r="H62" s="851"/>
      <c r="I62" s="383">
        <f t="shared" si="41"/>
        <v>0</v>
      </c>
      <c r="J62" s="386" t="e">
        <f t="shared" si="38"/>
        <v>#DIV/0!</v>
      </c>
      <c r="K62" s="937"/>
      <c r="L62" s="937"/>
      <c r="M62" s="937"/>
      <c r="N62" s="937"/>
      <c r="O62" s="937"/>
      <c r="P62" s="907"/>
      <c r="Q62" s="90"/>
    </row>
    <row r="63" spans="1:17">
      <c r="A63" s="978"/>
      <c r="B63" s="951"/>
      <c r="C63" s="134">
        <v>42248</v>
      </c>
      <c r="D63" s="135">
        <v>42369</v>
      </c>
      <c r="E63" s="374">
        <v>0.34599999999999997</v>
      </c>
      <c r="F63" s="375">
        <v>-0.34599999999999997</v>
      </c>
      <c r="G63" s="374">
        <f>E63+F63+I62</f>
        <v>0</v>
      </c>
      <c r="H63" s="847"/>
      <c r="I63" s="374">
        <f t="shared" si="41"/>
        <v>0</v>
      </c>
      <c r="J63" s="376" t="e">
        <f t="shared" si="38"/>
        <v>#DIV/0!</v>
      </c>
      <c r="K63" s="937"/>
      <c r="L63" s="938"/>
      <c r="M63" s="938"/>
      <c r="N63" s="938"/>
      <c r="O63" s="937"/>
      <c r="P63" s="907"/>
      <c r="Q63" s="90"/>
    </row>
    <row r="64" spans="1:17">
      <c r="A64" s="978"/>
      <c r="B64" s="949" t="s">
        <v>280</v>
      </c>
      <c r="C64" s="130">
        <v>42005</v>
      </c>
      <c r="D64" s="131">
        <v>42124</v>
      </c>
      <c r="E64" s="383">
        <v>60.222999999999999</v>
      </c>
      <c r="F64" s="384">
        <f>43.98+78.38</f>
        <v>122.35999999999999</v>
      </c>
      <c r="G64" s="383">
        <f>E64+F64</f>
        <v>182.58299999999997</v>
      </c>
      <c r="H64" s="851">
        <v>43.569000000000003</v>
      </c>
      <c r="I64" s="383">
        <f t="shared" si="41"/>
        <v>139.01399999999995</v>
      </c>
      <c r="J64" s="386">
        <f t="shared" si="38"/>
        <v>0.23862572090501311</v>
      </c>
      <c r="K64" s="936">
        <f t="shared" ref="K64:L64" si="59">E64+E65+E66</f>
        <v>70.850999999999999</v>
      </c>
      <c r="L64" s="936">
        <f t="shared" si="59"/>
        <v>122.35999999999999</v>
      </c>
      <c r="M64" s="936">
        <f t="shared" ref="M64" si="60">K64+L64</f>
        <v>193.21099999999998</v>
      </c>
      <c r="N64" s="937">
        <f>H64+H65+H66</f>
        <v>43.569000000000003</v>
      </c>
      <c r="O64" s="936">
        <f>M64-N64</f>
        <v>149.642</v>
      </c>
      <c r="P64" s="947">
        <f t="shared" si="54"/>
        <v>0.22549958335705528</v>
      </c>
      <c r="Q64" s="90"/>
    </row>
    <row r="65" spans="1:17">
      <c r="A65" s="978"/>
      <c r="B65" s="949"/>
      <c r="C65" s="132">
        <v>42125</v>
      </c>
      <c r="D65" s="133">
        <v>42247</v>
      </c>
      <c r="E65" s="383">
        <v>7.085</v>
      </c>
      <c r="F65" s="385"/>
      <c r="G65" s="383">
        <f>E65+F65+I64</f>
        <v>146.09899999999996</v>
      </c>
      <c r="H65" s="851"/>
      <c r="I65" s="383">
        <f t="shared" si="41"/>
        <v>146.09899999999996</v>
      </c>
      <c r="J65" s="386">
        <f t="shared" si="38"/>
        <v>0</v>
      </c>
      <c r="K65" s="937"/>
      <c r="L65" s="937"/>
      <c r="M65" s="937"/>
      <c r="N65" s="937"/>
      <c r="O65" s="937"/>
      <c r="P65" s="948"/>
      <c r="Q65" s="90"/>
    </row>
    <row r="66" spans="1:17">
      <c r="A66" s="978"/>
      <c r="B66" s="949"/>
      <c r="C66" s="134">
        <v>42248</v>
      </c>
      <c r="D66" s="135">
        <v>42369</v>
      </c>
      <c r="E66" s="383">
        <v>3.5430000000000001</v>
      </c>
      <c r="F66" s="383"/>
      <c r="G66" s="383">
        <f>E66+F66+I65</f>
        <v>149.64199999999997</v>
      </c>
      <c r="H66" s="851"/>
      <c r="I66" s="383">
        <f t="shared" si="41"/>
        <v>149.64199999999997</v>
      </c>
      <c r="J66" s="386">
        <f t="shared" si="38"/>
        <v>0</v>
      </c>
      <c r="K66" s="937"/>
      <c r="L66" s="938"/>
      <c r="M66" s="938"/>
      <c r="N66" s="937"/>
      <c r="O66" s="937"/>
      <c r="P66" s="948"/>
      <c r="Q66" s="90"/>
    </row>
    <row r="67" spans="1:17">
      <c r="A67" s="978"/>
      <c r="B67" s="950" t="s">
        <v>281</v>
      </c>
      <c r="C67" s="130">
        <v>42005</v>
      </c>
      <c r="D67" s="131">
        <v>42124</v>
      </c>
      <c r="E67" s="371">
        <v>37.387</v>
      </c>
      <c r="F67" s="372">
        <f>-37.387</f>
        <v>-37.387</v>
      </c>
      <c r="G67" s="371">
        <f>E67+F67</f>
        <v>0</v>
      </c>
      <c r="H67" s="846"/>
      <c r="I67" s="371">
        <f t="shared" si="41"/>
        <v>0</v>
      </c>
      <c r="J67" s="373" t="e">
        <f t="shared" si="38"/>
        <v>#DIV/0!</v>
      </c>
      <c r="K67" s="936">
        <f t="shared" ref="K67" si="61">E67+E68+E69</f>
        <v>43.983999999999995</v>
      </c>
      <c r="L67" s="936">
        <f>F67+F68+F69</f>
        <v>-43.983999999999995</v>
      </c>
      <c r="M67" s="936">
        <f t="shared" ref="M67" si="62">K67+L67</f>
        <v>0</v>
      </c>
      <c r="N67" s="936">
        <f>H67+H68+H69</f>
        <v>0</v>
      </c>
      <c r="O67" s="936">
        <f>M67-N67</f>
        <v>0</v>
      </c>
      <c r="P67" s="886" t="e">
        <f t="shared" si="54"/>
        <v>#DIV/0!</v>
      </c>
      <c r="Q67" s="90"/>
    </row>
    <row r="68" spans="1:17">
      <c r="A68" s="978"/>
      <c r="B68" s="949"/>
      <c r="C68" s="132">
        <v>42125</v>
      </c>
      <c r="D68" s="133">
        <v>42247</v>
      </c>
      <c r="E68" s="383">
        <v>4.3979999999999997</v>
      </c>
      <c r="F68" s="383">
        <f>-4.398</f>
        <v>-4.3979999999999997</v>
      </c>
      <c r="G68" s="383">
        <f>E68+F68+I67</f>
        <v>0</v>
      </c>
      <c r="H68" s="851"/>
      <c r="I68" s="383">
        <f t="shared" si="41"/>
        <v>0</v>
      </c>
      <c r="J68" s="386" t="e">
        <f t="shared" si="38"/>
        <v>#DIV/0!</v>
      </c>
      <c r="K68" s="937"/>
      <c r="L68" s="937"/>
      <c r="M68" s="937"/>
      <c r="N68" s="937"/>
      <c r="O68" s="937"/>
      <c r="P68" s="907"/>
      <c r="Q68" s="90"/>
    </row>
    <row r="69" spans="1:17">
      <c r="A69" s="978"/>
      <c r="B69" s="951"/>
      <c r="C69" s="134">
        <v>42248</v>
      </c>
      <c r="D69" s="135">
        <v>42369</v>
      </c>
      <c r="E69" s="374">
        <v>2.1989999999999998</v>
      </c>
      <c r="F69" s="374">
        <f>-2.199</f>
        <v>-2.1989999999999998</v>
      </c>
      <c r="G69" s="374">
        <f>E69+F69+I68</f>
        <v>0</v>
      </c>
      <c r="H69" s="847"/>
      <c r="I69" s="374">
        <f t="shared" si="41"/>
        <v>0</v>
      </c>
      <c r="J69" s="376" t="e">
        <f t="shared" si="38"/>
        <v>#DIV/0!</v>
      </c>
      <c r="K69" s="937"/>
      <c r="L69" s="938"/>
      <c r="M69" s="938"/>
      <c r="N69" s="938"/>
      <c r="O69" s="937"/>
      <c r="P69" s="907"/>
      <c r="Q69" s="90"/>
    </row>
    <row r="70" spans="1:17">
      <c r="A70" s="978"/>
      <c r="B70" s="949" t="s">
        <v>282</v>
      </c>
      <c r="C70" s="130">
        <v>42005</v>
      </c>
      <c r="D70" s="131">
        <v>42124</v>
      </c>
      <c r="E70" s="383">
        <v>51.978999999999999</v>
      </c>
      <c r="F70" s="384">
        <f>-20</f>
        <v>-20</v>
      </c>
      <c r="G70" s="383">
        <f>E70+F70</f>
        <v>31.978999999999999</v>
      </c>
      <c r="H70" s="851"/>
      <c r="I70" s="383">
        <f t="shared" si="41"/>
        <v>31.978999999999999</v>
      </c>
      <c r="J70" s="386">
        <f t="shared" si="38"/>
        <v>0</v>
      </c>
      <c r="K70" s="936">
        <f t="shared" ref="K70:L70" si="63">E70+E71+E72</f>
        <v>61.152000000000001</v>
      </c>
      <c r="L70" s="936">
        <f t="shared" si="63"/>
        <v>-20</v>
      </c>
      <c r="M70" s="936">
        <f t="shared" ref="M70" si="64">K70+L70</f>
        <v>41.152000000000001</v>
      </c>
      <c r="N70" s="937">
        <f>H70+H71+H72</f>
        <v>0</v>
      </c>
      <c r="O70" s="936">
        <f>M70-N70</f>
        <v>41.152000000000001</v>
      </c>
      <c r="P70" s="886">
        <f t="shared" si="54"/>
        <v>0</v>
      </c>
      <c r="Q70" s="90"/>
    </row>
    <row r="71" spans="1:17">
      <c r="A71" s="978"/>
      <c r="B71" s="949"/>
      <c r="C71" s="132">
        <v>42125</v>
      </c>
      <c r="D71" s="133">
        <v>42247</v>
      </c>
      <c r="E71" s="383">
        <v>6.1150000000000002</v>
      </c>
      <c r="F71" s="384"/>
      <c r="G71" s="383">
        <f>E71+F71+I70</f>
        <v>38.094000000000001</v>
      </c>
      <c r="H71" s="851"/>
      <c r="I71" s="383">
        <f t="shared" si="41"/>
        <v>38.094000000000001</v>
      </c>
      <c r="J71" s="386">
        <f t="shared" si="38"/>
        <v>0</v>
      </c>
      <c r="K71" s="937"/>
      <c r="L71" s="937"/>
      <c r="M71" s="937"/>
      <c r="N71" s="937"/>
      <c r="O71" s="937"/>
      <c r="P71" s="907"/>
      <c r="Q71" s="90"/>
    </row>
    <row r="72" spans="1:17">
      <c r="A72" s="978"/>
      <c r="B72" s="949"/>
      <c r="C72" s="134">
        <v>42248</v>
      </c>
      <c r="D72" s="135">
        <v>42369</v>
      </c>
      <c r="E72" s="383">
        <v>3.0579999999999998</v>
      </c>
      <c r="F72" s="383"/>
      <c r="G72" s="383">
        <f>E72+F72+I71</f>
        <v>41.152000000000001</v>
      </c>
      <c r="H72" s="851"/>
      <c r="I72" s="383">
        <f t="shared" si="41"/>
        <v>41.152000000000001</v>
      </c>
      <c r="J72" s="386">
        <f t="shared" si="38"/>
        <v>0</v>
      </c>
      <c r="K72" s="937"/>
      <c r="L72" s="938"/>
      <c r="M72" s="938"/>
      <c r="N72" s="937"/>
      <c r="O72" s="937"/>
      <c r="P72" s="907"/>
      <c r="Q72" s="90"/>
    </row>
    <row r="73" spans="1:17">
      <c r="A73" s="978"/>
      <c r="B73" s="950" t="s">
        <v>283</v>
      </c>
      <c r="C73" s="130">
        <v>42005</v>
      </c>
      <c r="D73" s="131">
        <v>42124</v>
      </c>
      <c r="E73" s="371">
        <v>439.245</v>
      </c>
      <c r="F73" s="391">
        <f>183</f>
        <v>183</v>
      </c>
      <c r="G73" s="371">
        <f>E73+F73</f>
        <v>622.245</v>
      </c>
      <c r="H73" s="846">
        <v>142.38900000000001</v>
      </c>
      <c r="I73" s="371">
        <f t="shared" si="41"/>
        <v>479.85599999999999</v>
      </c>
      <c r="J73" s="373">
        <f t="shared" si="38"/>
        <v>0.22883108743340647</v>
      </c>
      <c r="K73" s="936">
        <f t="shared" ref="K73:L73" si="65">E73+E74+E75</f>
        <v>516.75900000000001</v>
      </c>
      <c r="L73" s="936">
        <f t="shared" si="65"/>
        <v>183</v>
      </c>
      <c r="M73" s="936">
        <f t="shared" ref="M73" si="66">K73+L73</f>
        <v>699.75900000000001</v>
      </c>
      <c r="N73" s="936">
        <f>H73+H74+H75</f>
        <v>639.60699999999997</v>
      </c>
      <c r="O73" s="936">
        <f>M73-N73</f>
        <v>60.152000000000044</v>
      </c>
      <c r="P73" s="903">
        <f t="shared" si="54"/>
        <v>0.91403897627611785</v>
      </c>
      <c r="Q73" s="90"/>
    </row>
    <row r="74" spans="1:17">
      <c r="A74" s="978"/>
      <c r="B74" s="949"/>
      <c r="C74" s="132">
        <v>42125</v>
      </c>
      <c r="D74" s="133">
        <v>42247</v>
      </c>
      <c r="E74" s="383">
        <v>51.676000000000002</v>
      </c>
      <c r="F74" s="384"/>
      <c r="G74" s="383">
        <f>E74+F74+I73</f>
        <v>531.53200000000004</v>
      </c>
      <c r="H74" s="851">
        <v>201.245</v>
      </c>
      <c r="I74" s="383">
        <f t="shared" si="41"/>
        <v>330.28700000000003</v>
      </c>
      <c r="J74" s="386">
        <f t="shared" si="38"/>
        <v>0.37861314088333342</v>
      </c>
      <c r="K74" s="937"/>
      <c r="L74" s="937"/>
      <c r="M74" s="937"/>
      <c r="N74" s="937"/>
      <c r="O74" s="937"/>
      <c r="P74" s="932"/>
      <c r="Q74" s="90"/>
    </row>
    <row r="75" spans="1:17">
      <c r="A75" s="978"/>
      <c r="B75" s="951"/>
      <c r="C75" s="134">
        <v>42248</v>
      </c>
      <c r="D75" s="135">
        <v>42369</v>
      </c>
      <c r="E75" s="374">
        <v>25.838000000000001</v>
      </c>
      <c r="F75" s="392"/>
      <c r="G75" s="374">
        <f>E75+F75+I74</f>
        <v>356.12500000000006</v>
      </c>
      <c r="H75" s="847">
        <v>295.97300000000001</v>
      </c>
      <c r="I75" s="374">
        <f t="shared" si="41"/>
        <v>60.152000000000044</v>
      </c>
      <c r="J75" s="376">
        <f t="shared" si="38"/>
        <v>0.83109301509301503</v>
      </c>
      <c r="K75" s="937"/>
      <c r="L75" s="938"/>
      <c r="M75" s="938"/>
      <c r="N75" s="938"/>
      <c r="O75" s="937"/>
      <c r="P75" s="932"/>
      <c r="Q75" s="90"/>
    </row>
    <row r="76" spans="1:17">
      <c r="A76" s="978"/>
      <c r="B76" s="949" t="s">
        <v>7</v>
      </c>
      <c r="C76" s="130">
        <v>42005</v>
      </c>
      <c r="D76" s="131">
        <v>42124</v>
      </c>
      <c r="E76" s="383">
        <v>72.531000000000006</v>
      </c>
      <c r="F76" s="384">
        <f>1.901+21.98+5.887</f>
        <v>29.768000000000001</v>
      </c>
      <c r="G76" s="383">
        <f>E76+F76</f>
        <v>102.29900000000001</v>
      </c>
      <c r="H76" s="851">
        <v>26.565000000000001</v>
      </c>
      <c r="I76" s="383">
        <f t="shared" si="41"/>
        <v>75.734000000000009</v>
      </c>
      <c r="J76" s="386">
        <f t="shared" si="38"/>
        <v>0.25967995777084818</v>
      </c>
      <c r="K76" s="936">
        <f t="shared" ref="K76:L76" si="67">E76+E77+E78</f>
        <v>85.331000000000003</v>
      </c>
      <c r="L76" s="895">
        <f t="shared" si="67"/>
        <v>35.021999999999998</v>
      </c>
      <c r="M76" s="936">
        <f t="shared" ref="M76" si="68">K76+L76</f>
        <v>120.35300000000001</v>
      </c>
      <c r="N76" s="937">
        <f>H76+H77+H78</f>
        <v>39.519000000000005</v>
      </c>
      <c r="O76" s="936">
        <f>M76-N76</f>
        <v>80.834000000000003</v>
      </c>
      <c r="P76" s="886">
        <f t="shared" ref="P76:P88" si="69">N76/M76</f>
        <v>0.32835907704834943</v>
      </c>
      <c r="Q76" s="90"/>
    </row>
    <row r="77" spans="1:17">
      <c r="A77" s="978"/>
      <c r="B77" s="949"/>
      <c r="C77" s="132">
        <v>42125</v>
      </c>
      <c r="D77" s="133">
        <v>42247</v>
      </c>
      <c r="E77" s="383">
        <v>8.5329999999999995</v>
      </c>
      <c r="F77" s="384">
        <f>0.224+2.586+0.693</f>
        <v>3.5030000000000001</v>
      </c>
      <c r="G77" s="383">
        <f>E77+F77+I76</f>
        <v>87.77000000000001</v>
      </c>
      <c r="H77" s="851"/>
      <c r="I77" s="383">
        <f t="shared" si="41"/>
        <v>87.77000000000001</v>
      </c>
      <c r="J77" s="386">
        <f t="shared" si="38"/>
        <v>0</v>
      </c>
      <c r="K77" s="937"/>
      <c r="L77" s="946"/>
      <c r="M77" s="937"/>
      <c r="N77" s="937"/>
      <c r="O77" s="937"/>
      <c r="P77" s="907"/>
      <c r="Q77" s="90"/>
    </row>
    <row r="78" spans="1:17">
      <c r="A78" s="978"/>
      <c r="B78" s="949"/>
      <c r="C78" s="134">
        <v>42248</v>
      </c>
      <c r="D78" s="135">
        <v>42369</v>
      </c>
      <c r="E78" s="383">
        <v>4.2670000000000003</v>
      </c>
      <c r="F78" s="384">
        <f>0.112+1.293+0.346</f>
        <v>1.7509999999999999</v>
      </c>
      <c r="G78" s="383">
        <f>E78+F78+I77</f>
        <v>93.788000000000011</v>
      </c>
      <c r="H78" s="851">
        <v>12.954000000000001</v>
      </c>
      <c r="I78" s="383">
        <f t="shared" si="41"/>
        <v>80.834000000000003</v>
      </c>
      <c r="J78" s="386">
        <f t="shared" si="38"/>
        <v>0.1381200153537766</v>
      </c>
      <c r="K78" s="937"/>
      <c r="L78" s="896"/>
      <c r="M78" s="938"/>
      <c r="N78" s="937"/>
      <c r="O78" s="937"/>
      <c r="P78" s="907"/>
      <c r="Q78" s="90"/>
    </row>
    <row r="79" spans="1:17">
      <c r="A79" s="978"/>
      <c r="B79" s="950" t="s">
        <v>284</v>
      </c>
      <c r="C79" s="130">
        <v>42005</v>
      </c>
      <c r="D79" s="131">
        <v>42124</v>
      </c>
      <c r="E79" s="371">
        <v>25.87</v>
      </c>
      <c r="F79" s="372"/>
      <c r="G79" s="371">
        <f>E79+F79</f>
        <v>25.87</v>
      </c>
      <c r="H79" s="846"/>
      <c r="I79" s="371">
        <f t="shared" si="41"/>
        <v>25.87</v>
      </c>
      <c r="J79" s="373">
        <f t="shared" si="38"/>
        <v>0</v>
      </c>
      <c r="K79" s="936">
        <f t="shared" ref="K79:L79" si="70">E79+E80+E81</f>
        <v>30.436</v>
      </c>
      <c r="L79" s="936">
        <f t="shared" si="70"/>
        <v>0</v>
      </c>
      <c r="M79" s="936">
        <f t="shared" ref="M79" si="71">K79+L79</f>
        <v>30.436</v>
      </c>
      <c r="N79" s="936">
        <f>H79+H80+H81</f>
        <v>0</v>
      </c>
      <c r="O79" s="936">
        <f>M79-N79</f>
        <v>30.436</v>
      </c>
      <c r="P79" s="886">
        <f t="shared" si="69"/>
        <v>0</v>
      </c>
      <c r="Q79" s="90"/>
    </row>
    <row r="80" spans="1:17">
      <c r="A80" s="978"/>
      <c r="B80" s="949"/>
      <c r="C80" s="132">
        <v>42125</v>
      </c>
      <c r="D80" s="133">
        <v>42247</v>
      </c>
      <c r="E80" s="383">
        <v>3.044</v>
      </c>
      <c r="F80" s="383"/>
      <c r="G80" s="383">
        <f>E80+F80+I79</f>
        <v>28.914000000000001</v>
      </c>
      <c r="H80" s="851"/>
      <c r="I80" s="383">
        <f t="shared" si="41"/>
        <v>28.914000000000001</v>
      </c>
      <c r="J80" s="386">
        <f t="shared" si="38"/>
        <v>0</v>
      </c>
      <c r="K80" s="937"/>
      <c r="L80" s="937"/>
      <c r="M80" s="937"/>
      <c r="N80" s="937"/>
      <c r="O80" s="937"/>
      <c r="P80" s="907"/>
      <c r="Q80" s="90"/>
    </row>
    <row r="81" spans="1:17">
      <c r="A81" s="978"/>
      <c r="B81" s="951"/>
      <c r="C81" s="134">
        <v>42248</v>
      </c>
      <c r="D81" s="135">
        <v>42369</v>
      </c>
      <c r="E81" s="374">
        <v>1.522</v>
      </c>
      <c r="F81" s="374"/>
      <c r="G81" s="374">
        <f>E81+F81+I80</f>
        <v>30.436</v>
      </c>
      <c r="H81" s="847"/>
      <c r="I81" s="374">
        <f t="shared" si="41"/>
        <v>30.436</v>
      </c>
      <c r="J81" s="376">
        <f t="shared" si="38"/>
        <v>0</v>
      </c>
      <c r="K81" s="937"/>
      <c r="L81" s="938"/>
      <c r="M81" s="938"/>
      <c r="N81" s="938"/>
      <c r="O81" s="937"/>
      <c r="P81" s="907"/>
      <c r="Q81" s="90"/>
    </row>
    <row r="82" spans="1:17">
      <c r="A82" s="978"/>
      <c r="B82" s="949" t="s">
        <v>285</v>
      </c>
      <c r="C82" s="130">
        <v>42005</v>
      </c>
      <c r="D82" s="131">
        <v>42124</v>
      </c>
      <c r="E82" s="383">
        <v>1336.7539999999999</v>
      </c>
      <c r="F82" s="385"/>
      <c r="G82" s="383">
        <f>E82+F82</f>
        <v>1336.7539999999999</v>
      </c>
      <c r="H82" s="851">
        <v>1134.432</v>
      </c>
      <c r="I82" s="383">
        <f t="shared" si="41"/>
        <v>202.32199999999989</v>
      </c>
      <c r="J82" s="386">
        <f t="shared" si="38"/>
        <v>0.84864679664321196</v>
      </c>
      <c r="K82" s="936">
        <f t="shared" ref="K82" si="72">E82+E83+E84</f>
        <v>1572.6519999999998</v>
      </c>
      <c r="L82" s="936">
        <f>F82+F83+F84</f>
        <v>0</v>
      </c>
      <c r="M82" s="936">
        <f t="shared" ref="M82" si="73">K82+L82</f>
        <v>1572.6519999999998</v>
      </c>
      <c r="N82" s="937">
        <f>H82+H83+H84</f>
        <v>1560.829</v>
      </c>
      <c r="O82" s="936">
        <f>M82-N82</f>
        <v>11.822999999999865</v>
      </c>
      <c r="P82" s="903">
        <f t="shared" si="69"/>
        <v>0.99248212573411032</v>
      </c>
      <c r="Q82" s="90"/>
    </row>
    <row r="83" spans="1:17">
      <c r="A83" s="978"/>
      <c r="B83" s="949"/>
      <c r="C83" s="132">
        <v>42125</v>
      </c>
      <c r="D83" s="133">
        <v>42247</v>
      </c>
      <c r="E83" s="383">
        <v>157.26499999999999</v>
      </c>
      <c r="F83" s="385"/>
      <c r="G83" s="383">
        <f>E83+F83+I82</f>
        <v>359.58699999999988</v>
      </c>
      <c r="H83" s="851"/>
      <c r="I83" s="383">
        <f t="shared" si="41"/>
        <v>359.58699999999988</v>
      </c>
      <c r="J83" s="386">
        <f t="shared" si="38"/>
        <v>0</v>
      </c>
      <c r="K83" s="937"/>
      <c r="L83" s="937"/>
      <c r="M83" s="937"/>
      <c r="N83" s="937"/>
      <c r="O83" s="937"/>
      <c r="P83" s="932"/>
      <c r="Q83" s="90"/>
    </row>
    <row r="84" spans="1:17">
      <c r="A84" s="978"/>
      <c r="B84" s="949"/>
      <c r="C84" s="134">
        <v>42248</v>
      </c>
      <c r="D84" s="135">
        <v>42369</v>
      </c>
      <c r="E84" s="383">
        <v>78.632999999999996</v>
      </c>
      <c r="F84" s="385"/>
      <c r="G84" s="383">
        <f>E84+F84+I83</f>
        <v>438.21999999999986</v>
      </c>
      <c r="H84" s="851">
        <v>426.39699999999999</v>
      </c>
      <c r="I84" s="383">
        <f t="shared" si="41"/>
        <v>11.822999999999865</v>
      </c>
      <c r="J84" s="386">
        <f t="shared" si="38"/>
        <v>0.97302040071197149</v>
      </c>
      <c r="K84" s="937"/>
      <c r="L84" s="938"/>
      <c r="M84" s="938"/>
      <c r="N84" s="937"/>
      <c r="O84" s="937"/>
      <c r="P84" s="932"/>
      <c r="Q84" s="90"/>
    </row>
    <row r="85" spans="1:17">
      <c r="A85" s="978"/>
      <c r="B85" s="950" t="s">
        <v>286</v>
      </c>
      <c r="C85" s="130">
        <v>42005</v>
      </c>
      <c r="D85" s="131">
        <v>42124</v>
      </c>
      <c r="E85" s="371">
        <v>25.338000000000001</v>
      </c>
      <c r="F85" s="372"/>
      <c r="G85" s="371">
        <f>E85+F85</f>
        <v>25.338000000000001</v>
      </c>
      <c r="H85" s="846"/>
      <c r="I85" s="371">
        <f t="shared" si="41"/>
        <v>25.338000000000001</v>
      </c>
      <c r="J85" s="373">
        <f t="shared" si="38"/>
        <v>0</v>
      </c>
      <c r="K85" s="936">
        <f>E85+E86+E87</f>
        <v>29.809000000000001</v>
      </c>
      <c r="L85" s="936">
        <f t="shared" ref="L85" si="74">F85+F86+F87</f>
        <v>0</v>
      </c>
      <c r="M85" s="936">
        <f t="shared" ref="M85" si="75">K85+L85</f>
        <v>29.809000000000001</v>
      </c>
      <c r="N85" s="936">
        <f>H85+H86+H87</f>
        <v>0</v>
      </c>
      <c r="O85" s="936">
        <f>M85-N85</f>
        <v>29.809000000000001</v>
      </c>
      <c r="P85" s="886">
        <f t="shared" si="69"/>
        <v>0</v>
      </c>
      <c r="Q85" s="90"/>
    </row>
    <row r="86" spans="1:17">
      <c r="A86" s="978"/>
      <c r="B86" s="949"/>
      <c r="C86" s="132">
        <v>42125</v>
      </c>
      <c r="D86" s="133">
        <v>42247</v>
      </c>
      <c r="E86" s="383">
        <v>2.9809999999999999</v>
      </c>
      <c r="F86" s="383"/>
      <c r="G86" s="383">
        <f>E86+F86+I85</f>
        <v>28.319000000000003</v>
      </c>
      <c r="H86" s="851"/>
      <c r="I86" s="383">
        <f t="shared" si="41"/>
        <v>28.319000000000003</v>
      </c>
      <c r="J86" s="386">
        <f t="shared" si="38"/>
        <v>0</v>
      </c>
      <c r="K86" s="937"/>
      <c r="L86" s="937"/>
      <c r="M86" s="937"/>
      <c r="N86" s="937"/>
      <c r="O86" s="937"/>
      <c r="P86" s="907"/>
      <c r="Q86" s="90"/>
    </row>
    <row r="87" spans="1:17">
      <c r="A87" s="978"/>
      <c r="B87" s="951"/>
      <c r="C87" s="134">
        <v>42248</v>
      </c>
      <c r="D87" s="135">
        <v>42369</v>
      </c>
      <c r="E87" s="374">
        <v>1.49</v>
      </c>
      <c r="F87" s="374"/>
      <c r="G87" s="374">
        <f>E87+F87+I86</f>
        <v>29.809000000000001</v>
      </c>
      <c r="H87" s="847"/>
      <c r="I87" s="374">
        <f t="shared" si="41"/>
        <v>29.809000000000001</v>
      </c>
      <c r="J87" s="376">
        <f t="shared" si="38"/>
        <v>0</v>
      </c>
      <c r="K87" s="937"/>
      <c r="L87" s="938"/>
      <c r="M87" s="938"/>
      <c r="N87" s="938"/>
      <c r="O87" s="937"/>
      <c r="P87" s="907"/>
      <c r="Q87" s="90"/>
    </row>
    <row r="88" spans="1:17">
      <c r="A88" s="978"/>
      <c r="B88" s="933" t="s">
        <v>61</v>
      </c>
      <c r="C88" s="130">
        <v>42005</v>
      </c>
      <c r="D88" s="131">
        <v>42124</v>
      </c>
      <c r="E88" s="393">
        <v>143.499</v>
      </c>
      <c r="F88" s="371">
        <f>-133</f>
        <v>-133</v>
      </c>
      <c r="G88" s="371">
        <f>E88+F88</f>
        <v>10.498999999999995</v>
      </c>
      <c r="H88" s="846"/>
      <c r="I88" s="371">
        <f>G88-H88</f>
        <v>10.498999999999995</v>
      </c>
      <c r="J88" s="394">
        <f>H88/G88</f>
        <v>0</v>
      </c>
      <c r="K88" s="936">
        <f>E88+E89+E90</f>
        <v>168.822</v>
      </c>
      <c r="L88" s="936">
        <f t="shared" ref="L88" si="76">F88+F89+F90</f>
        <v>-133</v>
      </c>
      <c r="M88" s="936">
        <f>K88+L88</f>
        <v>35.822000000000003</v>
      </c>
      <c r="N88" s="936">
        <f>H88+H89+H90</f>
        <v>0</v>
      </c>
      <c r="O88" s="936">
        <f>M88-N88</f>
        <v>35.822000000000003</v>
      </c>
      <c r="P88" s="886">
        <f t="shared" si="69"/>
        <v>0</v>
      </c>
      <c r="Q88" s="90"/>
    </row>
    <row r="89" spans="1:17">
      <c r="A89" s="978"/>
      <c r="B89" s="934"/>
      <c r="C89" s="132">
        <v>42125</v>
      </c>
      <c r="D89" s="133">
        <v>42247</v>
      </c>
      <c r="E89" s="395">
        <v>16.882000000000001</v>
      </c>
      <c r="F89" s="383"/>
      <c r="G89" s="383">
        <f>E89+F89+I88</f>
        <v>27.380999999999997</v>
      </c>
      <c r="H89" s="851"/>
      <c r="I89" s="383">
        <f>G89-H89</f>
        <v>27.380999999999997</v>
      </c>
      <c r="J89" s="396">
        <f>H89/G89</f>
        <v>0</v>
      </c>
      <c r="K89" s="937"/>
      <c r="L89" s="937"/>
      <c r="M89" s="937"/>
      <c r="N89" s="937"/>
      <c r="O89" s="937"/>
      <c r="P89" s="907"/>
      <c r="Q89" s="90"/>
    </row>
    <row r="90" spans="1:17">
      <c r="A90" s="979"/>
      <c r="B90" s="935"/>
      <c r="C90" s="134">
        <v>42248</v>
      </c>
      <c r="D90" s="135">
        <v>42369</v>
      </c>
      <c r="E90" s="395">
        <v>8.4410000000000007</v>
      </c>
      <c r="F90" s="384"/>
      <c r="G90" s="383">
        <f>E90+F90+I89</f>
        <v>35.821999999999996</v>
      </c>
      <c r="H90" s="851"/>
      <c r="I90" s="383">
        <f>G90-H90</f>
        <v>35.821999999999996</v>
      </c>
      <c r="J90" s="396">
        <f>H90/G90</f>
        <v>0</v>
      </c>
      <c r="K90" s="937"/>
      <c r="L90" s="937"/>
      <c r="M90" s="937"/>
      <c r="N90" s="937"/>
      <c r="O90" s="937"/>
      <c r="P90" s="907"/>
      <c r="Q90" s="90"/>
    </row>
    <row r="91" spans="1:17">
      <c r="A91" s="308"/>
      <c r="B91" s="309"/>
      <c r="C91" s="689"/>
      <c r="D91" s="690"/>
      <c r="E91" s="691"/>
      <c r="F91" s="692"/>
      <c r="G91" s="691"/>
      <c r="H91" s="691"/>
      <c r="I91" s="691"/>
      <c r="J91" s="691"/>
      <c r="K91" s="693"/>
      <c r="L91" s="693"/>
      <c r="M91" s="693"/>
      <c r="N91" s="693"/>
      <c r="O91" s="693"/>
      <c r="P91" s="694"/>
      <c r="Q91" s="90"/>
    </row>
    <row r="92" spans="1:17">
      <c r="A92" s="55"/>
      <c r="B92" s="55"/>
      <c r="C92" s="695"/>
      <c r="D92" s="696"/>
      <c r="E92" s="697"/>
      <c r="F92" s="697"/>
      <c r="G92" s="697"/>
      <c r="H92" s="697"/>
      <c r="I92" s="698"/>
      <c r="J92" s="697"/>
      <c r="K92" s="699"/>
      <c r="L92" s="699"/>
      <c r="M92" s="699"/>
      <c r="N92" s="699"/>
      <c r="O92" s="699"/>
      <c r="P92" s="700"/>
    </row>
    <row r="93" spans="1:17" ht="17.25" customHeight="1">
      <c r="A93" s="981" t="s">
        <v>377</v>
      </c>
      <c r="B93" s="939" t="s">
        <v>0</v>
      </c>
      <c r="C93" s="95">
        <v>42005</v>
      </c>
      <c r="D93" s="136">
        <v>42277</v>
      </c>
      <c r="E93" s="397">
        <v>162.434</v>
      </c>
      <c r="F93" s="398"/>
      <c r="G93" s="397">
        <f>E93+F93</f>
        <v>162.434</v>
      </c>
      <c r="H93" s="852"/>
      <c r="I93" s="371">
        <f t="shared" ref="I93:I98" si="77">G93-H93</f>
        <v>162.434</v>
      </c>
      <c r="J93" s="399">
        <f t="shared" ref="J93:J98" si="78">H93/G93</f>
        <v>0</v>
      </c>
      <c r="K93" s="881">
        <f>E93+E94</f>
        <v>170.98099999999999</v>
      </c>
      <c r="L93" s="881">
        <f>F93+F94</f>
        <v>0</v>
      </c>
      <c r="M93" s="881">
        <f>K93+L93</f>
        <v>170.98099999999999</v>
      </c>
      <c r="N93" s="881">
        <f>H93+H94</f>
        <v>0</v>
      </c>
      <c r="O93" s="881">
        <f>M93-N93</f>
        <v>170.98099999999999</v>
      </c>
      <c r="P93" s="886">
        <f>N93/M93</f>
        <v>0</v>
      </c>
    </row>
    <row r="94" spans="1:17" ht="17.25" customHeight="1">
      <c r="A94" s="982"/>
      <c r="B94" s="940"/>
      <c r="C94" s="96">
        <v>42278</v>
      </c>
      <c r="D94" s="138">
        <v>42369</v>
      </c>
      <c r="E94" s="400">
        <v>8.5470000000000006</v>
      </c>
      <c r="F94" s="401"/>
      <c r="G94" s="400">
        <f>E94+F94+I93</f>
        <v>170.98099999999999</v>
      </c>
      <c r="H94" s="853"/>
      <c r="I94" s="374">
        <f t="shared" si="77"/>
        <v>170.98099999999999</v>
      </c>
      <c r="J94" s="402">
        <f t="shared" si="78"/>
        <v>0</v>
      </c>
      <c r="K94" s="882"/>
      <c r="L94" s="882"/>
      <c r="M94" s="882"/>
      <c r="N94" s="882"/>
      <c r="O94" s="882"/>
      <c r="P94" s="887"/>
    </row>
    <row r="95" spans="1:17" ht="17.25" customHeight="1">
      <c r="A95" s="982"/>
      <c r="B95" s="941" t="s">
        <v>1</v>
      </c>
      <c r="C95" s="95">
        <v>42005</v>
      </c>
      <c r="D95" s="136">
        <v>42277</v>
      </c>
      <c r="E95" s="403">
        <v>6881.7709999999997</v>
      </c>
      <c r="F95" s="404"/>
      <c r="G95" s="403">
        <f>E95+F95</f>
        <v>6881.7709999999997</v>
      </c>
      <c r="H95" s="854">
        <v>5867.6329999999998</v>
      </c>
      <c r="I95" s="383">
        <f t="shared" si="77"/>
        <v>1014.1379999999999</v>
      </c>
      <c r="J95" s="405">
        <f t="shared" si="78"/>
        <v>0.85263415478370319</v>
      </c>
      <c r="K95" s="881">
        <f t="shared" ref="K95" si="79">E95+E96</f>
        <v>7243.8959999999997</v>
      </c>
      <c r="L95" s="881">
        <f t="shared" ref="L95" si="80">F95+F96</f>
        <v>0</v>
      </c>
      <c r="M95" s="881">
        <f t="shared" ref="M95" si="81">K95+L95</f>
        <v>7243.8959999999997</v>
      </c>
      <c r="N95" s="885">
        <f>H95+H96</f>
        <v>5867.6329999999998</v>
      </c>
      <c r="O95" s="881">
        <f>M95-N95</f>
        <v>1376.2629999999999</v>
      </c>
      <c r="P95" s="903">
        <f t="shared" ref="P95" si="82">N95/M95</f>
        <v>0.81001066277042078</v>
      </c>
    </row>
    <row r="96" spans="1:17" ht="17.25" customHeight="1">
      <c r="A96" s="982"/>
      <c r="B96" s="940"/>
      <c r="C96" s="96">
        <v>42278</v>
      </c>
      <c r="D96" s="138">
        <v>42369</v>
      </c>
      <c r="E96" s="403">
        <v>362.125</v>
      </c>
      <c r="F96" s="404"/>
      <c r="G96" s="403">
        <f>E96+F96+I95</f>
        <v>1376.2629999999999</v>
      </c>
      <c r="H96" s="854"/>
      <c r="I96" s="383">
        <f t="shared" si="77"/>
        <v>1376.2629999999999</v>
      </c>
      <c r="J96" s="405">
        <f t="shared" si="78"/>
        <v>0</v>
      </c>
      <c r="K96" s="882"/>
      <c r="L96" s="882"/>
      <c r="M96" s="882"/>
      <c r="N96" s="885"/>
      <c r="O96" s="882"/>
      <c r="P96" s="904"/>
    </row>
    <row r="97" spans="1:16" ht="17.25" customHeight="1">
      <c r="A97" s="982"/>
      <c r="B97" s="942" t="s">
        <v>59</v>
      </c>
      <c r="C97" s="95">
        <v>42005</v>
      </c>
      <c r="D97" s="136">
        <v>42277</v>
      </c>
      <c r="E97" s="397">
        <v>32331.798999999999</v>
      </c>
      <c r="F97" s="398"/>
      <c r="G97" s="397">
        <f>E97+F97</f>
        <v>32331.798999999999</v>
      </c>
      <c r="H97" s="852">
        <v>28660.071</v>
      </c>
      <c r="I97" s="371">
        <f t="shared" si="77"/>
        <v>3671.7279999999992</v>
      </c>
      <c r="J97" s="399">
        <f t="shared" si="78"/>
        <v>0.88643601304090747</v>
      </c>
      <c r="K97" s="881">
        <f t="shared" ref="K97" si="83">E97+E98</f>
        <v>34033.127</v>
      </c>
      <c r="L97" s="881">
        <f t="shared" ref="L97" si="84">F97+F98</f>
        <v>-2000</v>
      </c>
      <c r="M97" s="881">
        <f t="shared" ref="M97" si="85">K97+L97</f>
        <v>32033.127</v>
      </c>
      <c r="N97" s="881">
        <f>H97+H98</f>
        <v>28684.384999999998</v>
      </c>
      <c r="O97" s="881">
        <f>M97-N97</f>
        <v>3348.742000000002</v>
      </c>
      <c r="P97" s="903">
        <f t="shared" ref="P97" si="86">N97/M97</f>
        <v>0.89546003423268661</v>
      </c>
    </row>
    <row r="98" spans="1:16" ht="17.25" customHeight="1">
      <c r="A98" s="983"/>
      <c r="B98" s="943"/>
      <c r="C98" s="96">
        <v>42278</v>
      </c>
      <c r="D98" s="138">
        <v>42369</v>
      </c>
      <c r="E98" s="400">
        <v>1701.328</v>
      </c>
      <c r="F98" s="401">
        <f>-2000</f>
        <v>-2000</v>
      </c>
      <c r="G98" s="400">
        <f>E98+F98+I97</f>
        <v>3373.0559999999991</v>
      </c>
      <c r="H98" s="853">
        <v>24.314</v>
      </c>
      <c r="I98" s="374">
        <f t="shared" si="77"/>
        <v>3348.7419999999993</v>
      </c>
      <c r="J98" s="402">
        <f t="shared" si="78"/>
        <v>7.2083001290224671E-3</v>
      </c>
      <c r="K98" s="882"/>
      <c r="L98" s="882"/>
      <c r="M98" s="882"/>
      <c r="N98" s="882"/>
      <c r="O98" s="882"/>
      <c r="P98" s="904"/>
    </row>
    <row r="99" spans="1:16" ht="17.25" customHeight="1">
      <c r="A99" s="312"/>
      <c r="B99" s="313"/>
      <c r="C99" s="310"/>
      <c r="D99" s="306"/>
      <c r="E99" s="406"/>
      <c r="F99" s="406"/>
      <c r="G99" s="406"/>
      <c r="H99" s="406"/>
      <c r="I99" s="377"/>
      <c r="J99" s="406"/>
      <c r="K99" s="570"/>
      <c r="L99" s="570"/>
      <c r="M99" s="570"/>
      <c r="N99" s="570"/>
      <c r="O99" s="570"/>
      <c r="P99" s="614"/>
    </row>
    <row r="100" spans="1:16" ht="17.25" customHeight="1">
      <c r="A100" s="55"/>
      <c r="B100" s="55"/>
      <c r="C100" s="311"/>
      <c r="D100" s="307"/>
      <c r="E100" s="379"/>
      <c r="F100" s="379"/>
      <c r="G100" s="379"/>
      <c r="H100" s="379"/>
      <c r="I100" s="378"/>
      <c r="J100" s="379"/>
      <c r="K100" s="569"/>
      <c r="L100" s="569"/>
      <c r="M100" s="569"/>
      <c r="N100" s="569"/>
      <c r="O100" s="569"/>
      <c r="P100" s="615"/>
    </row>
    <row r="101" spans="1:16" ht="17.25" customHeight="1">
      <c r="A101" s="1003" t="s">
        <v>378</v>
      </c>
      <c r="B101" s="877" t="s">
        <v>56</v>
      </c>
      <c r="C101" s="95">
        <v>42005</v>
      </c>
      <c r="D101" s="136">
        <v>42277</v>
      </c>
      <c r="E101" s="397">
        <v>820.82500000000005</v>
      </c>
      <c r="F101" s="407"/>
      <c r="G101" s="397">
        <f>E101+F101</f>
        <v>820.82500000000005</v>
      </c>
      <c r="H101" s="852">
        <v>863.51599999999996</v>
      </c>
      <c r="I101" s="382">
        <f>G101-H101</f>
        <v>-42.690999999999917</v>
      </c>
      <c r="J101" s="399">
        <f>H101/G101</f>
        <v>1.0520098681204884</v>
      </c>
      <c r="K101" s="930">
        <f>E101+E102</f>
        <v>864.03200000000004</v>
      </c>
      <c r="L101" s="881">
        <f>F101+F102</f>
        <v>0</v>
      </c>
      <c r="M101" s="881">
        <f>K101+L101</f>
        <v>864.03200000000004</v>
      </c>
      <c r="N101" s="881">
        <f>H101+H102</f>
        <v>863.51599999999996</v>
      </c>
      <c r="O101" s="881">
        <f>M101-N101</f>
        <v>0.5160000000000764</v>
      </c>
      <c r="P101" s="903">
        <f>N101/M101</f>
        <v>0.9994027998963001</v>
      </c>
    </row>
    <row r="102" spans="1:16" ht="17.25" customHeight="1">
      <c r="A102" s="1004"/>
      <c r="B102" s="944"/>
      <c r="C102" s="96">
        <v>42278</v>
      </c>
      <c r="D102" s="138">
        <v>42369</v>
      </c>
      <c r="E102" s="400">
        <v>43.207000000000001</v>
      </c>
      <c r="F102" s="401"/>
      <c r="G102" s="400">
        <f>E102+F102+I101</f>
        <v>0.5160000000000835</v>
      </c>
      <c r="H102" s="853"/>
      <c r="I102" s="374">
        <f t="shared" ref="I102:I124" si="87">G102-H102</f>
        <v>0.5160000000000835</v>
      </c>
      <c r="J102" s="402">
        <f t="shared" ref="J102:J124" si="88">H102/G102</f>
        <v>0</v>
      </c>
      <c r="K102" s="931"/>
      <c r="L102" s="882"/>
      <c r="M102" s="882"/>
      <c r="N102" s="882"/>
      <c r="O102" s="882"/>
      <c r="P102" s="904"/>
    </row>
    <row r="103" spans="1:16" ht="17.25" customHeight="1">
      <c r="A103" s="1004"/>
      <c r="B103" s="945" t="s">
        <v>15</v>
      </c>
      <c r="C103" s="95">
        <v>42005</v>
      </c>
      <c r="D103" s="136">
        <v>42277</v>
      </c>
      <c r="E103" s="403">
        <v>2.5310000000000001</v>
      </c>
      <c r="F103" s="403"/>
      <c r="G103" s="403">
        <f>E103+F103</f>
        <v>2.5310000000000001</v>
      </c>
      <c r="H103" s="403"/>
      <c r="I103" s="383">
        <f t="shared" si="87"/>
        <v>2.5310000000000001</v>
      </c>
      <c r="J103" s="405">
        <f t="shared" si="88"/>
        <v>0</v>
      </c>
      <c r="K103" s="930">
        <f t="shared" ref="K103" si="89">E103+E104</f>
        <v>2.6640000000000001</v>
      </c>
      <c r="L103" s="881">
        <f t="shared" ref="L103" si="90">F103+F104</f>
        <v>0</v>
      </c>
      <c r="M103" s="881">
        <f t="shared" ref="M103" si="91">K103+L103</f>
        <v>2.6640000000000001</v>
      </c>
      <c r="N103" s="885">
        <f>H103+H104</f>
        <v>0</v>
      </c>
      <c r="O103" s="881">
        <f t="shared" ref="O103" si="92">M103-N103</f>
        <v>2.6640000000000001</v>
      </c>
      <c r="P103" s="886">
        <f t="shared" ref="P103" si="93">N103/M103</f>
        <v>0</v>
      </c>
    </row>
    <row r="104" spans="1:16" ht="17.25" customHeight="1">
      <c r="A104" s="1004"/>
      <c r="B104" s="944"/>
      <c r="C104" s="96">
        <v>42278</v>
      </c>
      <c r="D104" s="138">
        <v>42369</v>
      </c>
      <c r="E104" s="403">
        <v>0.13300000000000001</v>
      </c>
      <c r="F104" s="403"/>
      <c r="G104" s="403">
        <f>E104+F104+I103</f>
        <v>2.6640000000000001</v>
      </c>
      <c r="H104" s="403"/>
      <c r="I104" s="383">
        <f t="shared" si="87"/>
        <v>2.6640000000000001</v>
      </c>
      <c r="J104" s="405">
        <f t="shared" si="88"/>
        <v>0</v>
      </c>
      <c r="K104" s="931"/>
      <c r="L104" s="882"/>
      <c r="M104" s="882"/>
      <c r="N104" s="885"/>
      <c r="O104" s="882"/>
      <c r="P104" s="887"/>
    </row>
    <row r="105" spans="1:16" ht="17.25" customHeight="1">
      <c r="A105" s="1004"/>
      <c r="B105" s="877" t="s">
        <v>50</v>
      </c>
      <c r="C105" s="95">
        <v>42005</v>
      </c>
      <c r="D105" s="136">
        <v>42277</v>
      </c>
      <c r="E105" s="397">
        <v>36.884999999999998</v>
      </c>
      <c r="F105" s="397"/>
      <c r="G105" s="397">
        <f>E105+F105</f>
        <v>36.884999999999998</v>
      </c>
      <c r="H105" s="397"/>
      <c r="I105" s="371">
        <f t="shared" si="87"/>
        <v>36.884999999999998</v>
      </c>
      <c r="J105" s="399">
        <f t="shared" si="88"/>
        <v>0</v>
      </c>
      <c r="K105" s="930">
        <f t="shared" ref="K105" si="94">E105+E106</f>
        <v>38.826999999999998</v>
      </c>
      <c r="L105" s="881">
        <f t="shared" ref="L105" si="95">F105+F106</f>
        <v>0</v>
      </c>
      <c r="M105" s="881">
        <f t="shared" ref="M105" si="96">K105+L105</f>
        <v>38.826999999999998</v>
      </c>
      <c r="N105" s="881">
        <f>H105+H106</f>
        <v>0</v>
      </c>
      <c r="O105" s="881">
        <f t="shared" ref="O105" si="97">M105-N105</f>
        <v>38.826999999999998</v>
      </c>
      <c r="P105" s="886">
        <f>N105/M105</f>
        <v>0</v>
      </c>
    </row>
    <row r="106" spans="1:16" ht="17.25" customHeight="1">
      <c r="A106" s="1004"/>
      <c r="B106" s="944"/>
      <c r="C106" s="96">
        <v>42278</v>
      </c>
      <c r="D106" s="138">
        <v>42369</v>
      </c>
      <c r="E106" s="400">
        <v>1.9419999999999999</v>
      </c>
      <c r="F106" s="400"/>
      <c r="G106" s="400">
        <f>E106+F106+I105</f>
        <v>38.826999999999998</v>
      </c>
      <c r="H106" s="400"/>
      <c r="I106" s="374">
        <f t="shared" si="87"/>
        <v>38.826999999999998</v>
      </c>
      <c r="J106" s="402">
        <f t="shared" si="88"/>
        <v>0</v>
      </c>
      <c r="K106" s="931"/>
      <c r="L106" s="882"/>
      <c r="M106" s="882"/>
      <c r="N106" s="882"/>
      <c r="O106" s="882"/>
      <c r="P106" s="887"/>
    </row>
    <row r="107" spans="1:16" ht="17.25" customHeight="1">
      <c r="A107" s="1004"/>
      <c r="B107" s="945" t="s">
        <v>10</v>
      </c>
      <c r="C107" s="95">
        <v>42005</v>
      </c>
      <c r="D107" s="136">
        <v>42277</v>
      </c>
      <c r="E107" s="403">
        <v>2234.3710000000001</v>
      </c>
      <c r="F107" s="408">
        <f>2000</f>
        <v>2000</v>
      </c>
      <c r="G107" s="403">
        <f>E107+F107</f>
        <v>4234.3710000000001</v>
      </c>
      <c r="H107" s="854">
        <v>4140.1790000000001</v>
      </c>
      <c r="I107" s="383">
        <f t="shared" si="87"/>
        <v>94.192000000000007</v>
      </c>
      <c r="J107" s="405">
        <f t="shared" si="88"/>
        <v>0.97775537382057454</v>
      </c>
      <c r="K107" s="930">
        <f t="shared" ref="K107" si="98">E107+E108</f>
        <v>2351.9839999999999</v>
      </c>
      <c r="L107" s="881">
        <f t="shared" ref="L107" si="99">F107+F108</f>
        <v>2000</v>
      </c>
      <c r="M107" s="881">
        <f t="shared" ref="M107" si="100">K107+L107</f>
        <v>4351.9840000000004</v>
      </c>
      <c r="N107" s="885">
        <f>H107+H108</f>
        <v>4140.1790000000001</v>
      </c>
      <c r="O107" s="881">
        <f t="shared" ref="O107" si="101">M107-N107</f>
        <v>211.80500000000029</v>
      </c>
      <c r="P107" s="903">
        <f t="shared" ref="P107" si="102">N107/M107</f>
        <v>0.95133139276247336</v>
      </c>
    </row>
    <row r="108" spans="1:16" ht="17.25" customHeight="1">
      <c r="A108" s="1004"/>
      <c r="B108" s="944"/>
      <c r="C108" s="96">
        <v>42278</v>
      </c>
      <c r="D108" s="138">
        <v>42369</v>
      </c>
      <c r="E108" s="403">
        <v>117.613</v>
      </c>
      <c r="F108" s="392"/>
      <c r="G108" s="403">
        <f>E108+F108+I107</f>
        <v>211.80500000000001</v>
      </c>
      <c r="H108" s="854"/>
      <c r="I108" s="383">
        <f t="shared" si="87"/>
        <v>211.80500000000001</v>
      </c>
      <c r="J108" s="405">
        <f t="shared" si="88"/>
        <v>0</v>
      </c>
      <c r="K108" s="931"/>
      <c r="L108" s="882"/>
      <c r="M108" s="882"/>
      <c r="N108" s="885"/>
      <c r="O108" s="882"/>
      <c r="P108" s="904"/>
    </row>
    <row r="109" spans="1:16" ht="17.25" customHeight="1">
      <c r="A109" s="1004"/>
      <c r="B109" s="877" t="s">
        <v>16</v>
      </c>
      <c r="C109" s="95">
        <v>42005</v>
      </c>
      <c r="D109" s="136">
        <v>42277</v>
      </c>
      <c r="E109" s="397">
        <v>145.94999999999999</v>
      </c>
      <c r="F109" s="398">
        <f>-145.95</f>
        <v>-145.94999999999999</v>
      </c>
      <c r="G109" s="397">
        <f>E109+F109</f>
        <v>0</v>
      </c>
      <c r="H109" s="397"/>
      <c r="I109" s="371">
        <f t="shared" si="87"/>
        <v>0</v>
      </c>
      <c r="J109" s="399" t="e">
        <f t="shared" si="88"/>
        <v>#DIV/0!</v>
      </c>
      <c r="K109" s="930">
        <f t="shared" ref="K109" si="103">E109+E110</f>
        <v>153.63299999999998</v>
      </c>
      <c r="L109" s="881">
        <f>F109+F110</f>
        <v>-153.63299999999998</v>
      </c>
      <c r="M109" s="881">
        <f t="shared" ref="M109" si="104">K109+L109</f>
        <v>0</v>
      </c>
      <c r="N109" s="881">
        <f>H109+H110</f>
        <v>0</v>
      </c>
      <c r="O109" s="881">
        <f t="shared" ref="O109" si="105">M109-N109</f>
        <v>0</v>
      </c>
      <c r="P109" s="886" t="e">
        <f t="shared" ref="P109" si="106">N109/M109</f>
        <v>#DIV/0!</v>
      </c>
    </row>
    <row r="110" spans="1:16" ht="17.25" customHeight="1">
      <c r="A110" s="1004"/>
      <c r="B110" s="944"/>
      <c r="C110" s="96">
        <v>42278</v>
      </c>
      <c r="D110" s="138">
        <v>42369</v>
      </c>
      <c r="E110" s="400">
        <v>7.6829999999999998</v>
      </c>
      <c r="F110" s="401">
        <f>-7.683</f>
        <v>-7.6829999999999998</v>
      </c>
      <c r="G110" s="400">
        <f>E110+F110+I109</f>
        <v>0</v>
      </c>
      <c r="H110" s="400"/>
      <c r="I110" s="374">
        <f t="shared" si="87"/>
        <v>0</v>
      </c>
      <c r="J110" s="402" t="e">
        <f t="shared" si="88"/>
        <v>#DIV/0!</v>
      </c>
      <c r="K110" s="931"/>
      <c r="L110" s="882"/>
      <c r="M110" s="882"/>
      <c r="N110" s="882"/>
      <c r="O110" s="882"/>
      <c r="P110" s="887"/>
    </row>
    <row r="111" spans="1:16" ht="17.25" customHeight="1">
      <c r="A111" s="1004"/>
      <c r="B111" s="877" t="s">
        <v>53</v>
      </c>
      <c r="C111" s="95">
        <v>42005</v>
      </c>
      <c r="D111" s="136">
        <v>42277</v>
      </c>
      <c r="E111" s="397">
        <v>56.677999999999997</v>
      </c>
      <c r="F111" s="408">
        <f>600+1600</f>
        <v>2200</v>
      </c>
      <c r="G111" s="397">
        <f>E111+F111</f>
        <v>2256.6779999999999</v>
      </c>
      <c r="H111" s="852">
        <v>2247.0230000000001</v>
      </c>
      <c r="I111" s="371">
        <f t="shared" si="87"/>
        <v>9.6549999999997453</v>
      </c>
      <c r="J111" s="399">
        <f t="shared" si="88"/>
        <v>0.99572158721802595</v>
      </c>
      <c r="K111" s="930">
        <f t="shared" ref="K111" si="107">E111+E112</f>
        <v>59.660999999999994</v>
      </c>
      <c r="L111" s="881">
        <f t="shared" ref="L111" si="108">F111+F112</f>
        <v>2200</v>
      </c>
      <c r="M111" s="881">
        <f t="shared" ref="M111" si="109">K111+L111</f>
        <v>2259.6610000000001</v>
      </c>
      <c r="N111" s="881">
        <f>H111+H112</f>
        <v>2247.0230000000001</v>
      </c>
      <c r="O111" s="881">
        <f t="shared" ref="O111" si="110">M111-N111</f>
        <v>12.63799999999992</v>
      </c>
      <c r="P111" s="903">
        <f t="shared" ref="P111" si="111">N111/M111</f>
        <v>0.99440712567062051</v>
      </c>
    </row>
    <row r="112" spans="1:16" ht="17.25" customHeight="1">
      <c r="A112" s="1004"/>
      <c r="B112" s="944"/>
      <c r="C112" s="96">
        <v>42278</v>
      </c>
      <c r="D112" s="138">
        <v>42369</v>
      </c>
      <c r="E112" s="400">
        <v>2.9830000000000001</v>
      </c>
      <c r="F112" s="401"/>
      <c r="G112" s="400">
        <f>E112+F112+I111</f>
        <v>12.637999999999746</v>
      </c>
      <c r="H112" s="853"/>
      <c r="I112" s="374">
        <f t="shared" si="87"/>
        <v>12.637999999999746</v>
      </c>
      <c r="J112" s="402">
        <f t="shared" si="88"/>
        <v>0</v>
      </c>
      <c r="K112" s="931"/>
      <c r="L112" s="882"/>
      <c r="M112" s="882"/>
      <c r="N112" s="882"/>
      <c r="O112" s="882"/>
      <c r="P112" s="904"/>
    </row>
    <row r="113" spans="1:16" ht="17.25" customHeight="1">
      <c r="A113" s="1004"/>
      <c r="B113" s="945" t="s">
        <v>287</v>
      </c>
      <c r="C113" s="95">
        <v>42005</v>
      </c>
      <c r="D113" s="136">
        <v>42277</v>
      </c>
      <c r="E113" s="403">
        <v>95.033000000000001</v>
      </c>
      <c r="F113" s="404">
        <f>-52.298</f>
        <v>-52.298000000000002</v>
      </c>
      <c r="G113" s="403">
        <f>E113+F113</f>
        <v>42.734999999999999</v>
      </c>
      <c r="H113" s="854">
        <v>7.3520000000000003</v>
      </c>
      <c r="I113" s="383">
        <f t="shared" si="87"/>
        <v>35.382999999999996</v>
      </c>
      <c r="J113" s="405">
        <f t="shared" si="88"/>
        <v>0.17203697203697205</v>
      </c>
      <c r="K113" s="930">
        <f t="shared" ref="K113" si="112">E113+E114</f>
        <v>100.035</v>
      </c>
      <c r="L113" s="881">
        <f t="shared" ref="L113" si="113">F113+F114</f>
        <v>-52.298000000000002</v>
      </c>
      <c r="M113" s="881">
        <f t="shared" ref="M113" si="114">K113+L113</f>
        <v>47.736999999999995</v>
      </c>
      <c r="N113" s="885">
        <f>H113+H114</f>
        <v>7.3520000000000003</v>
      </c>
      <c r="O113" s="881">
        <f t="shared" ref="O113" si="115">M113-N113</f>
        <v>40.384999999999991</v>
      </c>
      <c r="P113" s="886">
        <f t="shared" ref="P113" si="116">N113/M113</f>
        <v>0.15401051595198695</v>
      </c>
    </row>
    <row r="114" spans="1:16" ht="17.25" customHeight="1">
      <c r="A114" s="1004"/>
      <c r="B114" s="944"/>
      <c r="C114" s="96">
        <v>42278</v>
      </c>
      <c r="D114" s="138">
        <v>42369</v>
      </c>
      <c r="E114" s="403">
        <v>5.0019999999999998</v>
      </c>
      <c r="F114" s="404"/>
      <c r="G114" s="403">
        <f>E114+F114+I113</f>
        <v>40.384999999999998</v>
      </c>
      <c r="H114" s="854"/>
      <c r="I114" s="383">
        <f t="shared" si="87"/>
        <v>40.384999999999998</v>
      </c>
      <c r="J114" s="405">
        <f t="shared" si="88"/>
        <v>0</v>
      </c>
      <c r="K114" s="931"/>
      <c r="L114" s="882"/>
      <c r="M114" s="882"/>
      <c r="N114" s="885"/>
      <c r="O114" s="882"/>
      <c r="P114" s="887"/>
    </row>
    <row r="115" spans="1:16" ht="17.25" customHeight="1">
      <c r="A115" s="1004"/>
      <c r="B115" s="877" t="s">
        <v>17</v>
      </c>
      <c r="C115" s="95">
        <v>42005</v>
      </c>
      <c r="D115" s="136">
        <v>42277</v>
      </c>
      <c r="E115" s="397">
        <v>9.3539999999999992</v>
      </c>
      <c r="F115" s="397"/>
      <c r="G115" s="397">
        <f>E115+F115</f>
        <v>9.3539999999999992</v>
      </c>
      <c r="H115" s="397"/>
      <c r="I115" s="371">
        <f t="shared" si="87"/>
        <v>9.3539999999999992</v>
      </c>
      <c r="J115" s="399">
        <f t="shared" si="88"/>
        <v>0</v>
      </c>
      <c r="K115" s="930">
        <f t="shared" ref="K115" si="117">E115+E116</f>
        <v>9.8460000000000001</v>
      </c>
      <c r="L115" s="881">
        <f t="shared" ref="L115" si="118">F115+F116</f>
        <v>0</v>
      </c>
      <c r="M115" s="881">
        <f t="shared" ref="M115" si="119">K115+L115</f>
        <v>9.8460000000000001</v>
      </c>
      <c r="N115" s="881">
        <f>H115+H116</f>
        <v>0</v>
      </c>
      <c r="O115" s="881">
        <f t="shared" ref="O115" si="120">M115-N115</f>
        <v>9.8460000000000001</v>
      </c>
      <c r="P115" s="886">
        <f t="shared" ref="P115" si="121">N115/M115</f>
        <v>0</v>
      </c>
    </row>
    <row r="116" spans="1:16" ht="17.25" customHeight="1">
      <c r="A116" s="1004"/>
      <c r="B116" s="878"/>
      <c r="C116" s="96">
        <v>42278</v>
      </c>
      <c r="D116" s="138">
        <v>42369</v>
      </c>
      <c r="E116" s="400">
        <v>0.49199999999999999</v>
      </c>
      <c r="F116" s="400"/>
      <c r="G116" s="400">
        <f>E116+F116+I115</f>
        <v>9.8460000000000001</v>
      </c>
      <c r="H116" s="400"/>
      <c r="I116" s="374">
        <f t="shared" si="87"/>
        <v>9.8460000000000001</v>
      </c>
      <c r="J116" s="402">
        <f t="shared" si="88"/>
        <v>0</v>
      </c>
      <c r="K116" s="931"/>
      <c r="L116" s="882"/>
      <c r="M116" s="882"/>
      <c r="N116" s="882"/>
      <c r="O116" s="882"/>
      <c r="P116" s="887"/>
    </row>
    <row r="117" spans="1:16" ht="17.25" customHeight="1">
      <c r="A117" s="1004"/>
      <c r="B117" s="1000" t="s">
        <v>12</v>
      </c>
      <c r="C117" s="95">
        <v>42005</v>
      </c>
      <c r="D117" s="136">
        <v>42277</v>
      </c>
      <c r="E117" s="403">
        <v>64.816000000000003</v>
      </c>
      <c r="F117" s="408"/>
      <c r="G117" s="403">
        <f>E117+F117</f>
        <v>64.816000000000003</v>
      </c>
      <c r="H117" s="854">
        <v>26.859000000000002</v>
      </c>
      <c r="I117" s="383">
        <f t="shared" si="87"/>
        <v>37.957000000000001</v>
      </c>
      <c r="J117" s="405">
        <f t="shared" si="88"/>
        <v>0.41438842261170084</v>
      </c>
      <c r="K117" s="930">
        <f t="shared" ref="K117" si="122">E117+E118</f>
        <v>68.228000000000009</v>
      </c>
      <c r="L117" s="881">
        <f t="shared" ref="L117" si="123">F117+F118</f>
        <v>0</v>
      </c>
      <c r="M117" s="881">
        <f t="shared" ref="M117" si="124">K117+L117</f>
        <v>68.228000000000009</v>
      </c>
      <c r="N117" s="885">
        <f>H117+H118</f>
        <v>26.859000000000002</v>
      </c>
      <c r="O117" s="881">
        <f t="shared" ref="O117:O123" si="125">M117-N117</f>
        <v>41.369000000000007</v>
      </c>
      <c r="P117" s="903">
        <f>N117/M117</f>
        <v>0.39366535733130092</v>
      </c>
    </row>
    <row r="118" spans="1:16" ht="17.25" customHeight="1">
      <c r="A118" s="1004"/>
      <c r="B118" s="878"/>
      <c r="C118" s="96">
        <v>42278</v>
      </c>
      <c r="D118" s="138">
        <v>42369</v>
      </c>
      <c r="E118" s="403">
        <v>3.4119999999999999</v>
      </c>
      <c r="F118" s="408"/>
      <c r="G118" s="403">
        <f>E118+F118+I117</f>
        <v>41.369</v>
      </c>
      <c r="H118" s="854"/>
      <c r="I118" s="383">
        <f t="shared" si="87"/>
        <v>41.369</v>
      </c>
      <c r="J118" s="405">
        <f t="shared" si="88"/>
        <v>0</v>
      </c>
      <c r="K118" s="931"/>
      <c r="L118" s="882"/>
      <c r="M118" s="882"/>
      <c r="N118" s="885"/>
      <c r="O118" s="882"/>
      <c r="P118" s="904"/>
    </row>
    <row r="119" spans="1:16" ht="17.25" customHeight="1">
      <c r="A119" s="1004"/>
      <c r="B119" s="1001" t="s">
        <v>7</v>
      </c>
      <c r="C119" s="95">
        <v>42005</v>
      </c>
      <c r="D119" s="136">
        <v>42277</v>
      </c>
      <c r="E119" s="397">
        <v>4.21</v>
      </c>
      <c r="F119" s="398"/>
      <c r="G119" s="397">
        <f>E119+F119</f>
        <v>4.21</v>
      </c>
      <c r="H119" s="397"/>
      <c r="I119" s="371">
        <f t="shared" si="87"/>
        <v>4.21</v>
      </c>
      <c r="J119" s="399">
        <f t="shared" si="88"/>
        <v>0</v>
      </c>
      <c r="K119" s="930">
        <f t="shared" ref="K119" si="126">E119+E120</f>
        <v>4.4320000000000004</v>
      </c>
      <c r="L119" s="881">
        <f t="shared" ref="L119" si="127">F119+F120</f>
        <v>0</v>
      </c>
      <c r="M119" s="881">
        <f t="shared" ref="M119" si="128">K119+L119</f>
        <v>4.4320000000000004</v>
      </c>
      <c r="N119" s="881">
        <f>H119+H120</f>
        <v>0</v>
      </c>
      <c r="O119" s="881">
        <f t="shared" si="125"/>
        <v>4.4320000000000004</v>
      </c>
      <c r="P119" s="886">
        <f t="shared" ref="P119" si="129">N119/M119</f>
        <v>0</v>
      </c>
    </row>
    <row r="120" spans="1:16" ht="17.25" customHeight="1">
      <c r="A120" s="1004"/>
      <c r="B120" s="878"/>
      <c r="C120" s="96">
        <v>42278</v>
      </c>
      <c r="D120" s="138">
        <v>42369</v>
      </c>
      <c r="E120" s="400">
        <v>0.222</v>
      </c>
      <c r="F120" s="401"/>
      <c r="G120" s="400">
        <f>E120+F120+I119</f>
        <v>4.4320000000000004</v>
      </c>
      <c r="H120" s="400"/>
      <c r="I120" s="374">
        <f t="shared" si="87"/>
        <v>4.4320000000000004</v>
      </c>
      <c r="J120" s="402">
        <f t="shared" si="88"/>
        <v>0</v>
      </c>
      <c r="K120" s="931"/>
      <c r="L120" s="882"/>
      <c r="M120" s="882"/>
      <c r="N120" s="882"/>
      <c r="O120" s="882"/>
      <c r="P120" s="887"/>
    </row>
    <row r="121" spans="1:16" ht="17.25" customHeight="1">
      <c r="A121" s="1004"/>
      <c r="B121" s="945" t="s">
        <v>13</v>
      </c>
      <c r="C121" s="95">
        <v>42005</v>
      </c>
      <c r="D121" s="136">
        <v>42277</v>
      </c>
      <c r="E121" s="403">
        <v>4268.8689999999997</v>
      </c>
      <c r="F121" s="407">
        <f>3000+4000-1000</f>
        <v>6000</v>
      </c>
      <c r="G121" s="403">
        <f>E121+F121</f>
        <v>10268.868999999999</v>
      </c>
      <c r="H121" s="403">
        <v>10352.951999999999</v>
      </c>
      <c r="I121" s="383">
        <f t="shared" si="87"/>
        <v>-84.083000000000538</v>
      </c>
      <c r="J121" s="405">
        <f t="shared" si="88"/>
        <v>1.0081881461337174</v>
      </c>
      <c r="K121" s="930">
        <f t="shared" ref="K121" si="130">E121+E122</f>
        <v>4493.5729999999994</v>
      </c>
      <c r="L121" s="881">
        <f t="shared" ref="L121" si="131">F121+F122</f>
        <v>5870</v>
      </c>
      <c r="M121" s="881">
        <f t="shared" ref="M121" si="132">K121+L121</f>
        <v>10363.573</v>
      </c>
      <c r="N121" s="885">
        <f>H121+H122</f>
        <v>10352.951999999999</v>
      </c>
      <c r="O121" s="881">
        <f t="shared" si="125"/>
        <v>10.621000000001004</v>
      </c>
      <c r="P121" s="903">
        <f t="shared" ref="P121" si="133">N121/M121</f>
        <v>0.99897516040076129</v>
      </c>
    </row>
    <row r="122" spans="1:16" ht="17.25" customHeight="1">
      <c r="A122" s="1004"/>
      <c r="B122" s="945"/>
      <c r="C122" s="96">
        <v>42278</v>
      </c>
      <c r="D122" s="138">
        <v>42369</v>
      </c>
      <c r="E122" s="403">
        <v>224.70400000000001</v>
      </c>
      <c r="F122" s="401">
        <f>-130</f>
        <v>-130</v>
      </c>
      <c r="G122" s="403">
        <f>E122+F122+I121</f>
        <v>10.620999999999469</v>
      </c>
      <c r="H122" s="403"/>
      <c r="I122" s="383">
        <f t="shared" si="87"/>
        <v>10.620999999999469</v>
      </c>
      <c r="J122" s="405">
        <f t="shared" si="88"/>
        <v>0</v>
      </c>
      <c r="K122" s="931"/>
      <c r="L122" s="882"/>
      <c r="M122" s="882"/>
      <c r="N122" s="885"/>
      <c r="O122" s="882"/>
      <c r="P122" s="904"/>
    </row>
    <row r="123" spans="1:16" ht="17.25" customHeight="1">
      <c r="A123" s="1004"/>
      <c r="B123" s="1001" t="s">
        <v>8</v>
      </c>
      <c r="C123" s="95">
        <v>42005</v>
      </c>
      <c r="D123" s="136">
        <v>42277</v>
      </c>
      <c r="E123" s="397">
        <v>581.476</v>
      </c>
      <c r="F123" s="407">
        <f>1000</f>
        <v>1000</v>
      </c>
      <c r="G123" s="397">
        <f>E123+F123</f>
        <v>1581.4760000000001</v>
      </c>
      <c r="H123" s="852">
        <v>1594.52</v>
      </c>
      <c r="I123" s="371">
        <f t="shared" si="87"/>
        <v>-13.043999999999869</v>
      </c>
      <c r="J123" s="399">
        <f t="shared" si="88"/>
        <v>1.0082479911171589</v>
      </c>
      <c r="K123" s="930">
        <f t="shared" ref="K123" si="134">E123+E124</f>
        <v>612.08399999999995</v>
      </c>
      <c r="L123" s="881">
        <f t="shared" ref="L123" si="135">F123+F124</f>
        <v>1000</v>
      </c>
      <c r="M123" s="881">
        <f t="shared" ref="M123" si="136">K123+L123</f>
        <v>1612.0839999999998</v>
      </c>
      <c r="N123" s="881">
        <f>H123+H124</f>
        <v>1594.52</v>
      </c>
      <c r="O123" s="881">
        <f t="shared" si="125"/>
        <v>17.563999999999851</v>
      </c>
      <c r="P123" s="903">
        <f t="shared" ref="P123" si="137">N123/M123</f>
        <v>0.98910478610295749</v>
      </c>
    </row>
    <row r="124" spans="1:16" ht="17.25" customHeight="1">
      <c r="A124" s="1004"/>
      <c r="B124" s="878"/>
      <c r="C124" s="96">
        <v>42278</v>
      </c>
      <c r="D124" s="138">
        <v>42369</v>
      </c>
      <c r="E124" s="400">
        <v>30.608000000000001</v>
      </c>
      <c r="F124" s="409"/>
      <c r="G124" s="400">
        <f>E124+F124+I123</f>
        <v>17.564000000000132</v>
      </c>
      <c r="H124" s="853"/>
      <c r="I124" s="374">
        <f t="shared" si="87"/>
        <v>17.564000000000132</v>
      </c>
      <c r="J124" s="402">
        <f t="shared" si="88"/>
        <v>0</v>
      </c>
      <c r="K124" s="931"/>
      <c r="L124" s="882"/>
      <c r="M124" s="882"/>
      <c r="N124" s="882"/>
      <c r="O124" s="882"/>
      <c r="P124" s="904"/>
    </row>
    <row r="125" spans="1:16" ht="17.25" customHeight="1">
      <c r="A125" s="1004"/>
      <c r="B125" s="877" t="s">
        <v>279</v>
      </c>
      <c r="C125" s="95">
        <v>42005</v>
      </c>
      <c r="D125" s="136">
        <v>42277</v>
      </c>
      <c r="E125" s="397">
        <v>0</v>
      </c>
      <c r="F125" s="407">
        <f>52.298</f>
        <v>52.298000000000002</v>
      </c>
      <c r="G125" s="397">
        <f>E125+F125</f>
        <v>52.298000000000002</v>
      </c>
      <c r="H125" s="397">
        <v>13.917</v>
      </c>
      <c r="I125" s="371">
        <f>G125-H125</f>
        <v>38.381</v>
      </c>
      <c r="J125" s="399">
        <f>H125/G125</f>
        <v>0.26610960266166966</v>
      </c>
      <c r="K125" s="930">
        <f t="shared" ref="K125" si="138">E125+E126</f>
        <v>0</v>
      </c>
      <c r="L125" s="883">
        <f t="shared" ref="L125" si="139">F125+F126</f>
        <v>52.298000000000002</v>
      </c>
      <c r="M125" s="881">
        <f>K125+L125</f>
        <v>52.298000000000002</v>
      </c>
      <c r="N125" s="881">
        <f>H125+H126</f>
        <v>13.917</v>
      </c>
      <c r="O125" s="881">
        <f>M125-N125</f>
        <v>38.381</v>
      </c>
      <c r="P125" s="886">
        <f t="shared" ref="P125" si="140">N125/M125</f>
        <v>0.26610960266166966</v>
      </c>
    </row>
    <row r="126" spans="1:16" ht="17.25" customHeight="1">
      <c r="A126" s="1005"/>
      <c r="B126" s="878"/>
      <c r="C126" s="96">
        <v>42278</v>
      </c>
      <c r="D126" s="138">
        <v>42369</v>
      </c>
      <c r="E126" s="400">
        <v>0</v>
      </c>
      <c r="F126" s="409"/>
      <c r="G126" s="400">
        <f>E126+F126+I125</f>
        <v>38.381</v>
      </c>
      <c r="H126" s="400"/>
      <c r="I126" s="374">
        <f>G126-H126</f>
        <v>38.381</v>
      </c>
      <c r="J126" s="402">
        <f>H126/G126</f>
        <v>0</v>
      </c>
      <c r="K126" s="1002"/>
      <c r="L126" s="884"/>
      <c r="M126" s="882"/>
      <c r="N126" s="882"/>
      <c r="O126" s="882"/>
      <c r="P126" s="887"/>
    </row>
    <row r="127" spans="1:16" ht="17.25" customHeight="1">
      <c r="A127" s="304"/>
      <c r="B127" s="305"/>
      <c r="C127" s="306"/>
      <c r="D127" s="306"/>
      <c r="E127" s="406"/>
      <c r="F127" s="408"/>
      <c r="G127" s="406"/>
      <c r="H127" s="406"/>
      <c r="I127" s="377"/>
      <c r="J127" s="406"/>
      <c r="K127" s="570"/>
      <c r="L127" s="570"/>
      <c r="M127" s="570"/>
      <c r="N127" s="570"/>
      <c r="O127" s="570"/>
      <c r="P127" s="611"/>
    </row>
    <row r="128" spans="1:16" ht="17.25" customHeight="1">
      <c r="A128" s="55"/>
      <c r="B128" s="55"/>
      <c r="C128" s="307"/>
      <c r="D128" s="307"/>
      <c r="E128" s="379"/>
      <c r="F128" s="746"/>
      <c r="G128" s="379"/>
      <c r="H128" s="379"/>
      <c r="I128" s="378"/>
      <c r="J128" s="379"/>
      <c r="K128" s="566"/>
      <c r="L128" s="566"/>
      <c r="M128" s="566"/>
      <c r="N128" s="566"/>
      <c r="O128" s="566"/>
      <c r="P128" s="612"/>
    </row>
    <row r="129" spans="1:16" ht="17.25" customHeight="1">
      <c r="A129" s="998" t="s">
        <v>379</v>
      </c>
      <c r="B129" s="899" t="s">
        <v>56</v>
      </c>
      <c r="C129" s="95">
        <v>42005</v>
      </c>
      <c r="D129" s="136">
        <v>42277</v>
      </c>
      <c r="E129" s="397">
        <v>18819.031999999999</v>
      </c>
      <c r="F129" s="407">
        <f>525.79+2458.227+1453.184-2390.397+175+764.47</f>
        <v>2986.2740000000003</v>
      </c>
      <c r="G129" s="397">
        <f>E129+F129</f>
        <v>21805.306</v>
      </c>
      <c r="H129" s="397">
        <v>22847.637999999999</v>
      </c>
      <c r="I129" s="371">
        <f>G129-H129</f>
        <v>-1042.3319999999985</v>
      </c>
      <c r="J129" s="399">
        <f>H129/G129</f>
        <v>1.0478017598102038</v>
      </c>
      <c r="K129" s="901">
        <f>E129+E130</f>
        <v>19809.357</v>
      </c>
      <c r="L129" s="901">
        <f>F129+F130</f>
        <v>3309.4420000000005</v>
      </c>
      <c r="M129" s="901">
        <f>K129+L129</f>
        <v>23118.798999999999</v>
      </c>
      <c r="N129" s="901">
        <f>H129+H130</f>
        <v>23090.358</v>
      </c>
      <c r="O129" s="901">
        <f>M129-N129</f>
        <v>28.440999999998894</v>
      </c>
      <c r="P129" s="903">
        <f>N129/M129</f>
        <v>0.99876978903618663</v>
      </c>
    </row>
    <row r="130" spans="1:16" ht="17.25" customHeight="1">
      <c r="A130" s="998"/>
      <c r="B130" s="900"/>
      <c r="C130" s="96">
        <v>42278</v>
      </c>
      <c r="D130" s="138">
        <v>42369</v>
      </c>
      <c r="E130" s="400">
        <v>990.32500000000005</v>
      </c>
      <c r="F130" s="409">
        <f>27.669+129.361+74.597+91.541</f>
        <v>323.16800000000001</v>
      </c>
      <c r="G130" s="400">
        <f>E130+F130+I129</f>
        <v>271.16100000000142</v>
      </c>
      <c r="H130" s="400">
        <v>242.72</v>
      </c>
      <c r="I130" s="374">
        <f t="shared" ref="I130:I172" si="141">G130-H130</f>
        <v>28.441000000001424</v>
      </c>
      <c r="J130" s="399">
        <f t="shared" ref="J130:J172" si="142">H130/G130</f>
        <v>0.89511397287957606</v>
      </c>
      <c r="K130" s="902"/>
      <c r="L130" s="902"/>
      <c r="M130" s="902"/>
      <c r="N130" s="902"/>
      <c r="O130" s="902"/>
      <c r="P130" s="904"/>
    </row>
    <row r="131" spans="1:16" ht="17.25" customHeight="1">
      <c r="A131" s="998"/>
      <c r="B131" s="899" t="s">
        <v>57</v>
      </c>
      <c r="C131" s="95">
        <v>42005</v>
      </c>
      <c r="D131" s="136">
        <v>42277</v>
      </c>
      <c r="E131" s="397">
        <v>268.33600000000001</v>
      </c>
      <c r="F131" s="398">
        <f>-268.336</f>
        <v>-268.33600000000001</v>
      </c>
      <c r="G131" s="397">
        <f>E131+F131</f>
        <v>0</v>
      </c>
      <c r="H131" s="397"/>
      <c r="I131" s="383">
        <f t="shared" si="141"/>
        <v>0</v>
      </c>
      <c r="J131" s="399" t="e">
        <f t="shared" si="142"/>
        <v>#DIV/0!</v>
      </c>
      <c r="K131" s="901">
        <f t="shared" ref="K131" si="143">E131+E132</f>
        <v>282.45699999999999</v>
      </c>
      <c r="L131" s="901">
        <f t="shared" ref="L131" si="144">F131+F132</f>
        <v>-282.45699999999999</v>
      </c>
      <c r="M131" s="901">
        <f t="shared" ref="M131" si="145">K131+L131</f>
        <v>0</v>
      </c>
      <c r="N131" s="901">
        <f>H131+H132</f>
        <v>0</v>
      </c>
      <c r="O131" s="901">
        <f t="shared" ref="O131" si="146">M131-N131</f>
        <v>0</v>
      </c>
      <c r="P131" s="886" t="e">
        <f t="shared" ref="P131" si="147">N131/M131</f>
        <v>#DIV/0!</v>
      </c>
    </row>
    <row r="132" spans="1:16" ht="17.25" customHeight="1">
      <c r="A132" s="998"/>
      <c r="B132" s="900"/>
      <c r="C132" s="96">
        <v>42278</v>
      </c>
      <c r="D132" s="138">
        <v>42369</v>
      </c>
      <c r="E132" s="400">
        <v>14.121</v>
      </c>
      <c r="F132" s="401">
        <f>-14.121</f>
        <v>-14.121</v>
      </c>
      <c r="G132" s="400">
        <f>E132+F132+I131</f>
        <v>0</v>
      </c>
      <c r="H132" s="400"/>
      <c r="I132" s="374">
        <f t="shared" si="141"/>
        <v>0</v>
      </c>
      <c r="J132" s="399" t="e">
        <f t="shared" si="142"/>
        <v>#DIV/0!</v>
      </c>
      <c r="K132" s="902"/>
      <c r="L132" s="902"/>
      <c r="M132" s="902"/>
      <c r="N132" s="902"/>
      <c r="O132" s="902"/>
      <c r="P132" s="887"/>
    </row>
    <row r="133" spans="1:16" ht="17.25" customHeight="1">
      <c r="A133" s="998"/>
      <c r="B133" s="899" t="s">
        <v>10</v>
      </c>
      <c r="C133" s="95">
        <v>42005</v>
      </c>
      <c r="D133" s="136">
        <v>42277</v>
      </c>
      <c r="E133" s="397">
        <v>42126.841</v>
      </c>
      <c r="F133" s="407">
        <f>-1000-4000-2000-2000</f>
        <v>-9000</v>
      </c>
      <c r="G133" s="397">
        <f>E133+F133</f>
        <v>33126.841</v>
      </c>
      <c r="H133" s="397">
        <v>33620.214999999997</v>
      </c>
      <c r="I133" s="383">
        <f t="shared" si="141"/>
        <v>-493.37399999999616</v>
      </c>
      <c r="J133" s="399">
        <f t="shared" si="142"/>
        <v>1.0148934816935908</v>
      </c>
      <c r="K133" s="901">
        <f t="shared" ref="K133" si="148">E133+E134</f>
        <v>44343.707000000002</v>
      </c>
      <c r="L133" s="901">
        <f t="shared" ref="L133" si="149">F133+F134</f>
        <v>-9000</v>
      </c>
      <c r="M133" s="901">
        <f t="shared" ref="M133" si="150">K133+L133</f>
        <v>35343.707000000002</v>
      </c>
      <c r="N133" s="901">
        <f>H133+H134</f>
        <v>35073.462999999996</v>
      </c>
      <c r="O133" s="901">
        <f>M133-N133</f>
        <v>270.24400000000605</v>
      </c>
      <c r="P133" s="903">
        <f t="shared" ref="P133" si="151">N133/M133</f>
        <v>0.99235382977795716</v>
      </c>
    </row>
    <row r="134" spans="1:16" ht="17.25" customHeight="1">
      <c r="A134" s="998"/>
      <c r="B134" s="900"/>
      <c r="C134" s="96">
        <v>42278</v>
      </c>
      <c r="D134" s="138">
        <v>42369</v>
      </c>
      <c r="E134" s="400">
        <v>2216.866</v>
      </c>
      <c r="F134" s="409">
        <f>-200+200</f>
        <v>0</v>
      </c>
      <c r="G134" s="400">
        <f>E134+F134+I133</f>
        <v>1723.4920000000038</v>
      </c>
      <c r="H134" s="400">
        <v>1453.248</v>
      </c>
      <c r="I134" s="374">
        <f t="shared" si="141"/>
        <v>270.24400000000378</v>
      </c>
      <c r="J134" s="399">
        <f t="shared" si="142"/>
        <v>0.84319973634922407</v>
      </c>
      <c r="K134" s="902"/>
      <c r="L134" s="902"/>
      <c r="M134" s="902"/>
      <c r="N134" s="902"/>
      <c r="O134" s="902"/>
      <c r="P134" s="904"/>
    </row>
    <row r="135" spans="1:16" ht="17.25" customHeight="1">
      <c r="A135" s="998"/>
      <c r="B135" s="899" t="s">
        <v>8</v>
      </c>
      <c r="C135" s="95">
        <v>42005</v>
      </c>
      <c r="D135" s="136">
        <v>42277</v>
      </c>
      <c r="E135" s="397">
        <v>35101.402999999998</v>
      </c>
      <c r="F135" s="407">
        <f>142.572+495.87+145.95-1000</f>
        <v>-215.60799999999995</v>
      </c>
      <c r="G135" s="397">
        <f>E135+F135</f>
        <v>34885.794999999998</v>
      </c>
      <c r="H135" s="397">
        <v>36328.97</v>
      </c>
      <c r="I135" s="383">
        <f t="shared" si="141"/>
        <v>-1443.1750000000029</v>
      </c>
      <c r="J135" s="399">
        <f t="shared" si="142"/>
        <v>1.041368557030161</v>
      </c>
      <c r="K135" s="901">
        <f t="shared" ref="K135" si="152">E135+E136</f>
        <v>36948.564999999995</v>
      </c>
      <c r="L135" s="901">
        <f t="shared" ref="L135" si="153">F135+F136</f>
        <v>-174.32799999999995</v>
      </c>
      <c r="M135" s="901">
        <f t="shared" ref="M135" si="154">K135+L135</f>
        <v>36774.236999999994</v>
      </c>
      <c r="N135" s="901">
        <f>H135+H136</f>
        <v>36689.065999999999</v>
      </c>
      <c r="O135" s="901">
        <f t="shared" ref="O135" si="155">M135-N135</f>
        <v>85.17099999999482</v>
      </c>
      <c r="P135" s="903">
        <f t="shared" ref="P135" si="156">N135/M135</f>
        <v>0.997683949227825</v>
      </c>
    </row>
    <row r="136" spans="1:16" ht="17.25" customHeight="1">
      <c r="A136" s="998"/>
      <c r="B136" s="900"/>
      <c r="C136" s="96">
        <v>42278</v>
      </c>
      <c r="D136" s="138">
        <v>42369</v>
      </c>
      <c r="E136" s="400">
        <v>1847.162</v>
      </c>
      <c r="F136" s="409">
        <f>7.503+26.094+7.683</f>
        <v>41.28</v>
      </c>
      <c r="G136" s="400">
        <f>E136+F136+I135</f>
        <v>445.2669999999971</v>
      </c>
      <c r="H136" s="400">
        <v>360.096</v>
      </c>
      <c r="I136" s="374">
        <f t="shared" si="141"/>
        <v>85.170999999997093</v>
      </c>
      <c r="J136" s="399">
        <f t="shared" si="142"/>
        <v>0.80871926282433315</v>
      </c>
      <c r="K136" s="902"/>
      <c r="L136" s="902"/>
      <c r="M136" s="902"/>
      <c r="N136" s="902"/>
      <c r="O136" s="902"/>
      <c r="P136" s="904"/>
    </row>
    <row r="137" spans="1:16" ht="17.25" customHeight="1">
      <c r="A137" s="998"/>
      <c r="B137" s="899" t="s">
        <v>16</v>
      </c>
      <c r="C137" s="95">
        <v>42005</v>
      </c>
      <c r="D137" s="136">
        <v>42277</v>
      </c>
      <c r="E137" s="397">
        <v>495.87</v>
      </c>
      <c r="F137" s="398">
        <f>-495.87</f>
        <v>-495.87</v>
      </c>
      <c r="G137" s="397">
        <f>E137+F137</f>
        <v>0</v>
      </c>
      <c r="H137" s="397"/>
      <c r="I137" s="383">
        <f t="shared" si="141"/>
        <v>0</v>
      </c>
      <c r="J137" s="399" t="e">
        <f t="shared" si="142"/>
        <v>#DIV/0!</v>
      </c>
      <c r="K137" s="901">
        <f t="shared" ref="K137" si="157">E137+E138</f>
        <v>521.96400000000006</v>
      </c>
      <c r="L137" s="901">
        <f t="shared" ref="L137" si="158">F137+F138</f>
        <v>-521.96400000000006</v>
      </c>
      <c r="M137" s="901">
        <f t="shared" ref="M137" si="159">K137+L137</f>
        <v>0</v>
      </c>
      <c r="N137" s="901">
        <f>H137+H138</f>
        <v>0</v>
      </c>
      <c r="O137" s="901">
        <f t="shared" ref="O137" si="160">M137-N137</f>
        <v>0</v>
      </c>
      <c r="P137" s="886" t="e">
        <f t="shared" ref="P137" si="161">N137/M137</f>
        <v>#DIV/0!</v>
      </c>
    </row>
    <row r="138" spans="1:16" ht="17.25" customHeight="1">
      <c r="A138" s="998"/>
      <c r="B138" s="900"/>
      <c r="C138" s="96">
        <v>42278</v>
      </c>
      <c r="D138" s="138">
        <v>42369</v>
      </c>
      <c r="E138" s="400">
        <v>26.094000000000001</v>
      </c>
      <c r="F138" s="401">
        <f>-26.094</f>
        <v>-26.094000000000001</v>
      </c>
      <c r="G138" s="400">
        <f>E138+F138+I137</f>
        <v>0</v>
      </c>
      <c r="H138" s="400"/>
      <c r="I138" s="374">
        <f t="shared" si="141"/>
        <v>0</v>
      </c>
      <c r="J138" s="399" t="e">
        <f t="shared" si="142"/>
        <v>#DIV/0!</v>
      </c>
      <c r="K138" s="902"/>
      <c r="L138" s="902"/>
      <c r="M138" s="902"/>
      <c r="N138" s="902"/>
      <c r="O138" s="902"/>
      <c r="P138" s="887"/>
    </row>
    <row r="139" spans="1:16" ht="17.25" customHeight="1">
      <c r="A139" s="998"/>
      <c r="B139" s="899" t="s">
        <v>272</v>
      </c>
      <c r="C139" s="95">
        <v>42005</v>
      </c>
      <c r="D139" s="136">
        <v>42277</v>
      </c>
      <c r="E139" s="397">
        <v>981.428</v>
      </c>
      <c r="F139" s="398">
        <f>-981.428</f>
        <v>-981.428</v>
      </c>
      <c r="G139" s="397">
        <f>E139+F139</f>
        <v>0</v>
      </c>
      <c r="H139" s="397"/>
      <c r="I139" s="383">
        <f t="shared" si="141"/>
        <v>0</v>
      </c>
      <c r="J139" s="399" t="e">
        <f t="shared" si="142"/>
        <v>#DIV/0!</v>
      </c>
      <c r="K139" s="901">
        <f t="shared" ref="K139" si="162">E139+E140</f>
        <v>1033.0740000000001</v>
      </c>
      <c r="L139" s="901">
        <f t="shared" ref="L139" si="163">F139+F140</f>
        <v>-1033.0740000000001</v>
      </c>
      <c r="M139" s="901">
        <f t="shared" ref="M139" si="164">K139+L139</f>
        <v>0</v>
      </c>
      <c r="N139" s="901">
        <f>H139+H140</f>
        <v>0</v>
      </c>
      <c r="O139" s="901">
        <f t="shared" ref="O139" si="165">M139-N139</f>
        <v>0</v>
      </c>
      <c r="P139" s="886" t="e">
        <f t="shared" ref="P139" si="166">N139/M139</f>
        <v>#DIV/0!</v>
      </c>
    </row>
    <row r="140" spans="1:16" ht="17.25" customHeight="1">
      <c r="A140" s="998"/>
      <c r="B140" s="900"/>
      <c r="C140" s="96">
        <v>42278</v>
      </c>
      <c r="D140" s="138">
        <v>42369</v>
      </c>
      <c r="E140" s="400">
        <v>51.646000000000001</v>
      </c>
      <c r="F140" s="401">
        <f>-51.646</f>
        <v>-51.646000000000001</v>
      </c>
      <c r="G140" s="400">
        <f>E140+F140+I139</f>
        <v>0</v>
      </c>
      <c r="H140" s="400"/>
      <c r="I140" s="374">
        <f t="shared" si="141"/>
        <v>0</v>
      </c>
      <c r="J140" s="399" t="e">
        <f t="shared" si="142"/>
        <v>#DIV/0!</v>
      </c>
      <c r="K140" s="902"/>
      <c r="L140" s="902"/>
      <c r="M140" s="902"/>
      <c r="N140" s="902"/>
      <c r="O140" s="902"/>
      <c r="P140" s="887"/>
    </row>
    <row r="141" spans="1:16" ht="17.25" customHeight="1">
      <c r="A141" s="998"/>
      <c r="B141" s="899" t="s">
        <v>273</v>
      </c>
      <c r="C141" s="95">
        <v>42005</v>
      </c>
      <c r="D141" s="136">
        <v>42277</v>
      </c>
      <c r="E141" s="397">
        <v>981.428</v>
      </c>
      <c r="F141" s="398">
        <f>-981.428</f>
        <v>-981.428</v>
      </c>
      <c r="G141" s="397">
        <f>E141+F141</f>
        <v>0</v>
      </c>
      <c r="H141" s="397"/>
      <c r="I141" s="383">
        <f t="shared" si="141"/>
        <v>0</v>
      </c>
      <c r="J141" s="399" t="e">
        <f t="shared" si="142"/>
        <v>#DIV/0!</v>
      </c>
      <c r="K141" s="901">
        <f t="shared" ref="K141" si="167">E141+E142</f>
        <v>1033.0740000000001</v>
      </c>
      <c r="L141" s="901">
        <f t="shared" ref="L141" si="168">F141+F142</f>
        <v>-1033.0740000000001</v>
      </c>
      <c r="M141" s="901">
        <f t="shared" ref="M141" si="169">K141+L141</f>
        <v>0</v>
      </c>
      <c r="N141" s="901">
        <f>H141+H142</f>
        <v>0</v>
      </c>
      <c r="O141" s="901">
        <f t="shared" ref="O141" si="170">M141-N141</f>
        <v>0</v>
      </c>
      <c r="P141" s="886" t="e">
        <f t="shared" ref="P141" si="171">N141/M141</f>
        <v>#DIV/0!</v>
      </c>
    </row>
    <row r="142" spans="1:16" ht="17.25" customHeight="1">
      <c r="A142" s="998"/>
      <c r="B142" s="900"/>
      <c r="C142" s="96">
        <v>42278</v>
      </c>
      <c r="D142" s="138">
        <v>42369</v>
      </c>
      <c r="E142" s="400">
        <v>51.646000000000001</v>
      </c>
      <c r="F142" s="401">
        <f>-51.646</f>
        <v>-51.646000000000001</v>
      </c>
      <c r="G142" s="400">
        <f>E142+F142+I141</f>
        <v>0</v>
      </c>
      <c r="H142" s="400"/>
      <c r="I142" s="374">
        <f t="shared" si="141"/>
        <v>0</v>
      </c>
      <c r="J142" s="399" t="e">
        <f t="shared" si="142"/>
        <v>#DIV/0!</v>
      </c>
      <c r="K142" s="902"/>
      <c r="L142" s="902"/>
      <c r="M142" s="902"/>
      <c r="N142" s="902"/>
      <c r="O142" s="902"/>
      <c r="P142" s="887"/>
    </row>
    <row r="143" spans="1:16" ht="17.25" customHeight="1">
      <c r="A143" s="998"/>
      <c r="B143" s="899" t="s">
        <v>274</v>
      </c>
      <c r="C143" s="95">
        <v>42005</v>
      </c>
      <c r="D143" s="136">
        <v>42277</v>
      </c>
      <c r="E143" s="397">
        <v>981.428</v>
      </c>
      <c r="F143" s="398">
        <f>-981.428</f>
        <v>-981.428</v>
      </c>
      <c r="G143" s="397">
        <f>E143+F143</f>
        <v>0</v>
      </c>
      <c r="H143" s="397"/>
      <c r="I143" s="383">
        <f t="shared" si="141"/>
        <v>0</v>
      </c>
      <c r="J143" s="399" t="e">
        <f t="shared" si="142"/>
        <v>#DIV/0!</v>
      </c>
      <c r="K143" s="901">
        <f t="shared" ref="K143" si="172">E143+E144</f>
        <v>1033.0740000000001</v>
      </c>
      <c r="L143" s="901">
        <f t="shared" ref="L143" si="173">F143+F144</f>
        <v>-1033.0740000000001</v>
      </c>
      <c r="M143" s="901">
        <f t="shared" ref="M143" si="174">K143+L143</f>
        <v>0</v>
      </c>
      <c r="N143" s="901">
        <f>H143+H144</f>
        <v>0</v>
      </c>
      <c r="O143" s="901">
        <f t="shared" ref="O143" si="175">M143-N143</f>
        <v>0</v>
      </c>
      <c r="P143" s="886" t="e">
        <f t="shared" ref="P143" si="176">N143/M143</f>
        <v>#DIV/0!</v>
      </c>
    </row>
    <row r="144" spans="1:16" ht="17.25" customHeight="1">
      <c r="A144" s="998"/>
      <c r="B144" s="900"/>
      <c r="C144" s="96">
        <v>42278</v>
      </c>
      <c r="D144" s="138">
        <v>42369</v>
      </c>
      <c r="E144" s="400">
        <v>51.646000000000001</v>
      </c>
      <c r="F144" s="401">
        <f>-51.646</f>
        <v>-51.646000000000001</v>
      </c>
      <c r="G144" s="400">
        <f>E144+F144+I143</f>
        <v>0</v>
      </c>
      <c r="H144" s="400"/>
      <c r="I144" s="374">
        <f t="shared" si="141"/>
        <v>0</v>
      </c>
      <c r="J144" s="399" t="e">
        <f t="shared" si="142"/>
        <v>#DIV/0!</v>
      </c>
      <c r="K144" s="902"/>
      <c r="L144" s="902"/>
      <c r="M144" s="902"/>
      <c r="N144" s="902"/>
      <c r="O144" s="902"/>
      <c r="P144" s="887"/>
    </row>
    <row r="145" spans="1:16" ht="17.25" customHeight="1">
      <c r="A145" s="998"/>
      <c r="B145" s="899" t="s">
        <v>288</v>
      </c>
      <c r="C145" s="95">
        <v>42005</v>
      </c>
      <c r="D145" s="136">
        <v>42277</v>
      </c>
      <c r="E145" s="397">
        <v>981.428</v>
      </c>
      <c r="F145" s="398">
        <v>-981.428</v>
      </c>
      <c r="G145" s="397">
        <f>E145+F145</f>
        <v>0</v>
      </c>
      <c r="H145" s="397"/>
      <c r="I145" s="383">
        <f t="shared" si="141"/>
        <v>0</v>
      </c>
      <c r="J145" s="399" t="e">
        <f t="shared" si="142"/>
        <v>#DIV/0!</v>
      </c>
      <c r="K145" s="901">
        <f t="shared" ref="K145" si="177">E145+E146</f>
        <v>1033.0740000000001</v>
      </c>
      <c r="L145" s="901">
        <f t="shared" ref="L145" si="178">F145+F146</f>
        <v>-1033.0740000000001</v>
      </c>
      <c r="M145" s="901">
        <f t="shared" ref="M145" si="179">K145+L145</f>
        <v>0</v>
      </c>
      <c r="N145" s="901">
        <f>H145+H146</f>
        <v>0</v>
      </c>
      <c r="O145" s="901">
        <f t="shared" ref="O145" si="180">M145-N145</f>
        <v>0</v>
      </c>
      <c r="P145" s="886" t="e">
        <f t="shared" ref="P145" si="181">N145/M145</f>
        <v>#DIV/0!</v>
      </c>
    </row>
    <row r="146" spans="1:16" ht="17.25" customHeight="1">
      <c r="A146" s="998"/>
      <c r="B146" s="900"/>
      <c r="C146" s="96">
        <v>42278</v>
      </c>
      <c r="D146" s="138">
        <v>42369</v>
      </c>
      <c r="E146" s="400">
        <v>51.646000000000001</v>
      </c>
      <c r="F146" s="401">
        <v>-51.646000000000001</v>
      </c>
      <c r="G146" s="400">
        <f>E146+F146+I145</f>
        <v>0</v>
      </c>
      <c r="H146" s="400"/>
      <c r="I146" s="374">
        <f t="shared" si="141"/>
        <v>0</v>
      </c>
      <c r="J146" s="399" t="e">
        <f t="shared" si="142"/>
        <v>#DIV/0!</v>
      </c>
      <c r="K146" s="902"/>
      <c r="L146" s="902"/>
      <c r="M146" s="902"/>
      <c r="N146" s="902"/>
      <c r="O146" s="902"/>
      <c r="P146" s="887"/>
    </row>
    <row r="147" spans="1:16" ht="17.25" customHeight="1">
      <c r="A147" s="998"/>
      <c r="B147" s="899" t="s">
        <v>270</v>
      </c>
      <c r="C147" s="95">
        <v>42005</v>
      </c>
      <c r="D147" s="136">
        <v>42277</v>
      </c>
      <c r="E147" s="397">
        <v>981.428</v>
      </c>
      <c r="F147" s="407">
        <f>-981.428</f>
        <v>-981.428</v>
      </c>
      <c r="G147" s="397">
        <f>E147+F147</f>
        <v>0</v>
      </c>
      <c r="H147" s="397"/>
      <c r="I147" s="383">
        <f t="shared" si="141"/>
        <v>0</v>
      </c>
      <c r="J147" s="399" t="e">
        <f t="shared" si="142"/>
        <v>#DIV/0!</v>
      </c>
      <c r="K147" s="901">
        <f t="shared" ref="K147" si="182">E147+E148</f>
        <v>1033.0740000000001</v>
      </c>
      <c r="L147" s="901">
        <f t="shared" ref="L147" si="183">F147+F148</f>
        <v>-1033.0740000000001</v>
      </c>
      <c r="M147" s="901">
        <f t="shared" ref="M147" si="184">K147+L147</f>
        <v>0</v>
      </c>
      <c r="N147" s="901">
        <f>H147+H148</f>
        <v>0</v>
      </c>
      <c r="O147" s="901">
        <f t="shared" ref="O147" si="185">M147-N147</f>
        <v>0</v>
      </c>
      <c r="P147" s="886" t="e">
        <f t="shared" ref="P147" si="186">N147/M147</f>
        <v>#DIV/0!</v>
      </c>
    </row>
    <row r="148" spans="1:16" ht="17.25" customHeight="1">
      <c r="A148" s="998"/>
      <c r="B148" s="900"/>
      <c r="C148" s="96">
        <v>42278</v>
      </c>
      <c r="D148" s="138">
        <v>42369</v>
      </c>
      <c r="E148" s="400">
        <v>51.646000000000001</v>
      </c>
      <c r="F148" s="409">
        <f>-51.646</f>
        <v>-51.646000000000001</v>
      </c>
      <c r="G148" s="400">
        <f>E148+F148+I147</f>
        <v>0</v>
      </c>
      <c r="H148" s="400"/>
      <c r="I148" s="374">
        <f t="shared" si="141"/>
        <v>0</v>
      </c>
      <c r="J148" s="399" t="e">
        <f t="shared" si="142"/>
        <v>#DIV/0!</v>
      </c>
      <c r="K148" s="902"/>
      <c r="L148" s="902"/>
      <c r="M148" s="902"/>
      <c r="N148" s="902"/>
      <c r="O148" s="902"/>
      <c r="P148" s="887"/>
    </row>
    <row r="149" spans="1:16" ht="17.25" customHeight="1">
      <c r="A149" s="998"/>
      <c r="B149" s="899" t="s">
        <v>271</v>
      </c>
      <c r="C149" s="95">
        <v>42005</v>
      </c>
      <c r="D149" s="136">
        <v>42277</v>
      </c>
      <c r="E149" s="397">
        <v>981.428</v>
      </c>
      <c r="F149" s="398">
        <f>-981.428</f>
        <v>-981.428</v>
      </c>
      <c r="G149" s="397">
        <f>E149+F149</f>
        <v>0</v>
      </c>
      <c r="H149" s="397"/>
      <c r="I149" s="383">
        <f t="shared" si="141"/>
        <v>0</v>
      </c>
      <c r="J149" s="399" t="e">
        <f t="shared" si="142"/>
        <v>#DIV/0!</v>
      </c>
      <c r="K149" s="901">
        <f t="shared" ref="K149" si="187">E149+E150</f>
        <v>1033.0740000000001</v>
      </c>
      <c r="L149" s="901">
        <f t="shared" ref="L149" si="188">F149+F150</f>
        <v>-1033.0740000000001</v>
      </c>
      <c r="M149" s="901">
        <f t="shared" ref="M149:M185" si="189">K149+L149</f>
        <v>0</v>
      </c>
      <c r="N149" s="901">
        <f>H149+H150</f>
        <v>0</v>
      </c>
      <c r="O149" s="901">
        <f t="shared" ref="O149" si="190">M149-N149</f>
        <v>0</v>
      </c>
      <c r="P149" s="886" t="e">
        <f t="shared" ref="P149" si="191">N149/M149</f>
        <v>#DIV/0!</v>
      </c>
    </row>
    <row r="150" spans="1:16" ht="17.25" customHeight="1">
      <c r="A150" s="998"/>
      <c r="B150" s="900"/>
      <c r="C150" s="96">
        <v>42278</v>
      </c>
      <c r="D150" s="138">
        <v>42369</v>
      </c>
      <c r="E150" s="400">
        <v>51.646000000000001</v>
      </c>
      <c r="F150" s="401">
        <f>-51.646</f>
        <v>-51.646000000000001</v>
      </c>
      <c r="G150" s="400">
        <f>E150+F150+I149</f>
        <v>0</v>
      </c>
      <c r="H150" s="400"/>
      <c r="I150" s="374">
        <f t="shared" si="141"/>
        <v>0</v>
      </c>
      <c r="J150" s="399" t="e">
        <f t="shared" si="142"/>
        <v>#DIV/0!</v>
      </c>
      <c r="K150" s="902"/>
      <c r="L150" s="902"/>
      <c r="M150" s="902"/>
      <c r="N150" s="902"/>
      <c r="O150" s="902"/>
      <c r="P150" s="887"/>
    </row>
    <row r="151" spans="1:16" ht="17.25" customHeight="1">
      <c r="A151" s="998"/>
      <c r="B151" s="899" t="s">
        <v>376</v>
      </c>
      <c r="C151" s="95">
        <v>42005</v>
      </c>
      <c r="D151" s="136">
        <v>42277</v>
      </c>
      <c r="E151" s="397">
        <v>981.428</v>
      </c>
      <c r="F151" s="398">
        <f>-981.428</f>
        <v>-981.428</v>
      </c>
      <c r="G151" s="397">
        <f>E151+F151</f>
        <v>0</v>
      </c>
      <c r="H151" s="397"/>
      <c r="I151" s="383">
        <f t="shared" si="141"/>
        <v>0</v>
      </c>
      <c r="J151" s="399" t="e">
        <f t="shared" si="142"/>
        <v>#DIV/0!</v>
      </c>
      <c r="K151" s="901">
        <f t="shared" ref="K151" si="192">E151+E152</f>
        <v>1033.0740000000001</v>
      </c>
      <c r="L151" s="901">
        <f t="shared" ref="L151" si="193">F151+F152</f>
        <v>-1033.0740000000001</v>
      </c>
      <c r="M151" s="901">
        <f t="shared" si="189"/>
        <v>0</v>
      </c>
      <c r="N151" s="901">
        <f>H151+H152</f>
        <v>0</v>
      </c>
      <c r="O151" s="901">
        <f t="shared" ref="O151" si="194">M151-N151</f>
        <v>0</v>
      </c>
      <c r="P151" s="886" t="e">
        <f t="shared" ref="P151" si="195">N151/M151</f>
        <v>#DIV/0!</v>
      </c>
    </row>
    <row r="152" spans="1:16" ht="17.25" customHeight="1">
      <c r="A152" s="998"/>
      <c r="B152" s="900"/>
      <c r="C152" s="96">
        <v>42278</v>
      </c>
      <c r="D152" s="138">
        <v>42369</v>
      </c>
      <c r="E152" s="400">
        <v>51.646000000000001</v>
      </c>
      <c r="F152" s="401">
        <f>-51.646</f>
        <v>-51.646000000000001</v>
      </c>
      <c r="G152" s="400">
        <f>E152+F152+I151</f>
        <v>0</v>
      </c>
      <c r="H152" s="400"/>
      <c r="I152" s="374">
        <f t="shared" si="141"/>
        <v>0</v>
      </c>
      <c r="J152" s="399" t="e">
        <f t="shared" si="142"/>
        <v>#DIV/0!</v>
      </c>
      <c r="K152" s="902"/>
      <c r="L152" s="902"/>
      <c r="M152" s="902"/>
      <c r="N152" s="902"/>
      <c r="O152" s="902"/>
      <c r="P152" s="887"/>
    </row>
    <row r="153" spans="1:16" ht="17.25" customHeight="1">
      <c r="A153" s="998"/>
      <c r="B153" s="899" t="s">
        <v>279</v>
      </c>
      <c r="C153" s="95">
        <v>42005</v>
      </c>
      <c r="D153" s="136">
        <v>42277</v>
      </c>
      <c r="E153" s="397">
        <v>988.49800000000005</v>
      </c>
      <c r="F153" s="407">
        <f>981.428+981.428+981.428-2000+939.847+1033.074+479.98</f>
        <v>3397.1849999999999</v>
      </c>
      <c r="G153" s="397">
        <f>E153+F153</f>
        <v>4385.683</v>
      </c>
      <c r="H153" s="397">
        <v>4149.375</v>
      </c>
      <c r="I153" s="383">
        <f t="shared" si="141"/>
        <v>236.30799999999999</v>
      </c>
      <c r="J153" s="399">
        <f t="shared" si="142"/>
        <v>0.94611831270066715</v>
      </c>
      <c r="K153" s="901">
        <f t="shared" ref="K153" si="196">E153+E154</f>
        <v>1040.5160000000001</v>
      </c>
      <c r="L153" s="895">
        <f t="shared" ref="L153" si="197">F153+F154</f>
        <v>3552.123</v>
      </c>
      <c r="M153" s="901">
        <f t="shared" si="189"/>
        <v>4592.6390000000001</v>
      </c>
      <c r="N153" s="901">
        <f>H153+H154</f>
        <v>4573.2979999999998</v>
      </c>
      <c r="O153" s="901">
        <f t="shared" ref="O153" si="198">M153-N153</f>
        <v>19.341000000000349</v>
      </c>
      <c r="P153" s="903">
        <f t="shared" ref="P153" si="199">N153/M153</f>
        <v>0.99578869578035623</v>
      </c>
    </row>
    <row r="154" spans="1:16" ht="17.25" customHeight="1">
      <c r="A154" s="998"/>
      <c r="B154" s="900"/>
      <c r="C154" s="96">
        <v>42278</v>
      </c>
      <c r="D154" s="138">
        <v>42369</v>
      </c>
      <c r="E154" s="400">
        <v>52.018000000000001</v>
      </c>
      <c r="F154" s="409">
        <f>51.646+51.646+51.646</f>
        <v>154.93799999999999</v>
      </c>
      <c r="G154" s="400">
        <f>E154+F154+I153</f>
        <v>443.26400000000001</v>
      </c>
      <c r="H154" s="400">
        <v>423.923</v>
      </c>
      <c r="I154" s="374">
        <f t="shared" si="141"/>
        <v>19.341000000000008</v>
      </c>
      <c r="J154" s="399">
        <f t="shared" si="142"/>
        <v>0.95636686038117236</v>
      </c>
      <c r="K154" s="902"/>
      <c r="L154" s="896"/>
      <c r="M154" s="902"/>
      <c r="N154" s="902"/>
      <c r="O154" s="902"/>
      <c r="P154" s="904"/>
    </row>
    <row r="155" spans="1:16" ht="17.25" customHeight="1">
      <c r="A155" s="998"/>
      <c r="B155" s="899" t="s">
        <v>265</v>
      </c>
      <c r="C155" s="95">
        <v>42005</v>
      </c>
      <c r="D155" s="136">
        <v>42277</v>
      </c>
      <c r="E155" s="397">
        <v>5.7519999999999998</v>
      </c>
      <c r="F155" s="398">
        <f>-5.752</f>
        <v>-5.7519999999999998</v>
      </c>
      <c r="G155" s="397">
        <f>E155+F155</f>
        <v>0</v>
      </c>
      <c r="H155" s="397">
        <v>0.879</v>
      </c>
      <c r="I155" s="383">
        <f t="shared" si="141"/>
        <v>-0.879</v>
      </c>
      <c r="J155" s="399" t="e">
        <f>H155/G155</f>
        <v>#DIV/0!</v>
      </c>
      <c r="K155" s="901">
        <f t="shared" ref="K155" si="200">E155+E156</f>
        <v>6.0549999999999997</v>
      </c>
      <c r="L155" s="901">
        <f t="shared" ref="L155" si="201">F155+F156</f>
        <v>-6.0549999999999997</v>
      </c>
      <c r="M155" s="901">
        <f t="shared" si="189"/>
        <v>0</v>
      </c>
      <c r="N155" s="901">
        <f>H155+H156</f>
        <v>0.879</v>
      </c>
      <c r="O155" s="901">
        <f t="shared" ref="O155" si="202">M155-N155</f>
        <v>-0.879</v>
      </c>
      <c r="P155" s="903" t="e">
        <f>N155/M155</f>
        <v>#DIV/0!</v>
      </c>
    </row>
    <row r="156" spans="1:16" ht="17.25" customHeight="1">
      <c r="A156" s="998"/>
      <c r="B156" s="900"/>
      <c r="C156" s="96">
        <v>42278</v>
      </c>
      <c r="D156" s="138">
        <v>42369</v>
      </c>
      <c r="E156" s="400">
        <v>0.30299999999999999</v>
      </c>
      <c r="F156" s="401">
        <f>-0.303</f>
        <v>-0.30299999999999999</v>
      </c>
      <c r="G156" s="400">
        <f>E156+F156+I155</f>
        <v>-0.879</v>
      </c>
      <c r="H156" s="400"/>
      <c r="I156" s="374">
        <f t="shared" si="141"/>
        <v>-0.879</v>
      </c>
      <c r="J156" s="399">
        <f t="shared" si="142"/>
        <v>0</v>
      </c>
      <c r="K156" s="902"/>
      <c r="L156" s="902"/>
      <c r="M156" s="902"/>
      <c r="N156" s="902"/>
      <c r="O156" s="902"/>
      <c r="P156" s="904"/>
    </row>
    <row r="157" spans="1:16" ht="17.25" customHeight="1">
      <c r="A157" s="998"/>
      <c r="B157" s="899" t="s">
        <v>289</v>
      </c>
      <c r="C157" s="95">
        <v>42005</v>
      </c>
      <c r="D157" s="136">
        <v>42277</v>
      </c>
      <c r="E157" s="397">
        <v>23.152000000000001</v>
      </c>
      <c r="F157" s="407">
        <f>-23.152</f>
        <v>-23.152000000000001</v>
      </c>
      <c r="G157" s="397">
        <f>E157+F157</f>
        <v>0</v>
      </c>
      <c r="H157" s="397"/>
      <c r="I157" s="383">
        <f t="shared" si="141"/>
        <v>0</v>
      </c>
      <c r="J157" s="399" t="e">
        <f t="shared" si="142"/>
        <v>#DIV/0!</v>
      </c>
      <c r="K157" s="901">
        <f t="shared" ref="K157" si="203">E157+E158</f>
        <v>24.37</v>
      </c>
      <c r="L157" s="901">
        <f t="shared" ref="L157" si="204">F157+F158</f>
        <v>-24.37</v>
      </c>
      <c r="M157" s="901">
        <f t="shared" si="189"/>
        <v>0</v>
      </c>
      <c r="N157" s="901">
        <f>H157+H158</f>
        <v>0</v>
      </c>
      <c r="O157" s="901">
        <f t="shared" ref="O157:O185" si="205">M157-N157</f>
        <v>0</v>
      </c>
      <c r="P157" s="886" t="e">
        <f t="shared" ref="P157" si="206">N157/M157</f>
        <v>#DIV/0!</v>
      </c>
    </row>
    <row r="158" spans="1:16" ht="17.25" customHeight="1">
      <c r="A158" s="998"/>
      <c r="B158" s="900"/>
      <c r="C158" s="96">
        <v>42278</v>
      </c>
      <c r="D158" s="138">
        <v>42369</v>
      </c>
      <c r="E158" s="400">
        <v>1.218</v>
      </c>
      <c r="F158" s="409">
        <f>-1.218</f>
        <v>-1.218</v>
      </c>
      <c r="G158" s="400">
        <f>E158+F158+I157</f>
        <v>0</v>
      </c>
      <c r="H158" s="400"/>
      <c r="I158" s="374">
        <f t="shared" si="141"/>
        <v>0</v>
      </c>
      <c r="J158" s="399" t="e">
        <f t="shared" si="142"/>
        <v>#DIV/0!</v>
      </c>
      <c r="K158" s="902"/>
      <c r="L158" s="902"/>
      <c r="M158" s="902"/>
      <c r="N158" s="902"/>
      <c r="O158" s="902"/>
      <c r="P158" s="887"/>
    </row>
    <row r="159" spans="1:16" ht="17.25" customHeight="1">
      <c r="A159" s="998"/>
      <c r="B159" s="899" t="s">
        <v>53</v>
      </c>
      <c r="C159" s="95">
        <v>42005</v>
      </c>
      <c r="D159" s="136">
        <v>42277</v>
      </c>
      <c r="E159" s="397">
        <v>16776.87</v>
      </c>
      <c r="F159" s="407">
        <f>2390.397+175-764.47</f>
        <v>1800.9269999999999</v>
      </c>
      <c r="G159" s="397">
        <f>E159+F159</f>
        <v>18577.796999999999</v>
      </c>
      <c r="H159" s="397">
        <v>19078.385999999999</v>
      </c>
      <c r="I159" s="383">
        <f t="shared" si="141"/>
        <v>-500.58899999999994</v>
      </c>
      <c r="J159" s="399">
        <f t="shared" si="142"/>
        <v>1.0269455522632742</v>
      </c>
      <c r="K159" s="901">
        <f t="shared" ref="K159" si="207">E159+E160</f>
        <v>17659.728999999999</v>
      </c>
      <c r="L159" s="901">
        <f>F159+F160</f>
        <v>1800.9269999999999</v>
      </c>
      <c r="M159" s="901">
        <f t="shared" si="189"/>
        <v>19460.655999999999</v>
      </c>
      <c r="N159" s="901">
        <f>H159+H160</f>
        <v>19425.251</v>
      </c>
      <c r="O159" s="901">
        <f t="shared" si="205"/>
        <v>35.404999999998836</v>
      </c>
      <c r="P159" s="903">
        <f t="shared" ref="P159" si="208">N159/M159</f>
        <v>0.99818068825634665</v>
      </c>
    </row>
    <row r="160" spans="1:16" ht="17.25" customHeight="1">
      <c r="A160" s="998"/>
      <c r="B160" s="900"/>
      <c r="C160" s="96">
        <v>42278</v>
      </c>
      <c r="D160" s="138">
        <v>42369</v>
      </c>
      <c r="E160" s="400">
        <v>882.85900000000004</v>
      </c>
      <c r="F160" s="401"/>
      <c r="G160" s="400">
        <f>E160+F160+I159</f>
        <v>382.2700000000001</v>
      </c>
      <c r="H160" s="400">
        <v>346.86500000000001</v>
      </c>
      <c r="I160" s="374">
        <f t="shared" si="141"/>
        <v>35.405000000000086</v>
      </c>
      <c r="J160" s="399">
        <f t="shared" si="142"/>
        <v>0.90738221675778874</v>
      </c>
      <c r="K160" s="902"/>
      <c r="L160" s="902"/>
      <c r="M160" s="902"/>
      <c r="N160" s="902"/>
      <c r="O160" s="902"/>
      <c r="P160" s="904"/>
    </row>
    <row r="161" spans="1:16" ht="17.25" customHeight="1">
      <c r="A161" s="998"/>
      <c r="B161" s="899" t="s">
        <v>44</v>
      </c>
      <c r="C161" s="95">
        <v>42005</v>
      </c>
      <c r="D161" s="136">
        <v>42277</v>
      </c>
      <c r="E161" s="397">
        <v>26.891999999999999</v>
      </c>
      <c r="F161" s="398">
        <f>-26.892</f>
        <v>-26.891999999999999</v>
      </c>
      <c r="G161" s="397">
        <f>E161+F161</f>
        <v>0</v>
      </c>
      <c r="H161" s="397"/>
      <c r="I161" s="383">
        <f t="shared" si="141"/>
        <v>0</v>
      </c>
      <c r="J161" s="399" t="e">
        <f t="shared" si="142"/>
        <v>#DIV/0!</v>
      </c>
      <c r="K161" s="901">
        <f t="shared" ref="K161" si="209">E161+E162</f>
        <v>28.306999999999999</v>
      </c>
      <c r="L161" s="901">
        <f t="shared" ref="L161" si="210">F161+F162</f>
        <v>-28.306999999999999</v>
      </c>
      <c r="M161" s="901">
        <f t="shared" si="189"/>
        <v>0</v>
      </c>
      <c r="N161" s="901">
        <f>H161+H162</f>
        <v>0</v>
      </c>
      <c r="O161" s="901">
        <f t="shared" si="205"/>
        <v>0</v>
      </c>
      <c r="P161" s="886" t="e">
        <f t="shared" ref="P161" si="211">N161/M161</f>
        <v>#DIV/0!</v>
      </c>
    </row>
    <row r="162" spans="1:16" ht="17.25" customHeight="1">
      <c r="A162" s="998"/>
      <c r="B162" s="900"/>
      <c r="C162" s="96">
        <v>42278</v>
      </c>
      <c r="D162" s="138">
        <v>42369</v>
      </c>
      <c r="E162" s="400">
        <v>1.415</v>
      </c>
      <c r="F162" s="401">
        <f>-1.415</f>
        <v>-1.415</v>
      </c>
      <c r="G162" s="400">
        <f>E162+F162+I161</f>
        <v>0</v>
      </c>
      <c r="H162" s="400"/>
      <c r="I162" s="374">
        <f t="shared" si="141"/>
        <v>0</v>
      </c>
      <c r="J162" s="399" t="e">
        <f t="shared" si="142"/>
        <v>#DIV/0!</v>
      </c>
      <c r="K162" s="902"/>
      <c r="L162" s="902"/>
      <c r="M162" s="902"/>
      <c r="N162" s="902"/>
      <c r="O162" s="902"/>
      <c r="P162" s="887"/>
    </row>
    <row r="163" spans="1:16" ht="17.25" customHeight="1">
      <c r="A163" s="998"/>
      <c r="B163" s="899" t="s">
        <v>45</v>
      </c>
      <c r="C163" s="95">
        <v>42005</v>
      </c>
      <c r="D163" s="136">
        <v>42277</v>
      </c>
      <c r="E163" s="397">
        <v>31.826000000000001</v>
      </c>
      <c r="F163" s="398">
        <f>-31.826</f>
        <v>-31.826000000000001</v>
      </c>
      <c r="G163" s="397">
        <f>E163+F163</f>
        <v>0</v>
      </c>
      <c r="H163" s="397"/>
      <c r="I163" s="383">
        <f t="shared" si="141"/>
        <v>0</v>
      </c>
      <c r="J163" s="399" t="e">
        <f t="shared" si="142"/>
        <v>#DIV/0!</v>
      </c>
      <c r="K163" s="901">
        <f t="shared" ref="K163" si="212">E163+E164</f>
        <v>33.500999999999998</v>
      </c>
      <c r="L163" s="901">
        <f t="shared" ref="L163" si="213">F163+F164</f>
        <v>-33.500999999999998</v>
      </c>
      <c r="M163" s="901">
        <f t="shared" si="189"/>
        <v>0</v>
      </c>
      <c r="N163" s="901">
        <f>H163+H164</f>
        <v>0</v>
      </c>
      <c r="O163" s="901">
        <f t="shared" si="205"/>
        <v>0</v>
      </c>
      <c r="P163" s="886" t="e">
        <f t="shared" ref="P163" si="214">N163/M163</f>
        <v>#DIV/0!</v>
      </c>
    </row>
    <row r="164" spans="1:16" ht="17.25" customHeight="1">
      <c r="A164" s="998"/>
      <c r="B164" s="900"/>
      <c r="C164" s="96">
        <v>42278</v>
      </c>
      <c r="D164" s="138">
        <v>42369</v>
      </c>
      <c r="E164" s="400">
        <v>1.675</v>
      </c>
      <c r="F164" s="401">
        <f>-1.675</f>
        <v>-1.675</v>
      </c>
      <c r="G164" s="400">
        <f>E164+F164+I163</f>
        <v>0</v>
      </c>
      <c r="H164" s="400"/>
      <c r="I164" s="374">
        <f t="shared" si="141"/>
        <v>0</v>
      </c>
      <c r="J164" s="399" t="e">
        <f t="shared" si="142"/>
        <v>#DIV/0!</v>
      </c>
      <c r="K164" s="902"/>
      <c r="L164" s="902"/>
      <c r="M164" s="902"/>
      <c r="N164" s="902"/>
      <c r="O164" s="902"/>
      <c r="P164" s="887"/>
    </row>
    <row r="165" spans="1:16" ht="17.25" customHeight="1">
      <c r="A165" s="998"/>
      <c r="B165" s="899" t="s">
        <v>287</v>
      </c>
      <c r="C165" s="95">
        <v>42005</v>
      </c>
      <c r="D165" s="136">
        <v>42277</v>
      </c>
      <c r="E165" s="397">
        <v>888.71199999999999</v>
      </c>
      <c r="F165" s="407">
        <f>981.428+981.428+1070.387+1900-3000+981.428+175.07</f>
        <v>3089.7410000000004</v>
      </c>
      <c r="G165" s="397">
        <f>E165+F165</f>
        <v>3978.4530000000004</v>
      </c>
      <c r="H165" s="397">
        <v>3879.0320000000002</v>
      </c>
      <c r="I165" s="383">
        <f t="shared" si="141"/>
        <v>99.421000000000276</v>
      </c>
      <c r="J165" s="399">
        <f t="shared" si="142"/>
        <v>0.97501013584928609</v>
      </c>
      <c r="K165" s="901">
        <f t="shared" ref="K165" si="215">E165+E166</f>
        <v>935.47900000000004</v>
      </c>
      <c r="L165" s="895">
        <f t="shared" ref="L165" si="216">F165+F166</f>
        <v>3301.0070000000005</v>
      </c>
      <c r="M165" s="901">
        <f t="shared" si="189"/>
        <v>4236.4860000000008</v>
      </c>
      <c r="N165" s="901">
        <f>H165+H166</f>
        <v>4008.0420000000004</v>
      </c>
      <c r="O165" s="901">
        <f t="shared" si="205"/>
        <v>228.44400000000041</v>
      </c>
      <c r="P165" s="903">
        <f t="shared" ref="P165" si="217">N165/M165</f>
        <v>0.94607700816195295</v>
      </c>
    </row>
    <row r="166" spans="1:16" ht="17.25" customHeight="1">
      <c r="A166" s="998"/>
      <c r="B166" s="900"/>
      <c r="C166" s="96">
        <v>42278</v>
      </c>
      <c r="D166" s="138">
        <v>42369</v>
      </c>
      <c r="E166" s="400">
        <v>46.767000000000003</v>
      </c>
      <c r="F166" s="409">
        <f>51.646+51.646+56.328+51.646</f>
        <v>211.26600000000002</v>
      </c>
      <c r="G166" s="400">
        <f>E166+F166+I165</f>
        <v>357.45400000000029</v>
      </c>
      <c r="H166" s="400">
        <v>129.01</v>
      </c>
      <c r="I166" s="374">
        <f t="shared" si="141"/>
        <v>228.4440000000003</v>
      </c>
      <c r="J166" s="399">
        <f t="shared" si="142"/>
        <v>0.36091357209598968</v>
      </c>
      <c r="K166" s="902"/>
      <c r="L166" s="896"/>
      <c r="M166" s="902"/>
      <c r="N166" s="902"/>
      <c r="O166" s="902"/>
      <c r="P166" s="904"/>
    </row>
    <row r="167" spans="1:16" ht="17.25" customHeight="1">
      <c r="A167" s="998"/>
      <c r="B167" s="899" t="s">
        <v>54</v>
      </c>
      <c r="C167" s="95">
        <v>42005</v>
      </c>
      <c r="D167" s="136">
        <v>42277</v>
      </c>
      <c r="E167" s="397">
        <v>1453.184</v>
      </c>
      <c r="F167" s="398">
        <f>-1453.184</f>
        <v>-1453.184</v>
      </c>
      <c r="G167" s="397">
        <f>E167+F167</f>
        <v>0</v>
      </c>
      <c r="H167" s="397"/>
      <c r="I167" s="383">
        <f t="shared" si="141"/>
        <v>0</v>
      </c>
      <c r="J167" s="399" t="e">
        <f t="shared" si="142"/>
        <v>#DIV/0!</v>
      </c>
      <c r="K167" s="901">
        <f t="shared" ref="K167" si="218">E167+E168</f>
        <v>1529.6559999999999</v>
      </c>
      <c r="L167" s="901">
        <f t="shared" ref="L167" si="219">F167+F168</f>
        <v>-1527.7809999999999</v>
      </c>
      <c r="M167" s="901">
        <f t="shared" si="189"/>
        <v>1.875</v>
      </c>
      <c r="N167" s="901">
        <f>H167+H168</f>
        <v>0</v>
      </c>
      <c r="O167" s="901">
        <f t="shared" si="205"/>
        <v>1.875</v>
      </c>
      <c r="P167" s="886">
        <f t="shared" ref="P167" si="220">N167/M167</f>
        <v>0</v>
      </c>
    </row>
    <row r="168" spans="1:16" ht="17.25" customHeight="1">
      <c r="A168" s="998"/>
      <c r="B168" s="900"/>
      <c r="C168" s="96">
        <v>42278</v>
      </c>
      <c r="D168" s="138">
        <v>42369</v>
      </c>
      <c r="E168" s="400">
        <v>76.471999999999994</v>
      </c>
      <c r="F168" s="401">
        <f>-74.597</f>
        <v>-74.596999999999994</v>
      </c>
      <c r="G168" s="400">
        <f>E168+F168+I167</f>
        <v>1.875</v>
      </c>
      <c r="H168" s="400"/>
      <c r="I168" s="374">
        <f t="shared" si="141"/>
        <v>1.875</v>
      </c>
      <c r="J168" s="399">
        <f t="shared" si="142"/>
        <v>0</v>
      </c>
      <c r="K168" s="902"/>
      <c r="L168" s="902"/>
      <c r="M168" s="902"/>
      <c r="N168" s="902"/>
      <c r="O168" s="902"/>
      <c r="P168" s="887"/>
    </row>
    <row r="169" spans="1:16" ht="17.25" customHeight="1">
      <c r="A169" s="998"/>
      <c r="B169" s="899" t="s">
        <v>283</v>
      </c>
      <c r="C169" s="95">
        <v>42005</v>
      </c>
      <c r="D169" s="136">
        <v>42277</v>
      </c>
      <c r="E169" s="397">
        <v>8327.9179999999997</v>
      </c>
      <c r="F169" s="407">
        <f>366.939</f>
        <v>366.93900000000002</v>
      </c>
      <c r="G169" s="397">
        <f>E169+F169</f>
        <v>8694.857</v>
      </c>
      <c r="H169" s="397">
        <v>9011.5959999999995</v>
      </c>
      <c r="I169" s="383">
        <f t="shared" si="141"/>
        <v>-316.73899999999958</v>
      </c>
      <c r="J169" s="399">
        <f t="shared" si="142"/>
        <v>1.0364283161873737</v>
      </c>
      <c r="K169" s="901">
        <f t="shared" ref="K169" si="221">E169+E170</f>
        <v>8766.1630000000005</v>
      </c>
      <c r="L169" s="901">
        <f t="shared" ref="L169" si="222">F169+F170</f>
        <v>366.93900000000002</v>
      </c>
      <c r="M169" s="901">
        <f t="shared" si="189"/>
        <v>9133.1020000000008</v>
      </c>
      <c r="N169" s="901">
        <f>H169+H170</f>
        <v>9011.5959999999995</v>
      </c>
      <c r="O169" s="901">
        <f t="shared" si="205"/>
        <v>121.50600000000122</v>
      </c>
      <c r="P169" s="903">
        <f t="shared" ref="P169" si="223">N169/M169</f>
        <v>0.98669608638992523</v>
      </c>
    </row>
    <row r="170" spans="1:16" ht="17.25" customHeight="1">
      <c r="A170" s="998"/>
      <c r="B170" s="900"/>
      <c r="C170" s="96">
        <v>42278</v>
      </c>
      <c r="D170" s="138">
        <v>42369</v>
      </c>
      <c r="E170" s="400">
        <v>438.245</v>
      </c>
      <c r="F170" s="401"/>
      <c r="G170" s="400">
        <f>E170+F170+I169</f>
        <v>121.50600000000043</v>
      </c>
      <c r="H170" s="400"/>
      <c r="I170" s="374">
        <f t="shared" si="141"/>
        <v>121.50600000000043</v>
      </c>
      <c r="J170" s="399">
        <f t="shared" si="142"/>
        <v>0</v>
      </c>
      <c r="K170" s="902"/>
      <c r="L170" s="902"/>
      <c r="M170" s="902"/>
      <c r="N170" s="902"/>
      <c r="O170" s="902"/>
      <c r="P170" s="904"/>
    </row>
    <row r="171" spans="1:16" ht="17.25" customHeight="1">
      <c r="A171" s="998"/>
      <c r="B171" s="899" t="s">
        <v>7</v>
      </c>
      <c r="C171" s="95">
        <v>42005</v>
      </c>
      <c r="D171" s="136">
        <v>42277</v>
      </c>
      <c r="E171" s="397">
        <v>2526.0990000000002</v>
      </c>
      <c r="F171" s="407">
        <f>26.892+268.336+31.826+5.752+13.197+23.152</f>
        <v>369.15500000000003</v>
      </c>
      <c r="G171" s="397">
        <f>E171+F171</f>
        <v>2895.2540000000004</v>
      </c>
      <c r="H171" s="397">
        <v>2496.9229999999998</v>
      </c>
      <c r="I171" s="383">
        <f t="shared" si="141"/>
        <v>398.33100000000059</v>
      </c>
      <c r="J171" s="399">
        <f t="shared" si="142"/>
        <v>0.86241932486752437</v>
      </c>
      <c r="K171" s="901">
        <f t="shared" ref="K171" si="224">E171+E172</f>
        <v>2659.0309999999999</v>
      </c>
      <c r="L171" s="895">
        <f t="shared" ref="L171" si="225">F171+F172</f>
        <v>388.58100000000002</v>
      </c>
      <c r="M171" s="901">
        <f t="shared" si="189"/>
        <v>3047.6120000000001</v>
      </c>
      <c r="N171" s="901">
        <f>H171+H172</f>
        <v>3121.2529999999997</v>
      </c>
      <c r="O171" s="901">
        <f t="shared" si="205"/>
        <v>-73.640999999999622</v>
      </c>
      <c r="P171" s="910">
        <f t="shared" ref="P171" si="226">N171/M171</f>
        <v>1.0241635090031145</v>
      </c>
    </row>
    <row r="172" spans="1:16" ht="17.25" customHeight="1">
      <c r="A172" s="998"/>
      <c r="B172" s="999"/>
      <c r="C172" s="96">
        <v>42278</v>
      </c>
      <c r="D172" s="138">
        <v>42369</v>
      </c>
      <c r="E172" s="403">
        <v>132.93199999999999</v>
      </c>
      <c r="F172" s="408">
        <f>1.415+14.121+1.675+0.303+0.694+1.218</f>
        <v>19.426000000000002</v>
      </c>
      <c r="G172" s="403">
        <f>E172+F172+I171</f>
        <v>550.68900000000053</v>
      </c>
      <c r="H172" s="403">
        <v>624.33000000000004</v>
      </c>
      <c r="I172" s="383">
        <f t="shared" si="141"/>
        <v>-73.640999999999508</v>
      </c>
      <c r="J172" s="399">
        <f t="shared" si="142"/>
        <v>1.1337252060600438</v>
      </c>
      <c r="K172" s="902"/>
      <c r="L172" s="896"/>
      <c r="M172" s="902"/>
      <c r="N172" s="905"/>
      <c r="O172" s="902"/>
      <c r="P172" s="911"/>
    </row>
    <row r="173" spans="1:16" ht="17.25" customHeight="1">
      <c r="A173" s="998"/>
      <c r="B173" s="897" t="s">
        <v>55</v>
      </c>
      <c r="C173" s="95">
        <v>42005</v>
      </c>
      <c r="D173" s="136">
        <v>42277</v>
      </c>
      <c r="E173" s="397">
        <v>2458.2269999999999</v>
      </c>
      <c r="F173" s="407">
        <f>-2458.227</f>
        <v>-2458.2269999999999</v>
      </c>
      <c r="G173" s="397">
        <f>E173+F173</f>
        <v>0</v>
      </c>
      <c r="H173" s="397"/>
      <c r="I173" s="371">
        <f t="shared" ref="I173:I178" si="227">G173-H173</f>
        <v>0</v>
      </c>
      <c r="J173" s="399" t="e">
        <f t="shared" ref="J173:J178" si="228">H173/G173</f>
        <v>#DIV/0!</v>
      </c>
      <c r="K173" s="901">
        <f t="shared" ref="K173" si="229">E173+E174</f>
        <v>2587.5879999999997</v>
      </c>
      <c r="L173" s="901">
        <f t="shared" ref="L173" si="230">F173+F174</f>
        <v>-2587.5879999999997</v>
      </c>
      <c r="M173" s="901">
        <f t="shared" si="189"/>
        <v>0</v>
      </c>
      <c r="N173" s="901">
        <f>H173+H174</f>
        <v>0</v>
      </c>
      <c r="O173" s="901">
        <f t="shared" si="205"/>
        <v>0</v>
      </c>
      <c r="P173" s="886" t="e">
        <f t="shared" ref="P173" si="231">N173/M173</f>
        <v>#DIV/0!</v>
      </c>
    </row>
    <row r="174" spans="1:16" ht="17.25" customHeight="1">
      <c r="A174" s="998"/>
      <c r="B174" s="898"/>
      <c r="C174" s="96">
        <v>42278</v>
      </c>
      <c r="D174" s="138">
        <v>42369</v>
      </c>
      <c r="E174" s="400">
        <v>129.36099999999999</v>
      </c>
      <c r="F174" s="409">
        <f>-129.361</f>
        <v>-129.36099999999999</v>
      </c>
      <c r="G174" s="400">
        <f>E174+F174+I173</f>
        <v>0</v>
      </c>
      <c r="H174" s="400"/>
      <c r="I174" s="374">
        <f t="shared" si="227"/>
        <v>0</v>
      </c>
      <c r="J174" s="402" t="e">
        <f t="shared" si="228"/>
        <v>#DIV/0!</v>
      </c>
      <c r="K174" s="902"/>
      <c r="L174" s="902"/>
      <c r="M174" s="902"/>
      <c r="N174" s="902"/>
      <c r="O174" s="902"/>
      <c r="P174" s="887"/>
    </row>
    <row r="175" spans="1:16" ht="17.25" customHeight="1">
      <c r="A175" s="998"/>
      <c r="B175" s="897" t="s">
        <v>290</v>
      </c>
      <c r="C175" s="95">
        <v>42005</v>
      </c>
      <c r="D175" s="136">
        <v>42277</v>
      </c>
      <c r="E175" s="411">
        <v>13.196999999999999</v>
      </c>
      <c r="F175" s="412">
        <f>-13.197</f>
        <v>-13.196999999999999</v>
      </c>
      <c r="G175" s="397">
        <f>E175+F175</f>
        <v>0</v>
      </c>
      <c r="H175" s="397"/>
      <c r="I175" s="371">
        <f t="shared" si="227"/>
        <v>0</v>
      </c>
      <c r="J175" s="399" t="e">
        <f t="shared" si="228"/>
        <v>#DIV/0!</v>
      </c>
      <c r="K175" s="901">
        <f t="shared" ref="K175" si="232">E175+E176</f>
        <v>13.890999999999998</v>
      </c>
      <c r="L175" s="901">
        <f t="shared" ref="L175" si="233">F175+F176</f>
        <v>-13.890999999999998</v>
      </c>
      <c r="M175" s="901">
        <f t="shared" si="189"/>
        <v>0</v>
      </c>
      <c r="N175" s="901">
        <f>H175+H176</f>
        <v>0</v>
      </c>
      <c r="O175" s="901">
        <f t="shared" si="205"/>
        <v>0</v>
      </c>
      <c r="P175" s="886" t="e">
        <f t="shared" ref="P175" si="234">N175/M175</f>
        <v>#DIV/0!</v>
      </c>
    </row>
    <row r="176" spans="1:16" ht="17.25" customHeight="1">
      <c r="A176" s="998"/>
      <c r="B176" s="898"/>
      <c r="C176" s="96">
        <v>42278</v>
      </c>
      <c r="D176" s="138">
        <v>42369</v>
      </c>
      <c r="E176" s="413">
        <v>0.69399999999999995</v>
      </c>
      <c r="F176" s="414">
        <f>-0.694</f>
        <v>-0.69399999999999995</v>
      </c>
      <c r="G176" s="400">
        <f>E176+F176+I175</f>
        <v>0</v>
      </c>
      <c r="H176" s="400"/>
      <c r="I176" s="374">
        <f t="shared" si="227"/>
        <v>0</v>
      </c>
      <c r="J176" s="402" t="e">
        <f t="shared" si="228"/>
        <v>#DIV/0!</v>
      </c>
      <c r="K176" s="902"/>
      <c r="L176" s="902"/>
      <c r="M176" s="902"/>
      <c r="N176" s="902"/>
      <c r="O176" s="902"/>
      <c r="P176" s="887"/>
    </row>
    <row r="177" spans="1:16" ht="17.25" customHeight="1">
      <c r="A177" s="998"/>
      <c r="B177" s="897" t="s">
        <v>285</v>
      </c>
      <c r="C177" s="95">
        <v>42005</v>
      </c>
      <c r="D177" s="136">
        <v>42277</v>
      </c>
      <c r="E177" s="411">
        <v>38335.411999999997</v>
      </c>
      <c r="F177" s="407">
        <f>-4000-4000</f>
        <v>-8000</v>
      </c>
      <c r="G177" s="397">
        <f>E177+F177</f>
        <v>30335.411999999997</v>
      </c>
      <c r="H177" s="397">
        <v>30880.972000000002</v>
      </c>
      <c r="I177" s="371">
        <f t="shared" si="227"/>
        <v>-545.56000000000495</v>
      </c>
      <c r="J177" s="399">
        <f t="shared" si="228"/>
        <v>1.0179842620894684</v>
      </c>
      <c r="K177" s="901">
        <f t="shared" ref="K177" si="235">E177+E178</f>
        <v>40352.758999999998</v>
      </c>
      <c r="L177" s="901">
        <f t="shared" ref="L177" si="236">F177+F178</f>
        <v>-7480</v>
      </c>
      <c r="M177" s="901">
        <f t="shared" si="189"/>
        <v>32872.758999999998</v>
      </c>
      <c r="N177" s="901">
        <f>H177+H178</f>
        <v>31908.871000000003</v>
      </c>
      <c r="O177" s="901">
        <f t="shared" si="205"/>
        <v>963.88799999999537</v>
      </c>
      <c r="P177" s="903">
        <f t="shared" ref="P177" si="237">N177/M177</f>
        <v>0.97067821414077249</v>
      </c>
    </row>
    <row r="178" spans="1:16" ht="17.25" customHeight="1">
      <c r="A178" s="998"/>
      <c r="B178" s="898"/>
      <c r="C178" s="96">
        <v>42278</v>
      </c>
      <c r="D178" s="138">
        <v>42369</v>
      </c>
      <c r="E178" s="413">
        <v>2017.347</v>
      </c>
      <c r="F178" s="408">
        <f>390+130</f>
        <v>520</v>
      </c>
      <c r="G178" s="400">
        <f>E178+F178+I177</f>
        <v>1991.7869999999948</v>
      </c>
      <c r="H178" s="400">
        <v>1027.8989999999999</v>
      </c>
      <c r="I178" s="374">
        <f t="shared" si="227"/>
        <v>963.88799999999492</v>
      </c>
      <c r="J178" s="402">
        <f t="shared" si="228"/>
        <v>0.51606873626547545</v>
      </c>
      <c r="K178" s="902"/>
      <c r="L178" s="902"/>
      <c r="M178" s="902"/>
      <c r="N178" s="902"/>
      <c r="O178" s="902"/>
      <c r="P178" s="904"/>
    </row>
    <row r="179" spans="1:16" ht="17.25" customHeight="1">
      <c r="A179" s="998"/>
      <c r="B179" s="997" t="s">
        <v>291</v>
      </c>
      <c r="C179" s="95">
        <v>42005</v>
      </c>
      <c r="D179" s="136">
        <v>42277</v>
      </c>
      <c r="E179" s="411">
        <v>892.86099999999999</v>
      </c>
      <c r="F179" s="412">
        <f>-892.861</f>
        <v>-892.86099999999999</v>
      </c>
      <c r="G179" s="397">
        <f>E179+F179</f>
        <v>0</v>
      </c>
      <c r="H179" s="397"/>
      <c r="I179" s="371">
        <f t="shared" ref="I179:I192" si="238">G179-H179</f>
        <v>0</v>
      </c>
      <c r="J179" s="399" t="e">
        <f t="shared" ref="J179:J192" si="239">H179/G179</f>
        <v>#DIV/0!</v>
      </c>
      <c r="K179" s="901">
        <f t="shared" ref="K179" si="240">E179+E180</f>
        <v>939.84699999999998</v>
      </c>
      <c r="L179" s="901">
        <f t="shared" ref="L179" si="241">F179+F180</f>
        <v>-939.84699999999998</v>
      </c>
      <c r="M179" s="901">
        <f t="shared" si="189"/>
        <v>0</v>
      </c>
      <c r="N179" s="901">
        <f>H179+H180</f>
        <v>0</v>
      </c>
      <c r="O179" s="901">
        <f t="shared" si="205"/>
        <v>0</v>
      </c>
      <c r="P179" s="886" t="e">
        <f t="shared" ref="P179" si="242">N179/M179</f>
        <v>#DIV/0!</v>
      </c>
    </row>
    <row r="180" spans="1:16" ht="17.25" customHeight="1">
      <c r="A180" s="998"/>
      <c r="B180" s="997"/>
      <c r="C180" s="96">
        <v>42278</v>
      </c>
      <c r="D180" s="138">
        <v>42369</v>
      </c>
      <c r="E180" s="413">
        <v>46.985999999999997</v>
      </c>
      <c r="F180" s="414">
        <f>-46.986</f>
        <v>-46.985999999999997</v>
      </c>
      <c r="G180" s="400">
        <f>E180+F180+I179</f>
        <v>0</v>
      </c>
      <c r="H180" s="400"/>
      <c r="I180" s="374">
        <f t="shared" si="238"/>
        <v>0</v>
      </c>
      <c r="J180" s="402" t="e">
        <f t="shared" si="239"/>
        <v>#DIV/0!</v>
      </c>
      <c r="K180" s="902"/>
      <c r="L180" s="902"/>
      <c r="M180" s="902"/>
      <c r="N180" s="902"/>
      <c r="O180" s="902"/>
      <c r="P180" s="887"/>
    </row>
    <row r="181" spans="1:16" ht="17.25" customHeight="1">
      <c r="A181" s="998"/>
      <c r="B181" s="997" t="s">
        <v>61</v>
      </c>
      <c r="C181" s="95">
        <v>42005</v>
      </c>
      <c r="D181" s="136">
        <v>42277</v>
      </c>
      <c r="E181" s="411">
        <v>525.79</v>
      </c>
      <c r="F181" s="412">
        <f>-525.79</f>
        <v>-525.79</v>
      </c>
      <c r="G181" s="397">
        <f>E181+F181</f>
        <v>0</v>
      </c>
      <c r="H181" s="397"/>
      <c r="I181" s="371">
        <f t="shared" si="238"/>
        <v>0</v>
      </c>
      <c r="J181" s="399" t="e">
        <f t="shared" si="239"/>
        <v>#DIV/0!</v>
      </c>
      <c r="K181" s="901">
        <f t="shared" ref="K181" si="243">E181+E182</f>
        <v>553.45899999999995</v>
      </c>
      <c r="L181" s="901">
        <f t="shared" ref="L181" si="244">F181+F182</f>
        <v>-553.45899999999995</v>
      </c>
      <c r="M181" s="901">
        <f t="shared" si="189"/>
        <v>0</v>
      </c>
      <c r="N181" s="901">
        <f>H181+H182</f>
        <v>0</v>
      </c>
      <c r="O181" s="901">
        <f t="shared" si="205"/>
        <v>0</v>
      </c>
      <c r="P181" s="886" t="e">
        <f t="shared" ref="P181" si="245">N181/M181</f>
        <v>#DIV/0!</v>
      </c>
    </row>
    <row r="182" spans="1:16" ht="17.25" customHeight="1">
      <c r="A182" s="998"/>
      <c r="B182" s="997"/>
      <c r="C182" s="96">
        <v>42278</v>
      </c>
      <c r="D182" s="138">
        <v>42369</v>
      </c>
      <c r="E182" s="413">
        <v>27.669</v>
      </c>
      <c r="F182" s="414">
        <f>-27.669</f>
        <v>-27.669</v>
      </c>
      <c r="G182" s="400">
        <f>E182+F182+I181</f>
        <v>0</v>
      </c>
      <c r="H182" s="400"/>
      <c r="I182" s="374">
        <f t="shared" si="238"/>
        <v>0</v>
      </c>
      <c r="J182" s="402" t="e">
        <f t="shared" si="239"/>
        <v>#DIV/0!</v>
      </c>
      <c r="K182" s="902"/>
      <c r="L182" s="902"/>
      <c r="M182" s="902"/>
      <c r="N182" s="902"/>
      <c r="O182" s="902"/>
      <c r="P182" s="887"/>
    </row>
    <row r="183" spans="1:16" ht="17.25" customHeight="1">
      <c r="A183" s="998"/>
      <c r="B183" s="997" t="s">
        <v>22</v>
      </c>
      <c r="C183" s="95">
        <v>42005</v>
      </c>
      <c r="D183" s="136">
        <v>42277</v>
      </c>
      <c r="E183" s="411">
        <v>68.745000000000005</v>
      </c>
      <c r="F183" s="412"/>
      <c r="G183" s="397">
        <f>E183+F183</f>
        <v>68.745000000000005</v>
      </c>
      <c r="H183" s="397"/>
      <c r="I183" s="371">
        <f t="shared" si="238"/>
        <v>68.745000000000005</v>
      </c>
      <c r="J183" s="399">
        <f t="shared" si="239"/>
        <v>0</v>
      </c>
      <c r="K183" s="901">
        <f t="shared" ref="K183" si="246">E183+E184</f>
        <v>72.363</v>
      </c>
      <c r="L183" s="901">
        <f t="shared" ref="L183" si="247">F183+F184</f>
        <v>0</v>
      </c>
      <c r="M183" s="901">
        <f t="shared" si="189"/>
        <v>72.363</v>
      </c>
      <c r="N183" s="901">
        <f>H183+H184</f>
        <v>0</v>
      </c>
      <c r="O183" s="901">
        <f t="shared" si="205"/>
        <v>72.363</v>
      </c>
      <c r="P183" s="886">
        <f t="shared" ref="P183" si="248">N183/M183</f>
        <v>0</v>
      </c>
    </row>
    <row r="184" spans="1:16" ht="17.25" customHeight="1">
      <c r="A184" s="998"/>
      <c r="B184" s="997"/>
      <c r="C184" s="96">
        <v>42278</v>
      </c>
      <c r="D184" s="138">
        <v>42369</v>
      </c>
      <c r="E184" s="413">
        <v>3.6179999999999999</v>
      </c>
      <c r="F184" s="414"/>
      <c r="G184" s="400">
        <f>E184+F184+I183</f>
        <v>72.363</v>
      </c>
      <c r="H184" s="400"/>
      <c r="I184" s="374">
        <f t="shared" si="238"/>
        <v>72.363</v>
      </c>
      <c r="J184" s="402">
        <f t="shared" si="239"/>
        <v>0</v>
      </c>
      <c r="K184" s="902"/>
      <c r="L184" s="902"/>
      <c r="M184" s="902"/>
      <c r="N184" s="902"/>
      <c r="O184" s="902"/>
      <c r="P184" s="887"/>
    </row>
    <row r="185" spans="1:16" ht="17.25" customHeight="1">
      <c r="A185" s="998"/>
      <c r="B185" s="997" t="s">
        <v>292</v>
      </c>
      <c r="C185" s="95">
        <v>42005</v>
      </c>
      <c r="D185" s="136">
        <v>42277</v>
      </c>
      <c r="E185" s="411">
        <v>1070.3869999999999</v>
      </c>
      <c r="F185" s="412">
        <f>-1070.387</f>
        <v>-1070.3869999999999</v>
      </c>
      <c r="G185" s="397">
        <f>E185+F185</f>
        <v>0</v>
      </c>
      <c r="H185" s="397"/>
      <c r="I185" s="371">
        <f t="shared" si="238"/>
        <v>0</v>
      </c>
      <c r="J185" s="399" t="e">
        <f t="shared" si="239"/>
        <v>#DIV/0!</v>
      </c>
      <c r="K185" s="901">
        <f t="shared" ref="K185" si="249">E185+E186</f>
        <v>1126.7149999999999</v>
      </c>
      <c r="L185" s="901">
        <f t="shared" ref="L185" si="250">F185+F186</f>
        <v>-1126.7149999999999</v>
      </c>
      <c r="M185" s="901">
        <f t="shared" si="189"/>
        <v>0</v>
      </c>
      <c r="N185" s="901">
        <f>H185+H186</f>
        <v>0</v>
      </c>
      <c r="O185" s="901">
        <f t="shared" si="205"/>
        <v>0</v>
      </c>
      <c r="P185" s="886" t="e">
        <f>N185/M185</f>
        <v>#DIV/0!</v>
      </c>
    </row>
    <row r="186" spans="1:16" ht="17.25" customHeight="1">
      <c r="A186" s="998"/>
      <c r="B186" s="997"/>
      <c r="C186" s="96">
        <v>42278</v>
      </c>
      <c r="D186" s="138">
        <v>42369</v>
      </c>
      <c r="E186" s="413">
        <v>56.328000000000003</v>
      </c>
      <c r="F186" s="414">
        <f>-56.328</f>
        <v>-56.328000000000003</v>
      </c>
      <c r="G186" s="400">
        <f>E186+F186+I185</f>
        <v>0</v>
      </c>
      <c r="H186" s="400"/>
      <c r="I186" s="374">
        <f t="shared" si="238"/>
        <v>0</v>
      </c>
      <c r="J186" s="402" t="e">
        <f t="shared" si="239"/>
        <v>#DIV/0!</v>
      </c>
      <c r="K186" s="902"/>
      <c r="L186" s="902"/>
      <c r="M186" s="902"/>
      <c r="N186" s="902"/>
      <c r="O186" s="902"/>
      <c r="P186" s="887"/>
    </row>
    <row r="187" spans="1:16" ht="17.25" customHeight="1">
      <c r="A187" s="998"/>
      <c r="B187" s="997"/>
      <c r="C187" s="95">
        <v>42005</v>
      </c>
      <c r="D187" s="136">
        <v>42277</v>
      </c>
      <c r="E187" s="411"/>
      <c r="F187" s="412"/>
      <c r="G187" s="397">
        <f>E187+F187</f>
        <v>0</v>
      </c>
      <c r="H187" s="397"/>
      <c r="I187" s="371">
        <f t="shared" si="238"/>
        <v>0</v>
      </c>
      <c r="J187" s="399" t="e">
        <f t="shared" si="239"/>
        <v>#DIV/0!</v>
      </c>
      <c r="K187" s="901">
        <f t="shared" ref="K187" si="251">E187+E188</f>
        <v>0</v>
      </c>
      <c r="L187" s="901">
        <f t="shared" ref="L187" si="252">F187+F188</f>
        <v>0</v>
      </c>
      <c r="M187" s="901"/>
      <c r="N187" s="901">
        <f>H187+H188</f>
        <v>0</v>
      </c>
      <c r="O187" s="901">
        <f>K187-N187</f>
        <v>0</v>
      </c>
      <c r="P187" s="886" t="e">
        <f>N187/K187</f>
        <v>#DIV/0!</v>
      </c>
    </row>
    <row r="188" spans="1:16" ht="17.25" customHeight="1">
      <c r="A188" s="998"/>
      <c r="B188" s="997"/>
      <c r="C188" s="96">
        <v>42278</v>
      </c>
      <c r="D188" s="138">
        <v>42369</v>
      </c>
      <c r="E188" s="413"/>
      <c r="F188" s="414"/>
      <c r="G188" s="400">
        <f>E188+F188+I187</f>
        <v>0</v>
      </c>
      <c r="H188" s="400"/>
      <c r="I188" s="374">
        <f t="shared" si="238"/>
        <v>0</v>
      </c>
      <c r="J188" s="402" t="e">
        <f t="shared" si="239"/>
        <v>#DIV/0!</v>
      </c>
      <c r="K188" s="902"/>
      <c r="L188" s="902"/>
      <c r="M188" s="902"/>
      <c r="N188" s="902"/>
      <c r="O188" s="902"/>
      <c r="P188" s="887"/>
    </row>
    <row r="189" spans="1:16" ht="17.25" customHeight="1">
      <c r="A189" s="998"/>
      <c r="B189" s="997"/>
      <c r="C189" s="95">
        <v>42005</v>
      </c>
      <c r="D189" s="136">
        <v>42277</v>
      </c>
      <c r="E189" s="411"/>
      <c r="F189" s="412"/>
      <c r="G189" s="397">
        <f>E189+F189</f>
        <v>0</v>
      </c>
      <c r="H189" s="397"/>
      <c r="I189" s="371">
        <f t="shared" si="238"/>
        <v>0</v>
      </c>
      <c r="J189" s="399" t="e">
        <f t="shared" si="239"/>
        <v>#DIV/0!</v>
      </c>
      <c r="K189" s="901">
        <f t="shared" ref="K189" si="253">E189+E190</f>
        <v>0</v>
      </c>
      <c r="L189" s="901">
        <f t="shared" ref="L189" si="254">F189+F190</f>
        <v>0</v>
      </c>
      <c r="M189" s="901"/>
      <c r="N189" s="901">
        <f>H189+H190</f>
        <v>0</v>
      </c>
      <c r="O189" s="901">
        <f>K189-N189</f>
        <v>0</v>
      </c>
      <c r="P189" s="886" t="e">
        <f>N189/K189</f>
        <v>#DIV/0!</v>
      </c>
    </row>
    <row r="190" spans="1:16" ht="17.25" customHeight="1">
      <c r="A190" s="998"/>
      <c r="B190" s="997"/>
      <c r="C190" s="96">
        <v>42278</v>
      </c>
      <c r="D190" s="138">
        <v>42369</v>
      </c>
      <c r="E190" s="413"/>
      <c r="F190" s="414"/>
      <c r="G190" s="400">
        <f>E190+F190+I189</f>
        <v>0</v>
      </c>
      <c r="H190" s="400"/>
      <c r="I190" s="374">
        <f t="shared" si="238"/>
        <v>0</v>
      </c>
      <c r="J190" s="402" t="e">
        <f t="shared" si="239"/>
        <v>#DIV/0!</v>
      </c>
      <c r="K190" s="902"/>
      <c r="L190" s="902"/>
      <c r="M190" s="902"/>
      <c r="N190" s="902"/>
      <c r="O190" s="902"/>
      <c r="P190" s="887"/>
    </row>
    <row r="191" spans="1:16" ht="17.25" customHeight="1">
      <c r="A191" s="998"/>
      <c r="B191" s="997"/>
      <c r="C191" s="95">
        <v>42005</v>
      </c>
      <c r="D191" s="136">
        <v>42277</v>
      </c>
      <c r="E191" s="411"/>
      <c r="F191" s="412"/>
      <c r="G191" s="397">
        <f>E191+F191</f>
        <v>0</v>
      </c>
      <c r="H191" s="397"/>
      <c r="I191" s="371">
        <f t="shared" si="238"/>
        <v>0</v>
      </c>
      <c r="J191" s="399" t="e">
        <f t="shared" si="239"/>
        <v>#DIV/0!</v>
      </c>
      <c r="K191" s="901">
        <f t="shared" ref="K191" si="255">E191+E192</f>
        <v>0</v>
      </c>
      <c r="L191" s="901">
        <f t="shared" ref="L191" si="256">F191+F192</f>
        <v>0</v>
      </c>
      <c r="M191" s="901"/>
      <c r="N191" s="901">
        <f>H191+H192</f>
        <v>0</v>
      </c>
      <c r="O191" s="901">
        <f>K191-N191</f>
        <v>0</v>
      </c>
      <c r="P191" s="886" t="e">
        <f>N191/K191</f>
        <v>#DIV/0!</v>
      </c>
    </row>
    <row r="192" spans="1:16" ht="17.25" customHeight="1">
      <c r="A192" s="998"/>
      <c r="B192" s="997"/>
      <c r="C192" s="96">
        <v>42278</v>
      </c>
      <c r="D192" s="138">
        <v>42369</v>
      </c>
      <c r="E192" s="413"/>
      <c r="F192" s="414"/>
      <c r="G192" s="400">
        <f>E192+F192+I191</f>
        <v>0</v>
      </c>
      <c r="H192" s="400"/>
      <c r="I192" s="374">
        <f t="shared" si="238"/>
        <v>0</v>
      </c>
      <c r="J192" s="402" t="e">
        <f t="shared" si="239"/>
        <v>#DIV/0!</v>
      </c>
      <c r="K192" s="902"/>
      <c r="L192" s="902"/>
      <c r="M192" s="902"/>
      <c r="N192" s="902"/>
      <c r="O192" s="902"/>
      <c r="P192" s="887"/>
    </row>
    <row r="193" spans="1:16" ht="17.25" customHeight="1">
      <c r="A193" s="304"/>
      <c r="B193" s="317"/>
      <c r="C193" s="306"/>
      <c r="D193" s="306"/>
      <c r="E193" s="406"/>
      <c r="F193" s="415"/>
      <c r="G193" s="406"/>
      <c r="H193" s="406"/>
      <c r="I193" s="377"/>
      <c r="J193" s="406"/>
      <c r="K193" s="571"/>
      <c r="L193" s="571"/>
      <c r="M193" s="571"/>
      <c r="N193" s="571"/>
      <c r="O193" s="571"/>
      <c r="P193" s="611"/>
    </row>
    <row r="194" spans="1:16" ht="17.25" customHeight="1">
      <c r="A194" s="55"/>
      <c r="B194" s="55"/>
      <c r="C194" s="307"/>
      <c r="D194" s="307"/>
      <c r="E194" s="379"/>
      <c r="F194" s="379"/>
      <c r="G194" s="379"/>
      <c r="H194" s="379"/>
      <c r="I194" s="378"/>
      <c r="J194" s="379"/>
      <c r="K194" s="569"/>
      <c r="L194" s="569"/>
      <c r="M194" s="569"/>
      <c r="N194" s="569"/>
      <c r="O194" s="569"/>
      <c r="P194" s="616"/>
    </row>
    <row r="195" spans="1:16" ht="17.25" customHeight="1">
      <c r="A195" s="994" t="s">
        <v>380</v>
      </c>
      <c r="B195" s="914" t="s">
        <v>56</v>
      </c>
      <c r="C195" s="95">
        <v>42005</v>
      </c>
      <c r="D195" s="136">
        <v>42277</v>
      </c>
      <c r="E195" s="397">
        <v>2814.1729999999998</v>
      </c>
      <c r="F195" s="397">
        <f>210+713+1238.955+58.159-478.337+213.79+100</f>
        <v>2055.567</v>
      </c>
      <c r="G195" s="397">
        <f>E195+F195</f>
        <v>4869.74</v>
      </c>
      <c r="H195" s="397">
        <v>4915.2640000000001</v>
      </c>
      <c r="I195" s="371">
        <f>G195-H195</f>
        <v>-45.524000000000342</v>
      </c>
      <c r="J195" s="397">
        <f>H195/G195</f>
        <v>1.0093483430326877</v>
      </c>
      <c r="K195" s="908">
        <f>E195+E196</f>
        <v>2962.2759999999998</v>
      </c>
      <c r="L195" s="908">
        <f>F195+F196</f>
        <v>2055.567</v>
      </c>
      <c r="M195" s="908">
        <f>K195+L195</f>
        <v>5017.8429999999998</v>
      </c>
      <c r="N195" s="908">
        <f>H195+H196</f>
        <v>5015.2640000000001</v>
      </c>
      <c r="O195" s="908">
        <f>M195-N195</f>
        <v>2.5789999999997235</v>
      </c>
      <c r="P195" s="903">
        <f>N195/M195</f>
        <v>0.99948603413857318</v>
      </c>
    </row>
    <row r="196" spans="1:16" ht="17.25" customHeight="1">
      <c r="A196" s="995"/>
      <c r="B196" s="915"/>
      <c r="C196" s="96">
        <v>42278</v>
      </c>
      <c r="D196" s="138">
        <v>42369</v>
      </c>
      <c r="E196" s="400">
        <v>148.10300000000001</v>
      </c>
      <c r="F196" s="401"/>
      <c r="G196" s="400">
        <f>E196+F196+I195</f>
        <v>102.57899999999967</v>
      </c>
      <c r="H196" s="400">
        <v>100</v>
      </c>
      <c r="I196" s="374">
        <f t="shared" ref="I196:I240" si="257">G196-H196</f>
        <v>2.5789999999996667</v>
      </c>
      <c r="J196" s="400">
        <f t="shared" ref="J196:J240" si="258">H196/G196</f>
        <v>0.97485840181713923</v>
      </c>
      <c r="K196" s="917"/>
      <c r="L196" s="917"/>
      <c r="M196" s="917"/>
      <c r="N196" s="917"/>
      <c r="O196" s="917"/>
      <c r="P196" s="904"/>
    </row>
    <row r="197" spans="1:16" ht="17.25" customHeight="1">
      <c r="A197" s="995"/>
      <c r="B197" s="975" t="s">
        <v>50</v>
      </c>
      <c r="C197" s="95">
        <v>42005</v>
      </c>
      <c r="D197" s="136">
        <v>42277</v>
      </c>
      <c r="E197" s="397">
        <v>25.372</v>
      </c>
      <c r="F197" s="397"/>
      <c r="G197" s="397">
        <f>E197+F197</f>
        <v>25.372</v>
      </c>
      <c r="H197" s="397"/>
      <c r="I197" s="371">
        <f t="shared" si="257"/>
        <v>25.372</v>
      </c>
      <c r="J197" s="397">
        <f t="shared" si="258"/>
        <v>0</v>
      </c>
      <c r="K197" s="908">
        <f t="shared" ref="K197" si="259">E197+E198</f>
        <v>26.707000000000001</v>
      </c>
      <c r="L197" s="908">
        <f t="shared" ref="L197" si="260">F197+F198</f>
        <v>0</v>
      </c>
      <c r="M197" s="908">
        <f t="shared" ref="M197" si="261">K197+L197</f>
        <v>26.707000000000001</v>
      </c>
      <c r="N197" s="908">
        <f>H197+H198</f>
        <v>0</v>
      </c>
      <c r="O197" s="908">
        <f t="shared" ref="O197" si="262">M197-N197</f>
        <v>26.707000000000001</v>
      </c>
      <c r="P197" s="886">
        <f t="shared" ref="P197" si="263">N197/M197</f>
        <v>0</v>
      </c>
    </row>
    <row r="198" spans="1:16" ht="17.25" customHeight="1">
      <c r="A198" s="995"/>
      <c r="B198" s="976"/>
      <c r="C198" s="96">
        <v>42278</v>
      </c>
      <c r="D198" s="138">
        <v>42369</v>
      </c>
      <c r="E198" s="400">
        <v>1.335</v>
      </c>
      <c r="F198" s="400"/>
      <c r="G198" s="400">
        <f>E198+F198+I197</f>
        <v>26.707000000000001</v>
      </c>
      <c r="H198" s="400"/>
      <c r="I198" s="374">
        <f t="shared" si="257"/>
        <v>26.707000000000001</v>
      </c>
      <c r="J198" s="400">
        <f t="shared" si="258"/>
        <v>0</v>
      </c>
      <c r="K198" s="917"/>
      <c r="L198" s="917"/>
      <c r="M198" s="917"/>
      <c r="N198" s="917"/>
      <c r="O198" s="917"/>
      <c r="P198" s="887"/>
    </row>
    <row r="199" spans="1:16" ht="17.25" customHeight="1">
      <c r="A199" s="995"/>
      <c r="B199" s="914" t="s">
        <v>57</v>
      </c>
      <c r="C199" s="95">
        <v>42005</v>
      </c>
      <c r="D199" s="136">
        <v>42277</v>
      </c>
      <c r="E199" s="397">
        <v>22.951000000000001</v>
      </c>
      <c r="F199" s="398">
        <f>-22.951</f>
        <v>-22.951000000000001</v>
      </c>
      <c r="G199" s="397">
        <f>E199+F199</f>
        <v>0</v>
      </c>
      <c r="H199" s="397"/>
      <c r="I199" s="371">
        <f t="shared" si="257"/>
        <v>0</v>
      </c>
      <c r="J199" s="397" t="e">
        <f t="shared" si="258"/>
        <v>#DIV/0!</v>
      </c>
      <c r="K199" s="908">
        <f t="shared" ref="K199" si="264">E199+E200</f>
        <v>24.158999999999999</v>
      </c>
      <c r="L199" s="908">
        <f t="shared" ref="L199" si="265">F199+F200</f>
        <v>-24.158999999999999</v>
      </c>
      <c r="M199" s="908">
        <f t="shared" ref="M199" si="266">K199+L199</f>
        <v>0</v>
      </c>
      <c r="N199" s="908">
        <f>H199+H200</f>
        <v>0</v>
      </c>
      <c r="O199" s="908">
        <f t="shared" ref="O199" si="267">M199-N199</f>
        <v>0</v>
      </c>
      <c r="P199" s="886" t="e">
        <f t="shared" ref="P199" si="268">N199/M199</f>
        <v>#DIV/0!</v>
      </c>
    </row>
    <row r="200" spans="1:16" ht="17.25" customHeight="1">
      <c r="A200" s="995"/>
      <c r="B200" s="915"/>
      <c r="C200" s="96">
        <v>42278</v>
      </c>
      <c r="D200" s="138">
        <v>42369</v>
      </c>
      <c r="E200" s="400">
        <v>1.208</v>
      </c>
      <c r="F200" s="401">
        <f>-1.208</f>
        <v>-1.208</v>
      </c>
      <c r="G200" s="400">
        <f>E200+F200+I199</f>
        <v>0</v>
      </c>
      <c r="H200" s="400"/>
      <c r="I200" s="374">
        <f t="shared" si="257"/>
        <v>0</v>
      </c>
      <c r="J200" s="400" t="e">
        <f t="shared" si="258"/>
        <v>#DIV/0!</v>
      </c>
      <c r="K200" s="917"/>
      <c r="L200" s="917"/>
      <c r="M200" s="917"/>
      <c r="N200" s="917"/>
      <c r="O200" s="917"/>
      <c r="P200" s="887"/>
    </row>
    <row r="201" spans="1:16" ht="17.25" customHeight="1">
      <c r="A201" s="995"/>
      <c r="B201" s="916" t="s">
        <v>21</v>
      </c>
      <c r="C201" s="95">
        <v>42005</v>
      </c>
      <c r="D201" s="136">
        <v>42277</v>
      </c>
      <c r="E201" s="403">
        <v>202.423</v>
      </c>
      <c r="F201" s="403"/>
      <c r="G201" s="403">
        <f>E201+F201</f>
        <v>202.423</v>
      </c>
      <c r="H201" s="403"/>
      <c r="I201" s="383">
        <f t="shared" si="257"/>
        <v>202.423</v>
      </c>
      <c r="J201" s="403">
        <f t="shared" si="258"/>
        <v>0</v>
      </c>
      <c r="K201" s="908">
        <f t="shared" ref="K201" si="269">E201+E202</f>
        <v>213.07599999999999</v>
      </c>
      <c r="L201" s="908">
        <f t="shared" ref="L201" si="270">F201+F202</f>
        <v>0</v>
      </c>
      <c r="M201" s="908">
        <f t="shared" ref="M201" si="271">K201+L201</f>
        <v>213.07599999999999</v>
      </c>
      <c r="N201" s="909">
        <f>H201+H202</f>
        <v>0</v>
      </c>
      <c r="O201" s="908">
        <f t="shared" ref="O201" si="272">M201-N201</f>
        <v>213.07599999999999</v>
      </c>
      <c r="P201" s="886">
        <f t="shared" ref="P201" si="273">N201/M201</f>
        <v>0</v>
      </c>
    </row>
    <row r="202" spans="1:16" ht="17.25" customHeight="1">
      <c r="A202" s="995"/>
      <c r="B202" s="915"/>
      <c r="C202" s="96">
        <v>42278</v>
      </c>
      <c r="D202" s="138">
        <v>42369</v>
      </c>
      <c r="E202" s="400">
        <v>10.653</v>
      </c>
      <c r="F202" s="400"/>
      <c r="G202" s="400">
        <f>E202+F202+I201</f>
        <v>213.07599999999999</v>
      </c>
      <c r="H202" s="400"/>
      <c r="I202" s="374">
        <f t="shared" si="257"/>
        <v>213.07599999999999</v>
      </c>
      <c r="J202" s="400">
        <f t="shared" si="258"/>
        <v>0</v>
      </c>
      <c r="K202" s="917"/>
      <c r="L202" s="917"/>
      <c r="M202" s="917"/>
      <c r="N202" s="917"/>
      <c r="O202" s="917"/>
      <c r="P202" s="887"/>
    </row>
    <row r="203" spans="1:16" ht="17.25" customHeight="1">
      <c r="A203" s="995"/>
      <c r="B203" s="914" t="s">
        <v>10</v>
      </c>
      <c r="C203" s="95">
        <v>42005</v>
      </c>
      <c r="D203" s="136">
        <v>42277</v>
      </c>
      <c r="E203" s="397">
        <v>6098.4610000000002</v>
      </c>
      <c r="F203" s="397"/>
      <c r="G203" s="397">
        <f>E203+F203</f>
        <v>6098.4610000000002</v>
      </c>
      <c r="H203" s="397">
        <v>6181.2879999999996</v>
      </c>
      <c r="I203" s="371">
        <f t="shared" si="257"/>
        <v>-82.826999999999316</v>
      </c>
      <c r="J203" s="397">
        <f t="shared" si="258"/>
        <v>1.0135816232980746</v>
      </c>
      <c r="K203" s="908">
        <f t="shared" ref="K203" si="274">E203+E204</f>
        <v>6419.4070000000002</v>
      </c>
      <c r="L203" s="908">
        <f t="shared" ref="L203" si="275">F203+F204</f>
        <v>-200</v>
      </c>
      <c r="M203" s="908">
        <f t="shared" ref="M203" si="276">K203+L203</f>
        <v>6219.4070000000002</v>
      </c>
      <c r="N203" s="908">
        <f>H203+H204</f>
        <v>6181.2879999999996</v>
      </c>
      <c r="O203" s="908">
        <f t="shared" ref="O203" si="277">M203-N203</f>
        <v>38.119000000000597</v>
      </c>
      <c r="P203" s="903">
        <f t="shared" ref="P203" si="278">N203/M203</f>
        <v>0.9938709590801823</v>
      </c>
    </row>
    <row r="204" spans="1:16" ht="17.25" customHeight="1">
      <c r="A204" s="995"/>
      <c r="B204" s="916"/>
      <c r="C204" s="96">
        <v>42278</v>
      </c>
      <c r="D204" s="138">
        <v>42369</v>
      </c>
      <c r="E204" s="403">
        <v>320.94600000000003</v>
      </c>
      <c r="F204" s="404">
        <f>-200</f>
        <v>-200</v>
      </c>
      <c r="G204" s="403">
        <f>E204+F204+I203</f>
        <v>38.11900000000071</v>
      </c>
      <c r="H204" s="403"/>
      <c r="I204" s="383">
        <f t="shared" si="257"/>
        <v>38.11900000000071</v>
      </c>
      <c r="J204" s="403">
        <f t="shared" si="258"/>
        <v>0</v>
      </c>
      <c r="K204" s="917"/>
      <c r="L204" s="917"/>
      <c r="M204" s="917"/>
      <c r="N204" s="909"/>
      <c r="O204" s="917"/>
      <c r="P204" s="904"/>
    </row>
    <row r="205" spans="1:16" ht="17.25" customHeight="1">
      <c r="A205" s="995"/>
      <c r="B205" s="914" t="s">
        <v>8</v>
      </c>
      <c r="C205" s="95">
        <v>42005</v>
      </c>
      <c r="D205" s="136">
        <v>42277</v>
      </c>
      <c r="E205" s="397">
        <v>3150.24</v>
      </c>
      <c r="F205" s="397"/>
      <c r="G205" s="397">
        <f>E205+F205</f>
        <v>3150.24</v>
      </c>
      <c r="H205" s="397">
        <v>3309.7350000000001</v>
      </c>
      <c r="I205" s="371">
        <f t="shared" si="257"/>
        <v>-159.49500000000035</v>
      </c>
      <c r="J205" s="397">
        <f t="shared" si="258"/>
        <v>1.0506294758494592</v>
      </c>
      <c r="K205" s="908">
        <f t="shared" ref="K205" si="279">E205+E206</f>
        <v>3316.0289999999995</v>
      </c>
      <c r="L205" s="908">
        <f t="shared" ref="L205" si="280">F205+F206</f>
        <v>0</v>
      </c>
      <c r="M205" s="908">
        <f t="shared" ref="M205" si="281">K205+L205</f>
        <v>3316.0289999999995</v>
      </c>
      <c r="N205" s="908">
        <f>H205+H206</f>
        <v>3309.7350000000001</v>
      </c>
      <c r="O205" s="908">
        <f>M205-N205</f>
        <v>6.2939999999994143</v>
      </c>
      <c r="P205" s="903">
        <f t="shared" ref="P205" si="282">N205/M205</f>
        <v>0.99810194663556939</v>
      </c>
    </row>
    <row r="206" spans="1:16" ht="17.25" customHeight="1">
      <c r="A206" s="995"/>
      <c r="B206" s="915"/>
      <c r="C206" s="96">
        <v>42278</v>
      </c>
      <c r="D206" s="138">
        <v>42369</v>
      </c>
      <c r="E206" s="400">
        <v>165.78899999999999</v>
      </c>
      <c r="F206" s="400"/>
      <c r="G206" s="400">
        <f>E206+F206+I205</f>
        <v>6.2939999999996417</v>
      </c>
      <c r="H206" s="400"/>
      <c r="I206" s="374">
        <f t="shared" si="257"/>
        <v>6.2939999999996417</v>
      </c>
      <c r="J206" s="400">
        <f t="shared" si="258"/>
        <v>0</v>
      </c>
      <c r="K206" s="917"/>
      <c r="L206" s="917"/>
      <c r="M206" s="917"/>
      <c r="N206" s="917"/>
      <c r="O206" s="917"/>
      <c r="P206" s="904"/>
    </row>
    <row r="207" spans="1:16" ht="17.25" customHeight="1">
      <c r="A207" s="995"/>
      <c r="B207" s="914" t="s">
        <v>16</v>
      </c>
      <c r="C207" s="95">
        <v>42005</v>
      </c>
      <c r="D207" s="136">
        <v>42277</v>
      </c>
      <c r="E207" s="403">
        <v>142.572</v>
      </c>
      <c r="F207" s="403">
        <f>-142.572</f>
        <v>-142.572</v>
      </c>
      <c r="G207" s="397">
        <f>E207+F207</f>
        <v>0</v>
      </c>
      <c r="H207" s="403"/>
      <c r="I207" s="371">
        <f t="shared" si="257"/>
        <v>0</v>
      </c>
      <c r="J207" s="397" t="e">
        <f t="shared" si="258"/>
        <v>#DIV/0!</v>
      </c>
      <c r="K207" s="908">
        <f t="shared" ref="K207" si="283">E207+E208</f>
        <v>150.07499999999999</v>
      </c>
      <c r="L207" s="908">
        <f t="shared" ref="L207" si="284">F207+F208</f>
        <v>-150.07499999999999</v>
      </c>
      <c r="M207" s="908">
        <f t="shared" ref="M207" si="285">K207+L207</f>
        <v>0</v>
      </c>
      <c r="N207" s="908">
        <f>H207+H208</f>
        <v>0</v>
      </c>
      <c r="O207" s="908">
        <f t="shared" ref="O207" si="286">M207-N207</f>
        <v>0</v>
      </c>
      <c r="P207" s="886" t="e">
        <f t="shared" ref="P207" si="287">N207/M207</f>
        <v>#DIV/0!</v>
      </c>
    </row>
    <row r="208" spans="1:16" ht="17.25" customHeight="1">
      <c r="A208" s="995"/>
      <c r="B208" s="915"/>
      <c r="C208" s="96">
        <v>42278</v>
      </c>
      <c r="D208" s="138">
        <v>42369</v>
      </c>
      <c r="E208" s="403">
        <v>7.5030000000000001</v>
      </c>
      <c r="F208" s="403">
        <f>-7.503</f>
        <v>-7.5030000000000001</v>
      </c>
      <c r="G208" s="400">
        <f>E208+F208+I207</f>
        <v>0</v>
      </c>
      <c r="H208" s="403"/>
      <c r="I208" s="374">
        <f t="shared" si="257"/>
        <v>0</v>
      </c>
      <c r="J208" s="400" t="e">
        <f t="shared" si="258"/>
        <v>#DIV/0!</v>
      </c>
      <c r="K208" s="917"/>
      <c r="L208" s="917"/>
      <c r="M208" s="917"/>
      <c r="N208" s="917"/>
      <c r="O208" s="917"/>
      <c r="P208" s="887"/>
    </row>
    <row r="209" spans="1:18" ht="17.25" customHeight="1">
      <c r="A209" s="995"/>
      <c r="B209" s="914" t="s">
        <v>293</v>
      </c>
      <c r="C209" s="95">
        <v>42005</v>
      </c>
      <c r="D209" s="136">
        <v>42277</v>
      </c>
      <c r="E209" s="397">
        <v>455.983</v>
      </c>
      <c r="F209" s="398">
        <f>-455.983</f>
        <v>-455.983</v>
      </c>
      <c r="G209" s="397">
        <f>E209+F209</f>
        <v>0</v>
      </c>
      <c r="H209" s="397"/>
      <c r="I209" s="371">
        <f t="shared" si="257"/>
        <v>0</v>
      </c>
      <c r="J209" s="397" t="e">
        <f t="shared" si="258"/>
        <v>#DIV/0!</v>
      </c>
      <c r="K209" s="908">
        <f t="shared" ref="K209" si="288">E209+E210</f>
        <v>479.98</v>
      </c>
      <c r="L209" s="908">
        <f t="shared" ref="L209:L239" si="289">F209+F210</f>
        <v>-479.98</v>
      </c>
      <c r="M209" s="908">
        <f t="shared" ref="M209" si="290">K209+L209</f>
        <v>0</v>
      </c>
      <c r="N209" s="908">
        <f>H209+H210</f>
        <v>0</v>
      </c>
      <c r="O209" s="908">
        <f t="shared" ref="O209" si="291">M209-N209</f>
        <v>0</v>
      </c>
      <c r="P209" s="886" t="e">
        <f t="shared" ref="P209" si="292">N209/M209</f>
        <v>#DIV/0!</v>
      </c>
    </row>
    <row r="210" spans="1:18" ht="17.25" customHeight="1">
      <c r="A210" s="995"/>
      <c r="B210" s="915"/>
      <c r="C210" s="96">
        <v>42278</v>
      </c>
      <c r="D210" s="138">
        <v>42369</v>
      </c>
      <c r="E210" s="400">
        <v>23.997</v>
      </c>
      <c r="F210" s="401">
        <f>-23.997</f>
        <v>-23.997</v>
      </c>
      <c r="G210" s="400">
        <f>E210+F210+I209</f>
        <v>0</v>
      </c>
      <c r="H210" s="400"/>
      <c r="I210" s="374">
        <f t="shared" si="257"/>
        <v>0</v>
      </c>
      <c r="J210" s="400" t="e">
        <f t="shared" si="258"/>
        <v>#DIV/0!</v>
      </c>
      <c r="K210" s="917"/>
      <c r="L210" s="917"/>
      <c r="M210" s="917"/>
      <c r="N210" s="917"/>
      <c r="O210" s="917"/>
      <c r="P210" s="887"/>
    </row>
    <row r="211" spans="1:18" ht="17.25" customHeight="1">
      <c r="A211" s="995"/>
      <c r="B211" s="916" t="s">
        <v>58</v>
      </c>
      <c r="C211" s="95">
        <v>42005</v>
      </c>
      <c r="D211" s="136">
        <v>42277</v>
      </c>
      <c r="E211" s="403">
        <v>455.983</v>
      </c>
      <c r="F211" s="407">
        <f>128.703-400.012</f>
        <v>-271.30899999999997</v>
      </c>
      <c r="G211" s="403">
        <f>E211+F211</f>
        <v>184.67400000000004</v>
      </c>
      <c r="H211" s="403">
        <v>142.27099999999999</v>
      </c>
      <c r="I211" s="383">
        <f t="shared" si="257"/>
        <v>42.403000000000048</v>
      </c>
      <c r="J211" s="403">
        <f t="shared" si="258"/>
        <v>0.77038998451325014</v>
      </c>
      <c r="K211" s="908">
        <f t="shared" ref="K211" si="293">E211+E212</f>
        <v>479.98</v>
      </c>
      <c r="L211" s="883">
        <f t="shared" si="289"/>
        <v>-264.53599999999994</v>
      </c>
      <c r="M211" s="908">
        <f t="shared" ref="M211" si="294">K211+L211</f>
        <v>215.44400000000007</v>
      </c>
      <c r="N211" s="909">
        <f>H211+H212</f>
        <v>202.92</v>
      </c>
      <c r="O211" s="908">
        <f t="shared" ref="O211" si="295">M211-N211</f>
        <v>12.524000000000086</v>
      </c>
      <c r="P211" s="903">
        <f t="shared" ref="P211" si="296">N211/M211</f>
        <v>0.94186888472178343</v>
      </c>
    </row>
    <row r="212" spans="1:18" ht="17.25" customHeight="1">
      <c r="A212" s="995"/>
      <c r="B212" s="915"/>
      <c r="C212" s="96">
        <v>42278</v>
      </c>
      <c r="D212" s="138">
        <v>42369</v>
      </c>
      <c r="E212" s="400">
        <v>23.997</v>
      </c>
      <c r="F212" s="409">
        <f>6.773</f>
        <v>6.7729999999999997</v>
      </c>
      <c r="G212" s="400">
        <f>E212+F212+I211</f>
        <v>73.173000000000044</v>
      </c>
      <c r="H212" s="400">
        <v>60.649000000000001</v>
      </c>
      <c r="I212" s="374">
        <f t="shared" si="257"/>
        <v>12.524000000000044</v>
      </c>
      <c r="J212" s="400">
        <f t="shared" si="258"/>
        <v>0.8288439725035186</v>
      </c>
      <c r="K212" s="917"/>
      <c r="L212" s="884"/>
      <c r="M212" s="917"/>
      <c r="N212" s="917"/>
      <c r="O212" s="917"/>
      <c r="P212" s="904"/>
    </row>
    <row r="213" spans="1:18" ht="17.25" customHeight="1">
      <c r="A213" s="995"/>
      <c r="B213" s="914" t="s">
        <v>18</v>
      </c>
      <c r="C213" s="95">
        <v>42005</v>
      </c>
      <c r="D213" s="136">
        <v>42277</v>
      </c>
      <c r="E213" s="397">
        <v>2.1749999999999998</v>
      </c>
      <c r="F213" s="397">
        <f>-2.175</f>
        <v>-2.1749999999999998</v>
      </c>
      <c r="G213" s="397">
        <f>E213+F213</f>
        <v>0</v>
      </c>
      <c r="H213" s="397"/>
      <c r="I213" s="371">
        <f t="shared" si="257"/>
        <v>0</v>
      </c>
      <c r="J213" s="397" t="e">
        <f t="shared" si="258"/>
        <v>#DIV/0!</v>
      </c>
      <c r="K213" s="908">
        <f t="shared" ref="K213" si="297">E213+E214</f>
        <v>2.2889999999999997</v>
      </c>
      <c r="L213" s="908">
        <f t="shared" si="289"/>
        <v>-2.2889999999999997</v>
      </c>
      <c r="M213" s="908">
        <f t="shared" ref="M213" si="298">K213+L213</f>
        <v>0</v>
      </c>
      <c r="N213" s="908">
        <f>H213+H214</f>
        <v>0</v>
      </c>
      <c r="O213" s="908">
        <f t="shared" ref="O213" si="299">M213-N213</f>
        <v>0</v>
      </c>
      <c r="P213" s="886" t="e">
        <f t="shared" ref="P213" si="300">N213/M213</f>
        <v>#DIV/0!</v>
      </c>
    </row>
    <row r="214" spans="1:18" ht="17.25" customHeight="1">
      <c r="A214" s="995"/>
      <c r="B214" s="915"/>
      <c r="C214" s="96">
        <v>42278</v>
      </c>
      <c r="D214" s="138">
        <v>42369</v>
      </c>
      <c r="E214" s="400">
        <v>0.114</v>
      </c>
      <c r="F214" s="400">
        <f>-0.114</f>
        <v>-0.114</v>
      </c>
      <c r="G214" s="400">
        <f>E214+F214+I213</f>
        <v>0</v>
      </c>
      <c r="H214" s="400"/>
      <c r="I214" s="374">
        <f t="shared" si="257"/>
        <v>0</v>
      </c>
      <c r="J214" s="400" t="e">
        <f t="shared" si="258"/>
        <v>#DIV/0!</v>
      </c>
      <c r="K214" s="917"/>
      <c r="L214" s="917"/>
      <c r="M214" s="917"/>
      <c r="N214" s="917"/>
      <c r="O214" s="917"/>
      <c r="P214" s="887"/>
      <c r="R214" s="682"/>
    </row>
    <row r="215" spans="1:18" ht="17.25" customHeight="1">
      <c r="A215" s="995"/>
      <c r="B215" s="914" t="s">
        <v>19</v>
      </c>
      <c r="C215" s="95">
        <v>42005</v>
      </c>
      <c r="D215" s="136">
        <v>42277</v>
      </c>
      <c r="E215" s="397">
        <v>6.4790000000000001</v>
      </c>
      <c r="F215" s="398">
        <f>-6.479</f>
        <v>-6.4790000000000001</v>
      </c>
      <c r="G215" s="397">
        <f>E215+F215</f>
        <v>0</v>
      </c>
      <c r="H215" s="397"/>
      <c r="I215" s="371">
        <f t="shared" si="257"/>
        <v>0</v>
      </c>
      <c r="J215" s="397" t="e">
        <f t="shared" si="258"/>
        <v>#DIV/0!</v>
      </c>
      <c r="K215" s="908">
        <f t="shared" ref="K215" si="301">E215+E216</f>
        <v>6.82</v>
      </c>
      <c r="L215" s="908">
        <f t="shared" si="289"/>
        <v>-6.82</v>
      </c>
      <c r="M215" s="908">
        <f t="shared" ref="M215:M239" si="302">K215+L215</f>
        <v>0</v>
      </c>
      <c r="N215" s="908">
        <f>H215+H216</f>
        <v>0</v>
      </c>
      <c r="O215" s="908">
        <f t="shared" ref="O215" si="303">M215-N215</f>
        <v>0</v>
      </c>
      <c r="P215" s="886" t="e">
        <f t="shared" ref="P215" si="304">N215/M215</f>
        <v>#DIV/0!</v>
      </c>
      <c r="R215" s="682"/>
    </row>
    <row r="216" spans="1:18" ht="17.25" customHeight="1">
      <c r="A216" s="995"/>
      <c r="B216" s="915"/>
      <c r="C216" s="96">
        <v>42278</v>
      </c>
      <c r="D216" s="138">
        <v>42369</v>
      </c>
      <c r="E216" s="400">
        <v>0.34100000000000003</v>
      </c>
      <c r="F216" s="401">
        <f>-0.341</f>
        <v>-0.34100000000000003</v>
      </c>
      <c r="G216" s="400">
        <f>E216+F216+I215</f>
        <v>0</v>
      </c>
      <c r="H216" s="400"/>
      <c r="I216" s="374">
        <f t="shared" si="257"/>
        <v>0</v>
      </c>
      <c r="J216" s="400" t="e">
        <f t="shared" si="258"/>
        <v>#DIV/0!</v>
      </c>
      <c r="K216" s="917"/>
      <c r="L216" s="917"/>
      <c r="M216" s="917"/>
      <c r="N216" s="917"/>
      <c r="O216" s="917"/>
      <c r="P216" s="887"/>
      <c r="R216" s="682"/>
    </row>
    <row r="217" spans="1:18" ht="17.25" customHeight="1">
      <c r="A217" s="995"/>
      <c r="B217" s="914" t="s">
        <v>53</v>
      </c>
      <c r="C217" s="95">
        <v>42005</v>
      </c>
      <c r="D217" s="136">
        <v>42277</v>
      </c>
      <c r="E217" s="397">
        <v>2401.2600000000002</v>
      </c>
      <c r="F217" s="407">
        <f>210+587+100+25+45-600-1600+1239.955+478.337-213.79</f>
        <v>271.50199999999995</v>
      </c>
      <c r="G217" s="397">
        <f>E217+F217</f>
        <v>2672.7620000000002</v>
      </c>
      <c r="H217" s="397">
        <v>2797.6959999999999</v>
      </c>
      <c r="I217" s="371">
        <f t="shared" si="257"/>
        <v>-124.93399999999974</v>
      </c>
      <c r="J217" s="397">
        <f t="shared" si="258"/>
        <v>1.046743406259143</v>
      </c>
      <c r="K217" s="908">
        <f t="shared" ref="K217" si="305">E217+E218</f>
        <v>2527.6320000000001</v>
      </c>
      <c r="L217" s="908">
        <f t="shared" si="289"/>
        <v>271.50199999999995</v>
      </c>
      <c r="M217" s="908">
        <f t="shared" si="302"/>
        <v>2799.134</v>
      </c>
      <c r="N217" s="908">
        <f>H217+H218</f>
        <v>2797.6959999999999</v>
      </c>
      <c r="O217" s="908">
        <f t="shared" ref="O217" si="306">M217-N217</f>
        <v>1.4380000000001019</v>
      </c>
      <c r="P217" s="903">
        <f t="shared" ref="P217" si="307">N217/M217</f>
        <v>0.99948626968198018</v>
      </c>
      <c r="R217" s="682"/>
    </row>
    <row r="218" spans="1:18" ht="17.25" customHeight="1">
      <c r="A218" s="995"/>
      <c r="B218" s="915"/>
      <c r="C218" s="96">
        <v>42278</v>
      </c>
      <c r="D218" s="138">
        <v>42369</v>
      </c>
      <c r="E218" s="400">
        <v>126.372</v>
      </c>
      <c r="F218" s="400"/>
      <c r="G218" s="400">
        <f>E218+F218+I217</f>
        <v>1.4380000000002582</v>
      </c>
      <c r="H218" s="400"/>
      <c r="I218" s="374">
        <f t="shared" si="257"/>
        <v>1.4380000000002582</v>
      </c>
      <c r="J218" s="400">
        <f t="shared" si="258"/>
        <v>0</v>
      </c>
      <c r="K218" s="917"/>
      <c r="L218" s="917"/>
      <c r="M218" s="917"/>
      <c r="N218" s="917"/>
      <c r="O218" s="917"/>
      <c r="P218" s="904"/>
      <c r="R218" s="682"/>
    </row>
    <row r="219" spans="1:18" ht="17.25" customHeight="1">
      <c r="A219" s="995"/>
      <c r="B219" s="916" t="s">
        <v>11</v>
      </c>
      <c r="C219" s="95">
        <v>42005</v>
      </c>
      <c r="D219" s="136">
        <v>42277</v>
      </c>
      <c r="E219" s="403">
        <v>7.0410000000000004</v>
      </c>
      <c r="F219" s="404">
        <f>-7.041</f>
        <v>-7.0410000000000004</v>
      </c>
      <c r="G219" s="403">
        <f>E219+F219</f>
        <v>0</v>
      </c>
      <c r="H219" s="403"/>
      <c r="I219" s="383">
        <f t="shared" si="257"/>
        <v>0</v>
      </c>
      <c r="J219" s="403" t="e">
        <f t="shared" si="258"/>
        <v>#DIV/0!</v>
      </c>
      <c r="K219" s="908">
        <f t="shared" ref="K219" si="308">E219+E220</f>
        <v>7.4120000000000008</v>
      </c>
      <c r="L219" s="908">
        <f t="shared" si="289"/>
        <v>-7.4120000000000008</v>
      </c>
      <c r="M219" s="908">
        <f t="shared" si="302"/>
        <v>0</v>
      </c>
      <c r="N219" s="909">
        <f>H219+H220</f>
        <v>0</v>
      </c>
      <c r="O219" s="908">
        <f t="shared" ref="O219" si="309">M219-N219</f>
        <v>0</v>
      </c>
      <c r="P219" s="886" t="e">
        <f t="shared" ref="P219" si="310">N219/M219</f>
        <v>#DIV/0!</v>
      </c>
      <c r="R219" s="682"/>
    </row>
    <row r="220" spans="1:18" ht="17.25" customHeight="1">
      <c r="A220" s="995"/>
      <c r="B220" s="915"/>
      <c r="C220" s="96">
        <v>42278</v>
      </c>
      <c r="D220" s="138">
        <v>42369</v>
      </c>
      <c r="E220" s="400">
        <v>0.371</v>
      </c>
      <c r="F220" s="401">
        <f>-0.371</f>
        <v>-0.371</v>
      </c>
      <c r="G220" s="400">
        <f>E220+F220+I219</f>
        <v>0</v>
      </c>
      <c r="H220" s="400"/>
      <c r="I220" s="374">
        <f t="shared" si="257"/>
        <v>0</v>
      </c>
      <c r="J220" s="400" t="e">
        <f t="shared" si="258"/>
        <v>#DIV/0!</v>
      </c>
      <c r="K220" s="917"/>
      <c r="L220" s="917"/>
      <c r="M220" s="917"/>
      <c r="N220" s="917"/>
      <c r="O220" s="917"/>
      <c r="P220" s="887"/>
      <c r="R220" s="682"/>
    </row>
    <row r="221" spans="1:18" ht="17.25" customHeight="1">
      <c r="A221" s="995"/>
      <c r="B221" s="914" t="s">
        <v>45</v>
      </c>
      <c r="C221" s="95">
        <v>42005</v>
      </c>
      <c r="D221" s="136">
        <v>42277</v>
      </c>
      <c r="E221" s="397">
        <v>7.4829999999999997</v>
      </c>
      <c r="F221" s="398">
        <f>-7.483</f>
        <v>-7.4829999999999997</v>
      </c>
      <c r="G221" s="397">
        <f>E221+F221</f>
        <v>0</v>
      </c>
      <c r="H221" s="397"/>
      <c r="I221" s="371">
        <f t="shared" si="257"/>
        <v>0</v>
      </c>
      <c r="J221" s="397" t="e">
        <f t="shared" si="258"/>
        <v>#DIV/0!</v>
      </c>
      <c r="K221" s="908">
        <f t="shared" ref="K221" si="311">E221+E222</f>
        <v>7.8769999999999998</v>
      </c>
      <c r="L221" s="908">
        <f t="shared" si="289"/>
        <v>-7.8769999999999998</v>
      </c>
      <c r="M221" s="908">
        <f t="shared" si="302"/>
        <v>0</v>
      </c>
      <c r="N221" s="908">
        <f>H221+H222</f>
        <v>0</v>
      </c>
      <c r="O221" s="908">
        <f t="shared" ref="O221" si="312">M221-N221</f>
        <v>0</v>
      </c>
      <c r="P221" s="886" t="e">
        <f t="shared" ref="P221" si="313">N221/M221</f>
        <v>#DIV/0!</v>
      </c>
      <c r="R221" s="682"/>
    </row>
    <row r="222" spans="1:18" ht="17.25" customHeight="1">
      <c r="A222" s="995"/>
      <c r="B222" s="915"/>
      <c r="C222" s="96">
        <v>42278</v>
      </c>
      <c r="D222" s="138">
        <v>42369</v>
      </c>
      <c r="E222" s="400">
        <v>0.39400000000000002</v>
      </c>
      <c r="F222" s="401">
        <f>-0.394</f>
        <v>-0.39400000000000002</v>
      </c>
      <c r="G222" s="400">
        <f>E222+F222+I221</f>
        <v>0</v>
      </c>
      <c r="H222" s="400"/>
      <c r="I222" s="374">
        <f t="shared" si="257"/>
        <v>0</v>
      </c>
      <c r="J222" s="400" t="e">
        <f t="shared" si="258"/>
        <v>#DIV/0!</v>
      </c>
      <c r="K222" s="917"/>
      <c r="L222" s="917"/>
      <c r="M222" s="917"/>
      <c r="N222" s="917"/>
      <c r="O222" s="917"/>
      <c r="P222" s="887"/>
      <c r="R222" s="682"/>
    </row>
    <row r="223" spans="1:18" ht="17.25" customHeight="1">
      <c r="A223" s="995"/>
      <c r="B223" s="914" t="s">
        <v>294</v>
      </c>
      <c r="C223" s="95">
        <v>42005</v>
      </c>
      <c r="D223" s="136">
        <v>42277</v>
      </c>
      <c r="E223" s="397">
        <v>128.703</v>
      </c>
      <c r="F223" s="398">
        <f>-128.703</f>
        <v>-128.703</v>
      </c>
      <c r="G223" s="397">
        <f>E223+F223</f>
        <v>0</v>
      </c>
      <c r="H223" s="397"/>
      <c r="I223" s="371">
        <f t="shared" si="257"/>
        <v>0</v>
      </c>
      <c r="J223" s="397" t="e">
        <f t="shared" si="258"/>
        <v>#DIV/0!</v>
      </c>
      <c r="K223" s="908">
        <f t="shared" ref="K223" si="314">E223+E224</f>
        <v>135.476</v>
      </c>
      <c r="L223" s="908">
        <f t="shared" si="289"/>
        <v>-135.476</v>
      </c>
      <c r="M223" s="908">
        <f t="shared" si="302"/>
        <v>0</v>
      </c>
      <c r="N223" s="908">
        <f>H223+H224</f>
        <v>0</v>
      </c>
      <c r="O223" s="908">
        <f>M223-N223</f>
        <v>0</v>
      </c>
      <c r="P223" s="886" t="e">
        <f t="shared" ref="P223:P239" si="315">N223/M223</f>
        <v>#DIV/0!</v>
      </c>
      <c r="R223" s="682"/>
    </row>
    <row r="224" spans="1:18" ht="17.25" customHeight="1">
      <c r="A224" s="995"/>
      <c r="B224" s="915"/>
      <c r="C224" s="96">
        <v>42278</v>
      </c>
      <c r="D224" s="138">
        <v>42369</v>
      </c>
      <c r="E224" s="400">
        <v>6.7729999999999997</v>
      </c>
      <c r="F224" s="401">
        <f>-6.773</f>
        <v>-6.7729999999999997</v>
      </c>
      <c r="G224" s="400">
        <f>E224+F224+I223</f>
        <v>0</v>
      </c>
      <c r="H224" s="400"/>
      <c r="I224" s="374">
        <f t="shared" si="257"/>
        <v>0</v>
      </c>
      <c r="J224" s="400" t="e">
        <f t="shared" si="258"/>
        <v>#DIV/0!</v>
      </c>
      <c r="K224" s="917"/>
      <c r="L224" s="917"/>
      <c r="M224" s="917"/>
      <c r="N224" s="917"/>
      <c r="O224" s="917"/>
      <c r="P224" s="887"/>
      <c r="R224" s="682"/>
    </row>
    <row r="225" spans="1:18" ht="17.25" customHeight="1">
      <c r="A225" s="995"/>
      <c r="B225" s="914" t="s">
        <v>287</v>
      </c>
      <c r="C225" s="95">
        <v>42005</v>
      </c>
      <c r="D225" s="136">
        <v>42277</v>
      </c>
      <c r="E225" s="397">
        <v>127.70099999999999</v>
      </c>
      <c r="F225" s="407">
        <f>455.983-479.98</f>
        <v>-23.997000000000014</v>
      </c>
      <c r="G225" s="397">
        <f>E225+F225</f>
        <v>103.70399999999998</v>
      </c>
      <c r="H225" s="397">
        <v>70.78</v>
      </c>
      <c r="I225" s="371">
        <f t="shared" si="257"/>
        <v>32.923999999999978</v>
      </c>
      <c r="J225" s="397">
        <f t="shared" si="258"/>
        <v>0.68251947851577577</v>
      </c>
      <c r="K225" s="908">
        <f t="shared" ref="K225" si="316">E225+E226</f>
        <v>134.422</v>
      </c>
      <c r="L225" s="883">
        <f t="shared" si="289"/>
        <v>0</v>
      </c>
      <c r="M225" s="908">
        <f t="shared" si="302"/>
        <v>134.422</v>
      </c>
      <c r="N225" s="908">
        <f>H225+H226</f>
        <v>133.78</v>
      </c>
      <c r="O225" s="908">
        <f t="shared" ref="O225" si="317">M225-N225</f>
        <v>0.64199999999999591</v>
      </c>
      <c r="P225" s="886">
        <f t="shared" si="315"/>
        <v>0.99522399607207157</v>
      </c>
      <c r="R225" s="682"/>
    </row>
    <row r="226" spans="1:18" ht="17.25" customHeight="1">
      <c r="A226" s="995"/>
      <c r="B226" s="915"/>
      <c r="C226" s="96">
        <v>42278</v>
      </c>
      <c r="D226" s="138">
        <v>42369</v>
      </c>
      <c r="E226" s="400">
        <v>6.7210000000000001</v>
      </c>
      <c r="F226" s="409">
        <f>23.997</f>
        <v>23.997</v>
      </c>
      <c r="G226" s="400">
        <f>E226+F226+I225</f>
        <v>63.641999999999982</v>
      </c>
      <c r="H226" s="400">
        <v>63</v>
      </c>
      <c r="I226" s="374">
        <f t="shared" si="257"/>
        <v>0.6419999999999817</v>
      </c>
      <c r="J226" s="400">
        <f t="shared" si="258"/>
        <v>0.98991232205147572</v>
      </c>
      <c r="K226" s="917"/>
      <c r="L226" s="884"/>
      <c r="M226" s="917"/>
      <c r="N226" s="917"/>
      <c r="O226" s="917"/>
      <c r="P226" s="887"/>
      <c r="R226" s="682"/>
    </row>
    <row r="227" spans="1:18" ht="17.25" customHeight="1">
      <c r="A227" s="995"/>
      <c r="B227" s="914" t="s">
        <v>12</v>
      </c>
      <c r="C227" s="95">
        <v>42005</v>
      </c>
      <c r="D227" s="136">
        <v>42277</v>
      </c>
      <c r="E227" s="397">
        <v>1367.8489999999999</v>
      </c>
      <c r="F227" s="407">
        <v>0</v>
      </c>
      <c r="G227" s="397">
        <f>E227+F227</f>
        <v>1367.8489999999999</v>
      </c>
      <c r="H227" s="397">
        <v>1412.5160000000001</v>
      </c>
      <c r="I227" s="371">
        <f t="shared" si="257"/>
        <v>-44.667000000000144</v>
      </c>
      <c r="J227" s="397">
        <f t="shared" si="258"/>
        <v>1.0326549202433895</v>
      </c>
      <c r="K227" s="908">
        <f t="shared" ref="K227" si="318">E227+E228</f>
        <v>1439.835</v>
      </c>
      <c r="L227" s="908">
        <f t="shared" si="289"/>
        <v>0</v>
      </c>
      <c r="M227" s="908">
        <f t="shared" si="302"/>
        <v>1439.835</v>
      </c>
      <c r="N227" s="908">
        <f>H227+H228</f>
        <v>1412.5160000000001</v>
      </c>
      <c r="O227" s="908">
        <f t="shared" ref="O227" si="319">M227-N227</f>
        <v>27.31899999999996</v>
      </c>
      <c r="P227" s="903">
        <f t="shared" si="315"/>
        <v>0.98102629815221887</v>
      </c>
      <c r="R227" s="682"/>
    </row>
    <row r="228" spans="1:18" ht="17.25" customHeight="1">
      <c r="A228" s="995"/>
      <c r="B228" s="915"/>
      <c r="C228" s="96">
        <v>42278</v>
      </c>
      <c r="D228" s="138">
        <v>42369</v>
      </c>
      <c r="E228" s="400">
        <v>71.986000000000004</v>
      </c>
      <c r="F228" s="401"/>
      <c r="G228" s="400">
        <f>E228+F228+I227</f>
        <v>27.318999999999861</v>
      </c>
      <c r="H228" s="400"/>
      <c r="I228" s="374">
        <f t="shared" si="257"/>
        <v>27.318999999999861</v>
      </c>
      <c r="J228" s="400">
        <f t="shared" si="258"/>
        <v>0</v>
      </c>
      <c r="K228" s="917"/>
      <c r="L228" s="917"/>
      <c r="M228" s="917"/>
      <c r="N228" s="917"/>
      <c r="O228" s="917"/>
      <c r="P228" s="904"/>
      <c r="R228" s="682"/>
    </row>
    <row r="229" spans="1:18" ht="17.25" customHeight="1">
      <c r="A229" s="995"/>
      <c r="B229" s="914" t="s">
        <v>60</v>
      </c>
      <c r="C229" s="95">
        <v>42005</v>
      </c>
      <c r="D229" s="136">
        <v>42277</v>
      </c>
      <c r="E229" s="397">
        <v>1151.627</v>
      </c>
      <c r="F229" s="407">
        <f>7.041+22.951+7.483+2.175+4.999+6.479</f>
        <v>51.128</v>
      </c>
      <c r="G229" s="397">
        <f>E229+F229</f>
        <v>1202.7549999999999</v>
      </c>
      <c r="H229" s="397">
        <v>1241.7159999999999</v>
      </c>
      <c r="I229" s="371">
        <f t="shared" si="257"/>
        <v>-38.961000000000013</v>
      </c>
      <c r="J229" s="397">
        <f t="shared" si="258"/>
        <v>1.0323931307706058</v>
      </c>
      <c r="K229" s="908">
        <f t="shared" ref="K229" si="320">E229+E230</f>
        <v>1212.2339999999999</v>
      </c>
      <c r="L229" s="883">
        <f t="shared" si="289"/>
        <v>149.79500000000002</v>
      </c>
      <c r="M229" s="908">
        <f t="shared" si="302"/>
        <v>1362.029</v>
      </c>
      <c r="N229" s="908">
        <f>H229+H230</f>
        <v>1241.7159999999999</v>
      </c>
      <c r="O229" s="908">
        <f t="shared" ref="O229" si="321">M229-N229</f>
        <v>120.3130000000001</v>
      </c>
      <c r="P229" s="903">
        <f t="shared" si="315"/>
        <v>0.91166634484287767</v>
      </c>
      <c r="R229" s="682"/>
    </row>
    <row r="230" spans="1:18" ht="17.25" customHeight="1">
      <c r="A230" s="995"/>
      <c r="B230" s="915"/>
      <c r="C230" s="96">
        <v>42278</v>
      </c>
      <c r="D230" s="138">
        <v>42369</v>
      </c>
      <c r="E230" s="400">
        <v>60.606999999999999</v>
      </c>
      <c r="F230" s="409">
        <f>0.371+1.208+0.394+0.114+0.239+0.341+96</f>
        <v>98.667000000000002</v>
      </c>
      <c r="G230" s="400">
        <f>E230+F230+I229</f>
        <v>120.31299999999999</v>
      </c>
      <c r="H230" s="400"/>
      <c r="I230" s="374">
        <f t="shared" si="257"/>
        <v>120.31299999999999</v>
      </c>
      <c r="J230" s="400">
        <f t="shared" si="258"/>
        <v>0</v>
      </c>
      <c r="K230" s="917"/>
      <c r="L230" s="884"/>
      <c r="M230" s="917"/>
      <c r="N230" s="917"/>
      <c r="O230" s="917"/>
      <c r="P230" s="904"/>
      <c r="R230" s="682"/>
    </row>
    <row r="231" spans="1:18" ht="17.25" customHeight="1">
      <c r="A231" s="995"/>
      <c r="B231" s="914" t="s">
        <v>20</v>
      </c>
      <c r="C231" s="95">
        <v>42005</v>
      </c>
      <c r="D231" s="136">
        <v>42277</v>
      </c>
      <c r="E231" s="397">
        <v>4.9989999999999997</v>
      </c>
      <c r="F231" s="398">
        <f>-4.999</f>
        <v>-4.9989999999999997</v>
      </c>
      <c r="G231" s="397">
        <f>E231+F231</f>
        <v>0</v>
      </c>
      <c r="H231" s="397"/>
      <c r="I231" s="371">
        <f t="shared" si="257"/>
        <v>0</v>
      </c>
      <c r="J231" s="397" t="e">
        <f t="shared" si="258"/>
        <v>#DIV/0!</v>
      </c>
      <c r="K231" s="908">
        <f t="shared" ref="K231" si="322">E231+E232</f>
        <v>5.2619999999999996</v>
      </c>
      <c r="L231" s="908">
        <f t="shared" si="289"/>
        <v>-5.2379999999999995</v>
      </c>
      <c r="M231" s="908">
        <f t="shared" si="302"/>
        <v>2.4000000000000021E-2</v>
      </c>
      <c r="N231" s="908">
        <f>H231+H232</f>
        <v>0</v>
      </c>
      <c r="O231" s="908">
        <f t="shared" ref="O231" si="323">M231-N231</f>
        <v>2.4000000000000021E-2</v>
      </c>
      <c r="P231" s="886">
        <f t="shared" si="315"/>
        <v>0</v>
      </c>
      <c r="R231" s="682"/>
    </row>
    <row r="232" spans="1:18" ht="17.25" customHeight="1">
      <c r="A232" s="995"/>
      <c r="B232" s="915"/>
      <c r="C232" s="96">
        <v>42278</v>
      </c>
      <c r="D232" s="138">
        <v>42369</v>
      </c>
      <c r="E232" s="400">
        <v>0.26300000000000001</v>
      </c>
      <c r="F232" s="401">
        <f>-0.239</f>
        <v>-0.23899999999999999</v>
      </c>
      <c r="G232" s="400">
        <f>E232+F232+I231</f>
        <v>2.4000000000000021E-2</v>
      </c>
      <c r="H232" s="400"/>
      <c r="I232" s="374">
        <f t="shared" si="257"/>
        <v>2.4000000000000021E-2</v>
      </c>
      <c r="J232" s="400">
        <f t="shared" si="258"/>
        <v>0</v>
      </c>
      <c r="K232" s="917"/>
      <c r="L232" s="917"/>
      <c r="M232" s="917"/>
      <c r="N232" s="917"/>
      <c r="O232" s="917"/>
      <c r="P232" s="887"/>
    </row>
    <row r="233" spans="1:18" ht="17.25" customHeight="1">
      <c r="A233" s="995"/>
      <c r="B233" s="914" t="s">
        <v>13</v>
      </c>
      <c r="C233" s="95">
        <v>42005</v>
      </c>
      <c r="D233" s="136">
        <v>42277</v>
      </c>
      <c r="E233" s="397">
        <v>6123.634</v>
      </c>
      <c r="F233" s="407">
        <f>-3000+4000-390</f>
        <v>610</v>
      </c>
      <c r="G233" s="397">
        <f>E233+F233</f>
        <v>6733.634</v>
      </c>
      <c r="H233" s="397">
        <v>7038.0950000000003</v>
      </c>
      <c r="I233" s="371">
        <f t="shared" si="257"/>
        <v>-304.46100000000024</v>
      </c>
      <c r="J233" s="397">
        <f t="shared" si="258"/>
        <v>1.045214961193317</v>
      </c>
      <c r="K233" s="908">
        <f t="shared" ref="K233" si="324">E233+E234</f>
        <v>6445.9049999999997</v>
      </c>
      <c r="L233" s="908">
        <f t="shared" si="289"/>
        <v>610</v>
      </c>
      <c r="M233" s="908">
        <f t="shared" si="302"/>
        <v>7055.9049999999997</v>
      </c>
      <c r="N233" s="908">
        <f>H233+H234</f>
        <v>7038.0950000000003</v>
      </c>
      <c r="O233" s="908">
        <f t="shared" ref="O233" si="325">M233-N233</f>
        <v>17.809999999999491</v>
      </c>
      <c r="P233" s="903">
        <f t="shared" si="315"/>
        <v>0.99747587304534291</v>
      </c>
    </row>
    <row r="234" spans="1:18" ht="17.25" customHeight="1">
      <c r="A234" s="995"/>
      <c r="B234" s="915"/>
      <c r="C234" s="96">
        <v>42278</v>
      </c>
      <c r="D234" s="138">
        <v>42369</v>
      </c>
      <c r="E234" s="400">
        <v>322.27100000000002</v>
      </c>
      <c r="F234" s="409"/>
      <c r="G234" s="400">
        <f>E234+F234+I233</f>
        <v>17.809999999999775</v>
      </c>
      <c r="H234" s="400"/>
      <c r="I234" s="374">
        <f t="shared" si="257"/>
        <v>17.809999999999775</v>
      </c>
      <c r="J234" s="400">
        <f t="shared" si="258"/>
        <v>0</v>
      </c>
      <c r="K234" s="917"/>
      <c r="L234" s="917"/>
      <c r="M234" s="917"/>
      <c r="N234" s="917"/>
      <c r="O234" s="917"/>
      <c r="P234" s="904"/>
    </row>
    <row r="235" spans="1:18" ht="17.25" customHeight="1">
      <c r="A235" s="995"/>
      <c r="B235" s="914" t="s">
        <v>295</v>
      </c>
      <c r="C235" s="95">
        <v>42005</v>
      </c>
      <c r="D235" s="136">
        <v>42277</v>
      </c>
      <c r="E235" s="397">
        <v>166.31700000000001</v>
      </c>
      <c r="F235" s="398">
        <f>-166.317</f>
        <v>-166.31700000000001</v>
      </c>
      <c r="G235" s="397">
        <f>E235+F235</f>
        <v>0</v>
      </c>
      <c r="H235" s="397"/>
      <c r="I235" s="371">
        <f t="shared" si="257"/>
        <v>0</v>
      </c>
      <c r="J235" s="397" t="e">
        <f t="shared" si="258"/>
        <v>#DIV/0!</v>
      </c>
      <c r="K235" s="908">
        <f t="shared" ref="K235" si="326">E235+E236</f>
        <v>175.07</v>
      </c>
      <c r="L235" s="908">
        <f t="shared" si="289"/>
        <v>-175.07</v>
      </c>
      <c r="M235" s="908">
        <f t="shared" si="302"/>
        <v>0</v>
      </c>
      <c r="N235" s="908">
        <f>H235+H236</f>
        <v>0</v>
      </c>
      <c r="O235" s="908">
        <f t="shared" ref="O235" si="327">M235-N235</f>
        <v>0</v>
      </c>
      <c r="P235" s="886" t="e">
        <f t="shared" si="315"/>
        <v>#DIV/0!</v>
      </c>
    </row>
    <row r="236" spans="1:18" ht="17.25" customHeight="1">
      <c r="A236" s="995"/>
      <c r="B236" s="915"/>
      <c r="C236" s="96">
        <v>42278</v>
      </c>
      <c r="D236" s="138">
        <v>42369</v>
      </c>
      <c r="E236" s="400">
        <v>8.7530000000000001</v>
      </c>
      <c r="F236" s="401">
        <f>-8.753</f>
        <v>-8.7530000000000001</v>
      </c>
      <c r="G236" s="400">
        <f>E236+F236+I235</f>
        <v>0</v>
      </c>
      <c r="H236" s="400"/>
      <c r="I236" s="374">
        <f t="shared" si="257"/>
        <v>0</v>
      </c>
      <c r="J236" s="400" t="e">
        <f t="shared" si="258"/>
        <v>#DIV/0!</v>
      </c>
      <c r="K236" s="917"/>
      <c r="L236" s="917"/>
      <c r="M236" s="917"/>
      <c r="N236" s="917"/>
      <c r="O236" s="917"/>
      <c r="P236" s="887"/>
    </row>
    <row r="237" spans="1:18" ht="17.25" customHeight="1">
      <c r="A237" s="995"/>
      <c r="B237" s="914" t="s">
        <v>61</v>
      </c>
      <c r="C237" s="95">
        <v>42005</v>
      </c>
      <c r="D237" s="136">
        <v>42277</v>
      </c>
      <c r="E237" s="397">
        <v>55.252000000000002</v>
      </c>
      <c r="F237" s="398">
        <f>-55.252</f>
        <v>-55.252000000000002</v>
      </c>
      <c r="G237" s="397">
        <f>E237+F237</f>
        <v>0</v>
      </c>
      <c r="H237" s="397"/>
      <c r="I237" s="371">
        <f t="shared" si="257"/>
        <v>0</v>
      </c>
      <c r="J237" s="397" t="e">
        <f t="shared" si="258"/>
        <v>#DIV/0!</v>
      </c>
      <c r="K237" s="908">
        <f t="shared" ref="K237" si="328">E237+E238</f>
        <v>58.160000000000004</v>
      </c>
      <c r="L237" s="908">
        <f t="shared" si="289"/>
        <v>-58.160000000000004</v>
      </c>
      <c r="M237" s="908">
        <f t="shared" si="302"/>
        <v>0</v>
      </c>
      <c r="N237" s="908">
        <f>H237+H238</f>
        <v>0</v>
      </c>
      <c r="O237" s="908">
        <f t="shared" ref="O237" si="329">M237-N237</f>
        <v>0</v>
      </c>
      <c r="P237" s="886" t="e">
        <f t="shared" si="315"/>
        <v>#DIV/0!</v>
      </c>
    </row>
    <row r="238" spans="1:18" ht="17.25" customHeight="1">
      <c r="A238" s="995"/>
      <c r="B238" s="915"/>
      <c r="C238" s="96">
        <v>42278</v>
      </c>
      <c r="D238" s="138">
        <v>42369</v>
      </c>
      <c r="E238" s="400">
        <v>2.9079999999999999</v>
      </c>
      <c r="F238" s="401">
        <f>-2.908</f>
        <v>-2.9079999999999999</v>
      </c>
      <c r="G238" s="400">
        <f>E238+F238+I237</f>
        <v>0</v>
      </c>
      <c r="H238" s="400"/>
      <c r="I238" s="374">
        <f t="shared" si="257"/>
        <v>0</v>
      </c>
      <c r="J238" s="400" t="e">
        <f t="shared" si="258"/>
        <v>#DIV/0!</v>
      </c>
      <c r="K238" s="917"/>
      <c r="L238" s="917"/>
      <c r="M238" s="917"/>
      <c r="N238" s="917"/>
      <c r="O238" s="917"/>
      <c r="P238" s="887"/>
    </row>
    <row r="239" spans="1:18" ht="17.25" customHeight="1">
      <c r="A239" s="995"/>
      <c r="B239" s="914" t="s">
        <v>22</v>
      </c>
      <c r="C239" s="95">
        <v>42005</v>
      </c>
      <c r="D239" s="136">
        <v>42277</v>
      </c>
      <c r="E239" s="397">
        <v>49.319000000000003</v>
      </c>
      <c r="F239" s="397"/>
      <c r="G239" s="397">
        <f>E239+F239</f>
        <v>49.319000000000003</v>
      </c>
      <c r="H239" s="397"/>
      <c r="I239" s="371">
        <f t="shared" si="257"/>
        <v>49.319000000000003</v>
      </c>
      <c r="J239" s="397">
        <f t="shared" si="258"/>
        <v>0</v>
      </c>
      <c r="K239" s="908">
        <f t="shared" ref="K239" si="330">E239+E240</f>
        <v>51.915000000000006</v>
      </c>
      <c r="L239" s="908">
        <f t="shared" si="289"/>
        <v>0</v>
      </c>
      <c r="M239" s="908">
        <f t="shared" si="302"/>
        <v>51.915000000000006</v>
      </c>
      <c r="N239" s="908">
        <f>H239+H240</f>
        <v>0</v>
      </c>
      <c r="O239" s="908">
        <f>M239-N239</f>
        <v>51.915000000000006</v>
      </c>
      <c r="P239" s="886">
        <f t="shared" si="315"/>
        <v>0</v>
      </c>
    </row>
    <row r="240" spans="1:18" ht="17.25" customHeight="1">
      <c r="A240" s="995"/>
      <c r="B240" s="915"/>
      <c r="C240" s="96">
        <v>42278</v>
      </c>
      <c r="D240" s="138">
        <v>42369</v>
      </c>
      <c r="E240" s="400">
        <v>2.5960000000000001</v>
      </c>
      <c r="F240" s="400"/>
      <c r="G240" s="400">
        <f>E240+F240+I239</f>
        <v>51.915000000000006</v>
      </c>
      <c r="H240" s="400"/>
      <c r="I240" s="374">
        <f t="shared" si="257"/>
        <v>51.915000000000006</v>
      </c>
      <c r="J240" s="400">
        <f t="shared" si="258"/>
        <v>0</v>
      </c>
      <c r="K240" s="917"/>
      <c r="L240" s="917"/>
      <c r="M240" s="917"/>
      <c r="N240" s="917"/>
      <c r="O240" s="917"/>
      <c r="P240" s="887"/>
    </row>
    <row r="241" spans="1:16" ht="17.25" customHeight="1">
      <c r="A241" s="995"/>
      <c r="B241" s="914"/>
      <c r="C241" s="95">
        <v>42005</v>
      </c>
      <c r="D241" s="136">
        <v>42277</v>
      </c>
      <c r="E241" s="397"/>
      <c r="F241" s="407"/>
      <c r="G241" s="397">
        <f>E241+F241</f>
        <v>0</v>
      </c>
      <c r="H241" s="397"/>
      <c r="I241" s="371">
        <f t="shared" ref="I241:I246" si="331">G241-H241</f>
        <v>0</v>
      </c>
      <c r="J241" s="397" t="e">
        <f t="shared" ref="J241:J246" si="332">H241/G241</f>
        <v>#DIV/0!</v>
      </c>
      <c r="K241" s="908">
        <f>E241+E242+F241+F242</f>
        <v>0</v>
      </c>
      <c r="L241" s="572"/>
      <c r="M241" s="572"/>
      <c r="N241" s="908">
        <f>H241+H242</f>
        <v>0</v>
      </c>
      <c r="O241" s="908">
        <f>K241-N241</f>
        <v>0</v>
      </c>
      <c r="P241" s="886" t="e">
        <f>N241/K241</f>
        <v>#DIV/0!</v>
      </c>
    </row>
    <row r="242" spans="1:16" ht="17.25" customHeight="1">
      <c r="A242" s="995"/>
      <c r="B242" s="915"/>
      <c r="C242" s="96">
        <v>42278</v>
      </c>
      <c r="D242" s="138">
        <v>42369</v>
      </c>
      <c r="E242" s="403"/>
      <c r="F242" s="408"/>
      <c r="G242" s="403">
        <f>E242+F242+I241</f>
        <v>0</v>
      </c>
      <c r="H242" s="403"/>
      <c r="I242" s="383">
        <f t="shared" si="331"/>
        <v>0</v>
      </c>
      <c r="J242" s="403" t="e">
        <f t="shared" si="332"/>
        <v>#DIV/0!</v>
      </c>
      <c r="K242" s="909"/>
      <c r="L242" s="573"/>
      <c r="M242" s="573"/>
      <c r="N242" s="909"/>
      <c r="O242" s="909"/>
      <c r="P242" s="907"/>
    </row>
    <row r="243" spans="1:16" ht="17.25" customHeight="1">
      <c r="A243" s="995"/>
      <c r="B243" s="914"/>
      <c r="C243" s="95">
        <v>42005</v>
      </c>
      <c r="D243" s="136">
        <v>42277</v>
      </c>
      <c r="E243" s="411"/>
      <c r="F243" s="412"/>
      <c r="G243" s="397">
        <f>E243+F243</f>
        <v>0</v>
      </c>
      <c r="H243" s="397"/>
      <c r="I243" s="371">
        <f t="shared" si="331"/>
        <v>0</v>
      </c>
      <c r="J243" s="397" t="e">
        <f t="shared" si="332"/>
        <v>#DIV/0!</v>
      </c>
      <c r="K243" s="908">
        <f>E243+E244+F243+F244</f>
        <v>0</v>
      </c>
      <c r="L243" s="572"/>
      <c r="M243" s="572"/>
      <c r="N243" s="908">
        <f>H243+H244</f>
        <v>0</v>
      </c>
      <c r="O243" s="908">
        <f>K243-N243</f>
        <v>0</v>
      </c>
      <c r="P243" s="886" t="e">
        <f>N243/K243</f>
        <v>#DIV/0!</v>
      </c>
    </row>
    <row r="244" spans="1:16" ht="17.25" customHeight="1">
      <c r="A244" s="995"/>
      <c r="B244" s="915"/>
      <c r="C244" s="96">
        <v>42278</v>
      </c>
      <c r="D244" s="138">
        <v>42369</v>
      </c>
      <c r="E244" s="413"/>
      <c r="F244" s="414"/>
      <c r="G244" s="400">
        <f>E244+F244+I243</f>
        <v>0</v>
      </c>
      <c r="H244" s="400"/>
      <c r="I244" s="374">
        <f t="shared" si="331"/>
        <v>0</v>
      </c>
      <c r="J244" s="400" t="e">
        <f t="shared" si="332"/>
        <v>#DIV/0!</v>
      </c>
      <c r="K244" s="917"/>
      <c r="L244" s="506"/>
      <c r="M244" s="506"/>
      <c r="N244" s="917"/>
      <c r="O244" s="917"/>
      <c r="P244" s="887"/>
    </row>
    <row r="245" spans="1:16" ht="17.25" customHeight="1">
      <c r="A245" s="995"/>
      <c r="B245" s="914"/>
      <c r="C245" s="95">
        <v>42005</v>
      </c>
      <c r="D245" s="136">
        <v>42277</v>
      </c>
      <c r="E245" s="411"/>
      <c r="F245" s="398"/>
      <c r="G245" s="397">
        <f>E245+F245</f>
        <v>0</v>
      </c>
      <c r="H245" s="397"/>
      <c r="I245" s="371">
        <f t="shared" si="331"/>
        <v>0</v>
      </c>
      <c r="J245" s="397" t="e">
        <f t="shared" si="332"/>
        <v>#DIV/0!</v>
      </c>
      <c r="K245" s="908">
        <f>E245+E246+F245+F246</f>
        <v>0</v>
      </c>
      <c r="L245" s="572"/>
      <c r="M245" s="572"/>
      <c r="N245" s="908">
        <f>H245+H246</f>
        <v>0</v>
      </c>
      <c r="O245" s="908">
        <f>K245-N245</f>
        <v>0</v>
      </c>
      <c r="P245" s="886" t="e">
        <f>N245/K245</f>
        <v>#DIV/0!</v>
      </c>
    </row>
    <row r="246" spans="1:16" ht="17.25" customHeight="1">
      <c r="A246" s="996"/>
      <c r="B246" s="915"/>
      <c r="C246" s="96">
        <v>42278</v>
      </c>
      <c r="D246" s="138">
        <v>42369</v>
      </c>
      <c r="E246" s="413"/>
      <c r="F246" s="414"/>
      <c r="G246" s="400">
        <f>E246+F246+I245</f>
        <v>0</v>
      </c>
      <c r="H246" s="400"/>
      <c r="I246" s="374">
        <f t="shared" si="331"/>
        <v>0</v>
      </c>
      <c r="J246" s="400" t="e">
        <f t="shared" si="332"/>
        <v>#DIV/0!</v>
      </c>
      <c r="K246" s="917"/>
      <c r="L246" s="506"/>
      <c r="M246" s="506"/>
      <c r="N246" s="917"/>
      <c r="O246" s="917"/>
      <c r="P246" s="887"/>
    </row>
    <row r="247" spans="1:16" ht="17.25" customHeight="1">
      <c r="A247" s="308"/>
      <c r="B247" s="318"/>
      <c r="C247" s="306"/>
      <c r="D247" s="306"/>
      <c r="E247" s="406"/>
      <c r="F247" s="415"/>
      <c r="G247" s="406"/>
      <c r="H247" s="406"/>
      <c r="I247" s="377"/>
      <c r="J247" s="406"/>
      <c r="K247" s="574"/>
      <c r="L247" s="574"/>
      <c r="M247" s="574"/>
      <c r="N247" s="574"/>
      <c r="O247" s="574"/>
      <c r="P247" s="611"/>
    </row>
    <row r="248" spans="1:16" ht="17.25" customHeight="1">
      <c r="A248" s="55"/>
      <c r="B248" s="55"/>
      <c r="C248" s="307"/>
      <c r="D248" s="307"/>
      <c r="E248" s="379"/>
      <c r="F248" s="379"/>
      <c r="G248" s="379"/>
      <c r="H248" s="379"/>
      <c r="I248" s="378"/>
      <c r="J248" s="379"/>
      <c r="K248" s="575"/>
      <c r="L248" s="575"/>
      <c r="M248" s="575"/>
      <c r="N248" s="575"/>
      <c r="O248" s="575"/>
      <c r="P248" s="617"/>
    </row>
    <row r="249" spans="1:16" ht="17.25" customHeight="1">
      <c r="A249" s="912" t="s">
        <v>408</v>
      </c>
      <c r="B249" s="871" t="s">
        <v>56</v>
      </c>
      <c r="C249" s="95">
        <v>42005</v>
      </c>
      <c r="D249" s="136">
        <v>42124</v>
      </c>
      <c r="E249" s="397">
        <v>6024.4489999999996</v>
      </c>
      <c r="F249" s="398">
        <f>-394.82-1052.864</f>
        <v>-1447.684</v>
      </c>
      <c r="G249" s="397">
        <f>E249+F249</f>
        <v>4576.7649999999994</v>
      </c>
      <c r="H249" s="397">
        <v>4879.9970000000003</v>
      </c>
      <c r="I249" s="371">
        <f>G249-H249</f>
        <v>-303.23200000000088</v>
      </c>
      <c r="J249" s="399">
        <f>H249/G249</f>
        <v>1.06625465803903</v>
      </c>
      <c r="K249" s="867">
        <f>E249+E250+E251</f>
        <v>9517.4709999999995</v>
      </c>
      <c r="L249" s="919">
        <f>F249+F250+F251</f>
        <v>-4113.6720000000005</v>
      </c>
      <c r="M249" s="919">
        <f>K249+L249</f>
        <v>5403.7989999999991</v>
      </c>
      <c r="N249" s="867">
        <f>H249+H250+H251</f>
        <v>4879.9970000000003</v>
      </c>
      <c r="O249" s="906">
        <f>M249-N249</f>
        <v>523.80199999999877</v>
      </c>
      <c r="P249" s="989">
        <f>N249/M249</f>
        <v>0.90306782321104118</v>
      </c>
    </row>
    <row r="250" spans="1:16" ht="17.25" customHeight="1">
      <c r="A250" s="913"/>
      <c r="B250" s="872"/>
      <c r="C250" s="97">
        <v>42125</v>
      </c>
      <c r="D250" s="137">
        <v>42247</v>
      </c>
      <c r="E250" s="403">
        <v>708.74800000000005</v>
      </c>
      <c r="F250" s="408">
        <f>-200-35</f>
        <v>-235</v>
      </c>
      <c r="G250" s="403">
        <f>E250+F250+I249</f>
        <v>170.51599999999917</v>
      </c>
      <c r="H250" s="403">
        <v>0</v>
      </c>
      <c r="I250" s="383">
        <f>G250-H250</f>
        <v>170.51599999999917</v>
      </c>
      <c r="J250" s="405">
        <f>H250/G250</f>
        <v>0</v>
      </c>
      <c r="K250" s="867"/>
      <c r="L250" s="920"/>
      <c r="M250" s="920"/>
      <c r="N250" s="867"/>
      <c r="O250" s="906"/>
      <c r="P250" s="989"/>
    </row>
    <row r="251" spans="1:16" ht="17.25" customHeight="1">
      <c r="A251" s="913"/>
      <c r="B251" s="873"/>
      <c r="C251" s="96">
        <v>42248</v>
      </c>
      <c r="D251" s="138">
        <v>42369</v>
      </c>
      <c r="E251" s="400">
        <v>2784.2739999999999</v>
      </c>
      <c r="F251" s="409">
        <f>-947.336-1483.652</f>
        <v>-2430.9880000000003</v>
      </c>
      <c r="G251" s="403">
        <f>E251+F251+I250</f>
        <v>523.80199999999877</v>
      </c>
      <c r="H251" s="400"/>
      <c r="I251" s="374">
        <f>G251-H251</f>
        <v>523.80199999999877</v>
      </c>
      <c r="J251" s="402">
        <f t="shared" ref="J251:J308" si="333">H251/G251</f>
        <v>0</v>
      </c>
      <c r="K251" s="867"/>
      <c r="L251" s="921"/>
      <c r="M251" s="921"/>
      <c r="N251" s="867"/>
      <c r="O251" s="906"/>
      <c r="P251" s="989"/>
    </row>
    <row r="252" spans="1:16" ht="17.25" customHeight="1">
      <c r="A252" s="913"/>
      <c r="B252" s="871" t="s">
        <v>57</v>
      </c>
      <c r="C252" s="95">
        <v>42005</v>
      </c>
      <c r="D252" s="136">
        <v>42124</v>
      </c>
      <c r="E252" s="397">
        <v>1133.376</v>
      </c>
      <c r="F252" s="398">
        <f>-1133.376</f>
        <v>-1133.376</v>
      </c>
      <c r="G252" s="397">
        <f>E252+F252</f>
        <v>0</v>
      </c>
      <c r="H252" s="397"/>
      <c r="I252" s="371">
        <f>G252-H252</f>
        <v>0</v>
      </c>
      <c r="J252" s="399" t="e">
        <f t="shared" si="333"/>
        <v>#DIV/0!</v>
      </c>
      <c r="K252" s="867">
        <f t="shared" ref="K252:L252" si="334">E252+E253+E254</f>
        <v>1790.5160000000001</v>
      </c>
      <c r="L252" s="919">
        <f t="shared" si="334"/>
        <v>-1790.5160000000001</v>
      </c>
      <c r="M252" s="919">
        <f t="shared" ref="M252" si="335">K252+L252</f>
        <v>0</v>
      </c>
      <c r="N252" s="867">
        <f>H252+H253+H254</f>
        <v>0</v>
      </c>
      <c r="O252" s="906">
        <f>M252-N252</f>
        <v>0</v>
      </c>
      <c r="P252" s="918" t="e">
        <f t="shared" ref="P252" si="336">N252/M252</f>
        <v>#DIV/0!</v>
      </c>
    </row>
    <row r="253" spans="1:16" ht="17.25" customHeight="1">
      <c r="A253" s="913"/>
      <c r="B253" s="872"/>
      <c r="C253" s="97">
        <v>42125</v>
      </c>
      <c r="D253" s="137">
        <v>42247</v>
      </c>
      <c r="E253" s="403">
        <v>133.33600000000001</v>
      </c>
      <c r="F253" s="404">
        <f>-133.336</f>
        <v>-133.33600000000001</v>
      </c>
      <c r="G253" s="403">
        <f>E253+F253+I252</f>
        <v>0</v>
      </c>
      <c r="H253" s="403"/>
      <c r="I253" s="383">
        <f>G253-H253</f>
        <v>0</v>
      </c>
      <c r="J253" s="405" t="e">
        <f t="shared" si="333"/>
        <v>#DIV/0!</v>
      </c>
      <c r="K253" s="867"/>
      <c r="L253" s="920"/>
      <c r="M253" s="920"/>
      <c r="N253" s="867"/>
      <c r="O253" s="906"/>
      <c r="P253" s="918"/>
    </row>
    <row r="254" spans="1:16" ht="17.25" customHeight="1">
      <c r="A254" s="913"/>
      <c r="B254" s="873"/>
      <c r="C254" s="96">
        <v>42248</v>
      </c>
      <c r="D254" s="138">
        <v>42369</v>
      </c>
      <c r="E254" s="400">
        <v>523.80399999999997</v>
      </c>
      <c r="F254" s="401">
        <f>-523.804</f>
        <v>-523.80399999999997</v>
      </c>
      <c r="G254" s="403">
        <f>E254+F254+I253</f>
        <v>0</v>
      </c>
      <c r="H254" s="400"/>
      <c r="I254" s="374">
        <f t="shared" ref="I254:I308" si="337">G254-H254</f>
        <v>0</v>
      </c>
      <c r="J254" s="402" t="e">
        <f t="shared" si="333"/>
        <v>#DIV/0!</v>
      </c>
      <c r="K254" s="867"/>
      <c r="L254" s="921"/>
      <c r="M254" s="921"/>
      <c r="N254" s="867"/>
      <c r="O254" s="906"/>
      <c r="P254" s="918"/>
    </row>
    <row r="255" spans="1:16" ht="17.25" customHeight="1">
      <c r="A255" s="913"/>
      <c r="B255" s="871" t="s">
        <v>10</v>
      </c>
      <c r="C255" s="95">
        <v>42005</v>
      </c>
      <c r="D255" s="136">
        <v>42124</v>
      </c>
      <c r="E255" s="397">
        <v>16339.612999999999</v>
      </c>
      <c r="F255" s="398">
        <f>-600-6000</f>
        <v>-6600</v>
      </c>
      <c r="G255" s="397">
        <f>E255+F255</f>
        <v>9739.6129999999994</v>
      </c>
      <c r="H255" s="397">
        <v>7779.0659999999998</v>
      </c>
      <c r="I255" s="371">
        <f t="shared" si="337"/>
        <v>1960.5469999999996</v>
      </c>
      <c r="J255" s="399">
        <f t="shared" si="333"/>
        <v>0.79870380886797043</v>
      </c>
      <c r="K255" s="867">
        <f t="shared" ref="K255:L255" si="338">E255+E256+E257</f>
        <v>25813.447</v>
      </c>
      <c r="L255" s="919">
        <f t="shared" si="338"/>
        <v>-10291</v>
      </c>
      <c r="M255" s="919">
        <f t="shared" ref="M255" si="339">K255+L255</f>
        <v>15522.447</v>
      </c>
      <c r="N255" s="867">
        <f>H255+H256+H257</f>
        <v>15426.797999999999</v>
      </c>
      <c r="O255" s="906">
        <f t="shared" ref="O255" si="340">M255-N255</f>
        <v>95.649000000001251</v>
      </c>
      <c r="P255" s="989">
        <f t="shared" ref="P255" si="341">N255/M255</f>
        <v>0.99383802051313164</v>
      </c>
    </row>
    <row r="256" spans="1:16" ht="17.25" customHeight="1">
      <c r="A256" s="913"/>
      <c r="B256" s="872"/>
      <c r="C256" s="97">
        <v>42125</v>
      </c>
      <c r="D256" s="137">
        <v>42247</v>
      </c>
      <c r="E256" s="403">
        <v>1922.278</v>
      </c>
      <c r="F256" s="408">
        <f>1500-1971-240</f>
        <v>-711</v>
      </c>
      <c r="G256" s="403">
        <f>E256+F256+I255</f>
        <v>3171.8249999999998</v>
      </c>
      <c r="H256" s="403">
        <v>426.01499999999999</v>
      </c>
      <c r="I256" s="383">
        <f t="shared" si="337"/>
        <v>2745.81</v>
      </c>
      <c r="J256" s="405">
        <f t="shared" si="333"/>
        <v>0.13431226502092644</v>
      </c>
      <c r="K256" s="867"/>
      <c r="L256" s="920"/>
      <c r="M256" s="920"/>
      <c r="N256" s="867"/>
      <c r="O256" s="906"/>
      <c r="P256" s="989"/>
    </row>
    <row r="257" spans="1:17" ht="17.25" customHeight="1">
      <c r="A257" s="913"/>
      <c r="B257" s="873"/>
      <c r="C257" s="96">
        <v>42248</v>
      </c>
      <c r="D257" s="138">
        <v>42369</v>
      </c>
      <c r="E257" s="400">
        <v>7551.5559999999996</v>
      </c>
      <c r="F257" s="400">
        <f>-300-2680</f>
        <v>-2980</v>
      </c>
      <c r="G257" s="403">
        <f>E257+F257+I256</f>
        <v>7317.366</v>
      </c>
      <c r="H257" s="400">
        <v>7221.7169999999996</v>
      </c>
      <c r="I257" s="374">
        <f t="shared" si="337"/>
        <v>95.649000000000342</v>
      </c>
      <c r="J257" s="402">
        <f t="shared" si="333"/>
        <v>0.98692849312170527</v>
      </c>
      <c r="K257" s="867"/>
      <c r="L257" s="921"/>
      <c r="M257" s="921"/>
      <c r="N257" s="867"/>
      <c r="O257" s="906"/>
      <c r="P257" s="989"/>
    </row>
    <row r="258" spans="1:17" ht="17.25" customHeight="1">
      <c r="A258" s="913"/>
      <c r="B258" s="871" t="s">
        <v>8</v>
      </c>
      <c r="C258" s="95">
        <v>42005</v>
      </c>
      <c r="D258" s="136">
        <v>42124</v>
      </c>
      <c r="E258" s="397">
        <v>11954.148999999999</v>
      </c>
      <c r="F258" s="398">
        <f>-2300</f>
        <v>-2300</v>
      </c>
      <c r="G258" s="397">
        <f>E258+F258</f>
        <v>9654.1489999999994</v>
      </c>
      <c r="H258" s="397">
        <v>6119.8159999999998</v>
      </c>
      <c r="I258" s="371">
        <f t="shared" si="337"/>
        <v>3534.3329999999996</v>
      </c>
      <c r="J258" s="399">
        <f t="shared" si="333"/>
        <v>0.63390527740974378</v>
      </c>
      <c r="K258" s="867">
        <f t="shared" ref="K258:L258" si="342">E258+E259+E260</f>
        <v>18885.256999999998</v>
      </c>
      <c r="L258" s="919">
        <f t="shared" si="342"/>
        <v>-3960</v>
      </c>
      <c r="M258" s="919">
        <f t="shared" ref="M258" si="343">K258+L258</f>
        <v>14925.256999999998</v>
      </c>
      <c r="N258" s="867">
        <f>H258+H259+H260</f>
        <v>14902.530999999999</v>
      </c>
      <c r="O258" s="906">
        <f t="shared" ref="O258" si="344">M258-N258</f>
        <v>22.725999999998749</v>
      </c>
      <c r="P258" s="989">
        <f t="shared" ref="P258" si="345">N258/M258</f>
        <v>0.99847734615223049</v>
      </c>
    </row>
    <row r="259" spans="1:17" ht="17.25" customHeight="1">
      <c r="A259" s="913"/>
      <c r="B259" s="872"/>
      <c r="C259" s="97">
        <v>42125</v>
      </c>
      <c r="D259" s="137">
        <v>42247</v>
      </c>
      <c r="E259" s="403">
        <v>1406.3489999999999</v>
      </c>
      <c r="F259" s="403"/>
      <c r="G259" s="403">
        <f>E259+F259+I258</f>
        <v>4940.6819999999998</v>
      </c>
      <c r="H259" s="403">
        <v>689.625</v>
      </c>
      <c r="I259" s="383">
        <f t="shared" si="337"/>
        <v>4251.0569999999998</v>
      </c>
      <c r="J259" s="405">
        <f t="shared" si="333"/>
        <v>0.13958093234901578</v>
      </c>
      <c r="K259" s="867"/>
      <c r="L259" s="920"/>
      <c r="M259" s="920"/>
      <c r="N259" s="867"/>
      <c r="O259" s="906"/>
      <c r="P259" s="989"/>
    </row>
    <row r="260" spans="1:17" ht="17.25" customHeight="1">
      <c r="A260" s="913"/>
      <c r="B260" s="872"/>
      <c r="C260" s="96">
        <v>42248</v>
      </c>
      <c r="D260" s="138">
        <v>42369</v>
      </c>
      <c r="E260" s="403">
        <v>5524.759</v>
      </c>
      <c r="F260" s="404">
        <f>-1600-60</f>
        <v>-1660</v>
      </c>
      <c r="G260" s="403">
        <f>E260+F260+I259</f>
        <v>8115.8159999999998</v>
      </c>
      <c r="H260" s="403">
        <v>8093.09</v>
      </c>
      <c r="I260" s="383">
        <f t="shared" si="337"/>
        <v>22.725999999999658</v>
      </c>
      <c r="J260" s="405">
        <f t="shared" si="333"/>
        <v>0.99719978865957537</v>
      </c>
      <c r="K260" s="867"/>
      <c r="L260" s="921"/>
      <c r="M260" s="921"/>
      <c r="N260" s="867"/>
      <c r="O260" s="906"/>
      <c r="P260" s="989"/>
    </row>
    <row r="261" spans="1:17" ht="17.25" customHeight="1">
      <c r="A261" s="913"/>
      <c r="B261" s="871" t="s">
        <v>296</v>
      </c>
      <c r="C261" s="95">
        <v>42005</v>
      </c>
      <c r="D261" s="136">
        <v>42124</v>
      </c>
      <c r="E261" s="397">
        <v>642.49199999999996</v>
      </c>
      <c r="F261" s="398">
        <f>-583.674</f>
        <v>-583.67399999999998</v>
      </c>
      <c r="G261" s="397">
        <f>E261+F261</f>
        <v>58.817999999999984</v>
      </c>
      <c r="H261" s="397"/>
      <c r="I261" s="371">
        <f t="shared" si="337"/>
        <v>58.817999999999984</v>
      </c>
      <c r="J261" s="399">
        <f t="shared" si="333"/>
        <v>0</v>
      </c>
      <c r="K261" s="867">
        <f t="shared" ref="K261:L261" si="346">E261+E262+E263</f>
        <v>1015.0129999999999</v>
      </c>
      <c r="L261" s="919">
        <f t="shared" si="346"/>
        <v>-686.67899999999997</v>
      </c>
      <c r="M261" s="919">
        <f t="shared" ref="M261" si="347">K261+L261</f>
        <v>328.33399999999995</v>
      </c>
      <c r="N261" s="867">
        <f>H261+H262+H263</f>
        <v>0</v>
      </c>
      <c r="O261" s="906">
        <f t="shared" ref="O261" si="348">M261-N261</f>
        <v>328.33399999999995</v>
      </c>
      <c r="P261" s="918">
        <f t="shared" ref="P261" si="349">N261/M261</f>
        <v>0</v>
      </c>
    </row>
    <row r="262" spans="1:17" ht="17.25" customHeight="1">
      <c r="A262" s="913"/>
      <c r="B262" s="872"/>
      <c r="C262" s="97">
        <v>42125</v>
      </c>
      <c r="D262" s="137">
        <v>42247</v>
      </c>
      <c r="E262" s="403">
        <v>75.585999999999999</v>
      </c>
      <c r="F262" s="404">
        <f>-68.67</f>
        <v>-68.67</v>
      </c>
      <c r="G262" s="403">
        <f>E262+F262+I261</f>
        <v>65.73399999999998</v>
      </c>
      <c r="H262" s="403"/>
      <c r="I262" s="383">
        <f t="shared" si="337"/>
        <v>65.73399999999998</v>
      </c>
      <c r="J262" s="405">
        <f t="shared" si="333"/>
        <v>0</v>
      </c>
      <c r="K262" s="867"/>
      <c r="L262" s="920"/>
      <c r="M262" s="920"/>
      <c r="N262" s="867"/>
      <c r="O262" s="906"/>
      <c r="P262" s="918"/>
    </row>
    <row r="263" spans="1:17" ht="17.25" customHeight="1">
      <c r="A263" s="913"/>
      <c r="B263" s="873"/>
      <c r="C263" s="96">
        <v>42248</v>
      </c>
      <c r="D263" s="138">
        <v>42369</v>
      </c>
      <c r="E263" s="400">
        <v>296.935</v>
      </c>
      <c r="F263" s="401">
        <f>-34.335</f>
        <v>-34.335000000000001</v>
      </c>
      <c r="G263" s="403">
        <f>E263+F263+I262</f>
        <v>328.334</v>
      </c>
      <c r="H263" s="400"/>
      <c r="I263" s="374">
        <f t="shared" si="337"/>
        <v>328.334</v>
      </c>
      <c r="J263" s="402">
        <f t="shared" si="333"/>
        <v>0</v>
      </c>
      <c r="K263" s="867"/>
      <c r="L263" s="921"/>
      <c r="M263" s="921"/>
      <c r="N263" s="867"/>
      <c r="O263" s="906"/>
      <c r="P263" s="918"/>
    </row>
    <row r="264" spans="1:17" ht="17.25" customHeight="1">
      <c r="A264" s="913"/>
      <c r="B264" s="874" t="s">
        <v>301</v>
      </c>
      <c r="C264" s="95">
        <v>42005</v>
      </c>
      <c r="D264" s="136">
        <v>42124</v>
      </c>
      <c r="E264" s="397">
        <v>642.49199999999996</v>
      </c>
      <c r="F264" s="398">
        <f>-631.678-47.543</f>
        <v>-679.221</v>
      </c>
      <c r="G264" s="397">
        <f>E264+F264</f>
        <v>-36.729000000000042</v>
      </c>
      <c r="H264" s="397"/>
      <c r="I264" s="371">
        <f t="shared" ref="I264:I269" si="350">G264-H264</f>
        <v>-36.729000000000042</v>
      </c>
      <c r="J264" s="399">
        <f t="shared" ref="J264:J269" si="351">H264/G264</f>
        <v>0</v>
      </c>
      <c r="K264" s="867">
        <f t="shared" ref="K264:L264" si="352">E264+E265+E266</f>
        <v>1015.0129999999999</v>
      </c>
      <c r="L264" s="919">
        <f t="shared" si="352"/>
        <v>-1007.8499999999999</v>
      </c>
      <c r="M264" s="919">
        <f t="shared" ref="M264" si="353">K264+L264</f>
        <v>7.1630000000000109</v>
      </c>
      <c r="N264" s="867">
        <f>H264+H265+H266</f>
        <v>0</v>
      </c>
      <c r="O264" s="906">
        <f t="shared" ref="O264" si="354">M264-N264</f>
        <v>7.1630000000000109</v>
      </c>
      <c r="P264" s="918">
        <f t="shared" ref="P264" si="355">N264/M264</f>
        <v>0</v>
      </c>
    </row>
    <row r="265" spans="1:17" ht="17.25" customHeight="1">
      <c r="A265" s="913"/>
      <c r="B265" s="875"/>
      <c r="C265" s="97">
        <v>42125</v>
      </c>
      <c r="D265" s="137">
        <v>42247</v>
      </c>
      <c r="E265" s="403">
        <v>75.585999999999999</v>
      </c>
      <c r="F265" s="404">
        <f>-68.67</f>
        <v>-68.67</v>
      </c>
      <c r="G265" s="403">
        <f>E265+F265+I264</f>
        <v>-29.813000000000045</v>
      </c>
      <c r="H265" s="403"/>
      <c r="I265" s="383">
        <f t="shared" si="350"/>
        <v>-29.813000000000045</v>
      </c>
      <c r="J265" s="405">
        <f t="shared" si="351"/>
        <v>0</v>
      </c>
      <c r="K265" s="867"/>
      <c r="L265" s="920"/>
      <c r="M265" s="920"/>
      <c r="N265" s="867"/>
      <c r="O265" s="906"/>
      <c r="P265" s="918"/>
    </row>
    <row r="266" spans="1:17" ht="17.25" customHeight="1">
      <c r="A266" s="913"/>
      <c r="B266" s="876"/>
      <c r="C266" s="96">
        <v>42248</v>
      </c>
      <c r="D266" s="138">
        <v>42369</v>
      </c>
      <c r="E266" s="400">
        <v>296.935</v>
      </c>
      <c r="F266" s="401">
        <f>-34.335-225.624</f>
        <v>-259.959</v>
      </c>
      <c r="G266" s="400">
        <f>E266+F266+I265</f>
        <v>7.1629999999999541</v>
      </c>
      <c r="H266" s="400"/>
      <c r="I266" s="374">
        <f t="shared" si="350"/>
        <v>7.1629999999999541</v>
      </c>
      <c r="J266" s="402">
        <f t="shared" si="351"/>
        <v>0</v>
      </c>
      <c r="K266" s="867"/>
      <c r="L266" s="921"/>
      <c r="M266" s="921"/>
      <c r="N266" s="867"/>
      <c r="O266" s="906"/>
      <c r="P266" s="918"/>
    </row>
    <row r="267" spans="1:17" ht="17.25" customHeight="1">
      <c r="A267" s="913"/>
      <c r="B267" s="874" t="s">
        <v>302</v>
      </c>
      <c r="C267" s="97">
        <v>42005</v>
      </c>
      <c r="D267" s="137">
        <v>42124</v>
      </c>
      <c r="E267" s="403">
        <v>642.49199999999996</v>
      </c>
      <c r="F267" s="398">
        <f>-47.543</f>
        <v>-47.542999999999999</v>
      </c>
      <c r="G267" s="403">
        <f>E267+F267</f>
        <v>594.94899999999996</v>
      </c>
      <c r="H267" s="403"/>
      <c r="I267" s="371">
        <f t="shared" si="350"/>
        <v>594.94899999999996</v>
      </c>
      <c r="J267" s="399">
        <f t="shared" si="351"/>
        <v>0</v>
      </c>
      <c r="K267" s="867">
        <f t="shared" ref="K267:L267" si="356">E267+E268+E269</f>
        <v>1015.0129999999999</v>
      </c>
      <c r="L267" s="919">
        <f t="shared" si="356"/>
        <v>-150.39400000000001</v>
      </c>
      <c r="M267" s="919">
        <f t="shared" ref="M267" si="357">K267+L267</f>
        <v>864.61899999999991</v>
      </c>
      <c r="N267" s="867">
        <f>H267+H268+H269</f>
        <v>0</v>
      </c>
      <c r="O267" s="906">
        <f t="shared" ref="O267" si="358">M267-N267</f>
        <v>864.61899999999991</v>
      </c>
      <c r="P267" s="918">
        <f t="shared" ref="P267:P282" si="359">N267/M267</f>
        <v>0</v>
      </c>
    </row>
    <row r="268" spans="1:17" ht="17.25" customHeight="1">
      <c r="A268" s="913"/>
      <c r="B268" s="875"/>
      <c r="C268" s="97">
        <v>42125</v>
      </c>
      <c r="D268" s="137">
        <v>42247</v>
      </c>
      <c r="E268" s="403">
        <v>75.585999999999999</v>
      </c>
      <c r="F268" s="404">
        <f>-68.67</f>
        <v>-68.67</v>
      </c>
      <c r="G268" s="403">
        <f>E268+F268+I267</f>
        <v>601.86500000000001</v>
      </c>
      <c r="H268" s="403"/>
      <c r="I268" s="383">
        <f t="shared" si="350"/>
        <v>601.86500000000001</v>
      </c>
      <c r="J268" s="405">
        <f t="shared" si="351"/>
        <v>0</v>
      </c>
      <c r="K268" s="867"/>
      <c r="L268" s="920"/>
      <c r="M268" s="920"/>
      <c r="N268" s="867"/>
      <c r="O268" s="906"/>
      <c r="P268" s="918"/>
    </row>
    <row r="269" spans="1:17" ht="17.25" customHeight="1">
      <c r="A269" s="913"/>
      <c r="B269" s="876"/>
      <c r="C269" s="96">
        <v>42248</v>
      </c>
      <c r="D269" s="138">
        <v>42369</v>
      </c>
      <c r="E269" s="400">
        <v>296.935</v>
      </c>
      <c r="F269" s="401">
        <f>-34.181</f>
        <v>-34.180999999999997</v>
      </c>
      <c r="G269" s="403">
        <f>E269+F269+I268</f>
        <v>864.61900000000003</v>
      </c>
      <c r="H269" s="403"/>
      <c r="I269" s="374">
        <f t="shared" si="350"/>
        <v>864.61900000000003</v>
      </c>
      <c r="J269" s="402">
        <f t="shared" si="351"/>
        <v>0</v>
      </c>
      <c r="K269" s="867"/>
      <c r="L269" s="921"/>
      <c r="M269" s="921"/>
      <c r="N269" s="867"/>
      <c r="O269" s="906"/>
      <c r="P269" s="918"/>
    </row>
    <row r="270" spans="1:17" ht="17.25" customHeight="1">
      <c r="A270" s="913"/>
      <c r="B270" s="871" t="s">
        <v>58</v>
      </c>
      <c r="C270" s="95">
        <v>42005</v>
      </c>
      <c r="D270" s="136">
        <v>42124</v>
      </c>
      <c r="E270" s="397">
        <v>617.05799999999999</v>
      </c>
      <c r="F270" s="408">
        <f>700.641+686.602+347.191+631.678-126.85-500.432-80.359</f>
        <v>1658.4710000000002</v>
      </c>
      <c r="G270" s="397">
        <f>E270+F270</f>
        <v>2275.5290000000005</v>
      </c>
      <c r="H270" s="397">
        <v>1045.0909999999999</v>
      </c>
      <c r="I270" s="371">
        <f t="shared" si="337"/>
        <v>1230.4380000000006</v>
      </c>
      <c r="J270" s="399">
        <f t="shared" si="333"/>
        <v>0.45927386554950506</v>
      </c>
      <c r="K270" s="867">
        <f t="shared" ref="K270:L270" si="360">E270+E271+E272</f>
        <v>974.83300000000008</v>
      </c>
      <c r="L270" s="919">
        <f t="shared" si="360"/>
        <v>1658.4710000000002</v>
      </c>
      <c r="M270" s="919">
        <f t="shared" ref="M270" si="361">K270+L270</f>
        <v>2633.3040000000001</v>
      </c>
      <c r="N270" s="867">
        <v>2521.04</v>
      </c>
      <c r="O270" s="906">
        <f t="shared" ref="O270" si="362">M270-N270</f>
        <v>112.26400000000012</v>
      </c>
      <c r="P270" s="989">
        <f t="shared" si="359"/>
        <v>0.95736762637355954</v>
      </c>
    </row>
    <row r="271" spans="1:17" ht="17.25" customHeight="1">
      <c r="A271" s="913"/>
      <c r="B271" s="872"/>
      <c r="C271" s="97">
        <v>42125</v>
      </c>
      <c r="D271" s="137">
        <v>42247</v>
      </c>
      <c r="E271" s="403">
        <v>72.593999999999994</v>
      </c>
      <c r="F271" s="404"/>
      <c r="G271" s="403">
        <f>E271+F271+I270</f>
        <v>1303.0320000000006</v>
      </c>
      <c r="H271" s="403"/>
      <c r="I271" s="383">
        <f t="shared" si="337"/>
        <v>1303.0320000000006</v>
      </c>
      <c r="J271" s="405">
        <f t="shared" si="333"/>
        <v>0</v>
      </c>
      <c r="K271" s="867"/>
      <c r="L271" s="920"/>
      <c r="M271" s="920"/>
      <c r="N271" s="867"/>
      <c r="O271" s="906"/>
      <c r="P271" s="989"/>
      <c r="Q271" s="780"/>
    </row>
    <row r="272" spans="1:17" ht="17.25" customHeight="1">
      <c r="A272" s="913"/>
      <c r="B272" s="873"/>
      <c r="C272" s="96">
        <v>42248</v>
      </c>
      <c r="D272" s="138">
        <v>42369</v>
      </c>
      <c r="E272" s="400">
        <v>285.18099999999998</v>
      </c>
      <c r="F272" s="401"/>
      <c r="G272" s="403">
        <f>E272+F272+I271</f>
        <v>1588.2130000000006</v>
      </c>
      <c r="H272" s="400">
        <v>1907.451</v>
      </c>
      <c r="I272" s="374">
        <f t="shared" si="337"/>
        <v>-319.23799999999937</v>
      </c>
      <c r="J272" s="402">
        <f t="shared" si="333"/>
        <v>1.2010045252116683</v>
      </c>
      <c r="K272" s="867"/>
      <c r="L272" s="921"/>
      <c r="M272" s="921"/>
      <c r="N272" s="867"/>
      <c r="O272" s="906"/>
      <c r="P272" s="989"/>
    </row>
    <row r="273" spans="1:16" ht="17.25" customHeight="1">
      <c r="A273" s="913"/>
      <c r="B273" s="871" t="s">
        <v>53</v>
      </c>
      <c r="C273" s="95">
        <v>42005</v>
      </c>
      <c r="D273" s="136">
        <v>42124</v>
      </c>
      <c r="E273" s="397">
        <v>1891.229</v>
      </c>
      <c r="F273" s="408">
        <f>-960-71</f>
        <v>-1031</v>
      </c>
      <c r="G273" s="397">
        <f>E273+F273</f>
        <v>860.22900000000004</v>
      </c>
      <c r="H273" s="397">
        <v>1058.2570000000001</v>
      </c>
      <c r="I273" s="371">
        <f t="shared" si="337"/>
        <v>-198.02800000000002</v>
      </c>
      <c r="J273" s="399">
        <f t="shared" si="333"/>
        <v>1.2302038178206036</v>
      </c>
      <c r="K273" s="867">
        <f t="shared" ref="K273" si="363">E273+E274+E275</f>
        <v>2987.7779999999998</v>
      </c>
      <c r="L273" s="919">
        <f>F273+F274+F275</f>
        <v>-1924</v>
      </c>
      <c r="M273" s="919">
        <f>K273+L273</f>
        <v>1063.7779999999998</v>
      </c>
      <c r="N273" s="867">
        <f>H273+H274+H275</f>
        <v>1058.2570000000001</v>
      </c>
      <c r="O273" s="906">
        <f t="shared" ref="O273" si="364">M273-N273</f>
        <v>5.5209999999997308</v>
      </c>
      <c r="P273" s="989">
        <f t="shared" si="359"/>
        <v>0.9948100073511581</v>
      </c>
    </row>
    <row r="274" spans="1:16" ht="17.25" customHeight="1">
      <c r="A274" s="913"/>
      <c r="B274" s="872"/>
      <c r="C274" s="97">
        <v>42125</v>
      </c>
      <c r="D274" s="137">
        <v>42247</v>
      </c>
      <c r="E274" s="403">
        <v>222.494</v>
      </c>
      <c r="F274" s="404">
        <f>-128</f>
        <v>-128</v>
      </c>
      <c r="G274" s="403">
        <f>E274+F274+I273</f>
        <v>-103.53400000000002</v>
      </c>
      <c r="H274" s="403"/>
      <c r="I274" s="383">
        <f t="shared" si="337"/>
        <v>-103.53400000000002</v>
      </c>
      <c r="J274" s="405">
        <f t="shared" si="333"/>
        <v>0</v>
      </c>
      <c r="K274" s="867"/>
      <c r="L274" s="920"/>
      <c r="M274" s="920"/>
      <c r="N274" s="867"/>
      <c r="O274" s="906"/>
      <c r="P274" s="989"/>
    </row>
    <row r="275" spans="1:16" ht="17.25" customHeight="1">
      <c r="A275" s="913"/>
      <c r="B275" s="873"/>
      <c r="C275" s="96">
        <v>42248</v>
      </c>
      <c r="D275" s="138">
        <v>42369</v>
      </c>
      <c r="E275" s="400">
        <v>874.05499999999995</v>
      </c>
      <c r="F275" s="409">
        <f>-765</f>
        <v>-765</v>
      </c>
      <c r="G275" s="403">
        <f>E275+F275+I274</f>
        <v>5.5209999999999297</v>
      </c>
      <c r="H275" s="400"/>
      <c r="I275" s="374">
        <f t="shared" si="337"/>
        <v>5.5209999999999297</v>
      </c>
      <c r="J275" s="402">
        <f t="shared" si="333"/>
        <v>0</v>
      </c>
      <c r="K275" s="867"/>
      <c r="L275" s="921"/>
      <c r="M275" s="921"/>
      <c r="N275" s="867"/>
      <c r="O275" s="906"/>
      <c r="P275" s="989"/>
    </row>
    <row r="276" spans="1:16" ht="17.25" customHeight="1">
      <c r="A276" s="913"/>
      <c r="B276" s="871" t="s">
        <v>11</v>
      </c>
      <c r="C276" s="95">
        <v>42005</v>
      </c>
      <c r="D276" s="136">
        <v>42124</v>
      </c>
      <c r="E276" s="397">
        <v>22.132999999999999</v>
      </c>
      <c r="F276" s="398">
        <f>-22.133</f>
        <v>-22.132999999999999</v>
      </c>
      <c r="G276" s="397">
        <f>E276+F276</f>
        <v>0</v>
      </c>
      <c r="H276" s="397"/>
      <c r="I276" s="371">
        <f t="shared" si="337"/>
        <v>0</v>
      </c>
      <c r="J276" s="399" t="e">
        <f t="shared" si="333"/>
        <v>#DIV/0!</v>
      </c>
      <c r="K276" s="867">
        <f t="shared" ref="K276:L276" si="365">E276+E277+E278</f>
        <v>34.965999999999994</v>
      </c>
      <c r="L276" s="919">
        <f t="shared" si="365"/>
        <v>-34.965999999999994</v>
      </c>
      <c r="M276" s="919">
        <f t="shared" ref="M276" si="366">K276+L276</f>
        <v>0</v>
      </c>
      <c r="N276" s="867">
        <f>H276+H277+H278</f>
        <v>0</v>
      </c>
      <c r="O276" s="906">
        <f>M276-N276</f>
        <v>0</v>
      </c>
      <c r="P276" s="918" t="e">
        <f t="shared" si="359"/>
        <v>#DIV/0!</v>
      </c>
    </row>
    <row r="277" spans="1:16" ht="17.25" customHeight="1">
      <c r="A277" s="913"/>
      <c r="B277" s="872"/>
      <c r="C277" s="97">
        <v>42125</v>
      </c>
      <c r="D277" s="137">
        <v>42247</v>
      </c>
      <c r="E277" s="403">
        <v>2.6040000000000001</v>
      </c>
      <c r="F277" s="404">
        <f>-2.604</f>
        <v>-2.6040000000000001</v>
      </c>
      <c r="G277" s="403">
        <f>E277+F277+I276</f>
        <v>0</v>
      </c>
      <c r="H277" s="403"/>
      <c r="I277" s="383">
        <f t="shared" si="337"/>
        <v>0</v>
      </c>
      <c r="J277" s="405" t="e">
        <f t="shared" si="333"/>
        <v>#DIV/0!</v>
      </c>
      <c r="K277" s="867"/>
      <c r="L277" s="920"/>
      <c r="M277" s="920"/>
      <c r="N277" s="867"/>
      <c r="O277" s="906"/>
      <c r="P277" s="918"/>
    </row>
    <row r="278" spans="1:16" ht="17.25" customHeight="1">
      <c r="A278" s="913"/>
      <c r="B278" s="873"/>
      <c r="C278" s="96">
        <v>42248</v>
      </c>
      <c r="D278" s="138">
        <v>42369</v>
      </c>
      <c r="E278" s="400">
        <v>10.228999999999999</v>
      </c>
      <c r="F278" s="401">
        <f>-10.229</f>
        <v>-10.228999999999999</v>
      </c>
      <c r="G278" s="403">
        <f>E278+F278+I277</f>
        <v>0</v>
      </c>
      <c r="H278" s="400"/>
      <c r="I278" s="374">
        <f t="shared" si="337"/>
        <v>0</v>
      </c>
      <c r="J278" s="402" t="e">
        <f t="shared" si="333"/>
        <v>#DIV/0!</v>
      </c>
      <c r="K278" s="867"/>
      <c r="L278" s="921"/>
      <c r="M278" s="921"/>
      <c r="N278" s="867"/>
      <c r="O278" s="906"/>
      <c r="P278" s="918"/>
    </row>
    <row r="279" spans="1:16" ht="17.25" customHeight="1">
      <c r="A279" s="913"/>
      <c r="B279" s="871" t="s">
        <v>45</v>
      </c>
      <c r="C279" s="95">
        <v>42005</v>
      </c>
      <c r="D279" s="136">
        <v>42124</v>
      </c>
      <c r="E279" s="397">
        <v>117.95699999999999</v>
      </c>
      <c r="F279" s="398">
        <f>-117.957</f>
        <v>-117.95699999999999</v>
      </c>
      <c r="G279" s="397">
        <f>E279+F279</f>
        <v>0</v>
      </c>
      <c r="H279" s="397"/>
      <c r="I279" s="371">
        <f t="shared" si="337"/>
        <v>0</v>
      </c>
      <c r="J279" s="399" t="e">
        <f t="shared" si="333"/>
        <v>#DIV/0!</v>
      </c>
      <c r="K279" s="867">
        <f t="shared" ref="K279:L279" si="367">E279+E280+E281</f>
        <v>186.34899999999999</v>
      </c>
      <c r="L279" s="919">
        <f t="shared" si="367"/>
        <v>-186.34899999999999</v>
      </c>
      <c r="M279" s="919">
        <f t="shared" ref="M279" si="368">K279+L279</f>
        <v>0</v>
      </c>
      <c r="N279" s="867">
        <f>H279+H280+H281</f>
        <v>0</v>
      </c>
      <c r="O279" s="906">
        <f t="shared" ref="O279" si="369">M279-N279</f>
        <v>0</v>
      </c>
      <c r="P279" s="918" t="e">
        <f t="shared" si="359"/>
        <v>#DIV/0!</v>
      </c>
    </row>
    <row r="280" spans="1:16" ht="17.25" customHeight="1">
      <c r="A280" s="913"/>
      <c r="B280" s="872"/>
      <c r="C280" s="97">
        <v>42125</v>
      </c>
      <c r="D280" s="137">
        <v>42247</v>
      </c>
      <c r="E280" s="403">
        <v>13.877000000000001</v>
      </c>
      <c r="F280" s="404">
        <f>-13.877</f>
        <v>-13.877000000000001</v>
      </c>
      <c r="G280" s="403">
        <f>E280+F280+I279</f>
        <v>0</v>
      </c>
      <c r="H280" s="403"/>
      <c r="I280" s="383">
        <f t="shared" si="337"/>
        <v>0</v>
      </c>
      <c r="J280" s="405" t="e">
        <f t="shared" si="333"/>
        <v>#DIV/0!</v>
      </c>
      <c r="K280" s="867"/>
      <c r="L280" s="920"/>
      <c r="M280" s="920"/>
      <c r="N280" s="867"/>
      <c r="O280" s="906"/>
      <c r="P280" s="918"/>
    </row>
    <row r="281" spans="1:16" ht="17.25" customHeight="1">
      <c r="A281" s="913"/>
      <c r="B281" s="873"/>
      <c r="C281" s="96">
        <v>42248</v>
      </c>
      <c r="D281" s="138">
        <v>42369</v>
      </c>
      <c r="E281" s="400">
        <v>54.515000000000001</v>
      </c>
      <c r="F281" s="401">
        <f>-54.515</f>
        <v>-54.515000000000001</v>
      </c>
      <c r="G281" s="403">
        <f>E281+F281+I280</f>
        <v>0</v>
      </c>
      <c r="H281" s="400"/>
      <c r="I281" s="374">
        <f t="shared" si="337"/>
        <v>0</v>
      </c>
      <c r="J281" s="402" t="e">
        <f t="shared" si="333"/>
        <v>#DIV/0!</v>
      </c>
      <c r="K281" s="867"/>
      <c r="L281" s="921"/>
      <c r="M281" s="921"/>
      <c r="N281" s="867"/>
      <c r="O281" s="906"/>
      <c r="P281" s="918"/>
    </row>
    <row r="282" spans="1:16" ht="17.25" customHeight="1">
      <c r="A282" s="913"/>
      <c r="B282" s="874" t="s">
        <v>300</v>
      </c>
      <c r="C282" s="95">
        <v>42005</v>
      </c>
      <c r="D282" s="136">
        <v>42124</v>
      </c>
      <c r="E282" s="403">
        <v>642.41999999999996</v>
      </c>
      <c r="F282" s="404">
        <f>-642.42</f>
        <v>-642.41999999999996</v>
      </c>
      <c r="G282" s="397">
        <f>E282+F282</f>
        <v>0</v>
      </c>
      <c r="H282" s="403"/>
      <c r="I282" s="371">
        <f>G282-H282</f>
        <v>0</v>
      </c>
      <c r="J282" s="399" t="e">
        <f>H282/G282</f>
        <v>#DIV/0!</v>
      </c>
      <c r="K282" s="867">
        <f t="shared" ref="K282:L282" si="370">E282+E283+E284</f>
        <v>1014.8999999999999</v>
      </c>
      <c r="L282" s="919">
        <f t="shared" si="370"/>
        <v>-1001.471</v>
      </c>
      <c r="M282" s="919">
        <f t="shared" ref="M282" si="371">K282+L282</f>
        <v>13.42899999999986</v>
      </c>
      <c r="N282" s="867">
        <f>H282+H283+H284</f>
        <v>0</v>
      </c>
      <c r="O282" s="906">
        <f t="shared" ref="O282" si="372">M282-N282</f>
        <v>13.42899999999986</v>
      </c>
      <c r="P282" s="918">
        <f t="shared" si="359"/>
        <v>0</v>
      </c>
    </row>
    <row r="283" spans="1:16" ht="17.25" customHeight="1">
      <c r="A283" s="913"/>
      <c r="B283" s="875"/>
      <c r="C283" s="97">
        <v>42125</v>
      </c>
      <c r="D283" s="137">
        <v>42247</v>
      </c>
      <c r="E283" s="403">
        <v>75.578000000000003</v>
      </c>
      <c r="F283" s="404">
        <f>-58.221</f>
        <v>-58.220999999999997</v>
      </c>
      <c r="G283" s="403">
        <f>E283+F283+I282</f>
        <v>17.357000000000006</v>
      </c>
      <c r="H283" s="403"/>
      <c r="I283" s="383">
        <f>G283-H283</f>
        <v>17.357000000000006</v>
      </c>
      <c r="J283" s="405">
        <f>H283/G283</f>
        <v>0</v>
      </c>
      <c r="K283" s="867"/>
      <c r="L283" s="920"/>
      <c r="M283" s="920"/>
      <c r="N283" s="867"/>
      <c r="O283" s="906"/>
      <c r="P283" s="918"/>
    </row>
    <row r="284" spans="1:16" ht="17.25" customHeight="1">
      <c r="A284" s="913"/>
      <c r="B284" s="876"/>
      <c r="C284" s="96">
        <v>42248</v>
      </c>
      <c r="D284" s="138">
        <v>42369</v>
      </c>
      <c r="E284" s="403">
        <v>296.90199999999999</v>
      </c>
      <c r="F284" s="404">
        <f>-300.83</f>
        <v>-300.83</v>
      </c>
      <c r="G284" s="403">
        <f>E284+F284+I283</f>
        <v>13.429000000000009</v>
      </c>
      <c r="H284" s="403"/>
      <c r="I284" s="374">
        <f>G284-H284</f>
        <v>13.429000000000009</v>
      </c>
      <c r="J284" s="402">
        <f>H284/G284</f>
        <v>0</v>
      </c>
      <c r="K284" s="867"/>
      <c r="L284" s="921"/>
      <c r="M284" s="921"/>
      <c r="N284" s="867"/>
      <c r="O284" s="906"/>
      <c r="P284" s="918"/>
    </row>
    <row r="285" spans="1:16" ht="17.25" customHeight="1">
      <c r="A285" s="913"/>
      <c r="B285" s="871" t="s">
        <v>299</v>
      </c>
      <c r="C285" s="95">
        <v>42005</v>
      </c>
      <c r="D285" s="136">
        <v>42124</v>
      </c>
      <c r="E285" s="397">
        <v>642.41999999999996</v>
      </c>
      <c r="F285" s="398">
        <v>-583.60900000000004</v>
      </c>
      <c r="G285" s="397">
        <f>E285+F285</f>
        <v>58.810999999999922</v>
      </c>
      <c r="H285" s="397"/>
      <c r="I285" s="371">
        <f t="shared" si="337"/>
        <v>58.810999999999922</v>
      </c>
      <c r="J285" s="399">
        <f t="shared" si="333"/>
        <v>0</v>
      </c>
      <c r="K285" s="867">
        <f t="shared" ref="K285:L285" si="373">E285+E286+E287</f>
        <v>1014.8999999999999</v>
      </c>
      <c r="L285" s="919">
        <f t="shared" si="373"/>
        <v>-686.60200000000009</v>
      </c>
      <c r="M285" s="919">
        <f>K285+L285</f>
        <v>328.29799999999977</v>
      </c>
      <c r="N285" s="867">
        <f>H285+H286+H287</f>
        <v>0</v>
      </c>
      <c r="O285" s="906">
        <f t="shared" ref="O285" si="374">M285-N285</f>
        <v>328.29799999999977</v>
      </c>
      <c r="P285" s="918">
        <f t="shared" ref="P285:P297" si="375">N285/M285</f>
        <v>0</v>
      </c>
    </row>
    <row r="286" spans="1:16" ht="17.25" customHeight="1">
      <c r="A286" s="913"/>
      <c r="B286" s="872"/>
      <c r="C286" s="97">
        <v>42125</v>
      </c>
      <c r="D286" s="137">
        <v>42247</v>
      </c>
      <c r="E286" s="403">
        <v>75.578000000000003</v>
      </c>
      <c r="F286" s="404">
        <v>-68.662000000000006</v>
      </c>
      <c r="G286" s="403">
        <f>E286+F286+I285</f>
        <v>65.726999999999919</v>
      </c>
      <c r="H286" s="403"/>
      <c r="I286" s="383">
        <f t="shared" si="337"/>
        <v>65.726999999999919</v>
      </c>
      <c r="J286" s="405">
        <f t="shared" si="333"/>
        <v>0</v>
      </c>
      <c r="K286" s="867"/>
      <c r="L286" s="920"/>
      <c r="M286" s="920"/>
      <c r="N286" s="867"/>
      <c r="O286" s="906"/>
      <c r="P286" s="918"/>
    </row>
    <row r="287" spans="1:16" ht="17.25" customHeight="1">
      <c r="A287" s="913"/>
      <c r="B287" s="873"/>
      <c r="C287" s="96">
        <v>42248</v>
      </c>
      <c r="D287" s="138">
        <v>42369</v>
      </c>
      <c r="E287" s="400">
        <v>296.90199999999999</v>
      </c>
      <c r="F287" s="401">
        <v>-34.331000000000003</v>
      </c>
      <c r="G287" s="403">
        <f>E287+F287+I286</f>
        <v>328.29799999999989</v>
      </c>
      <c r="H287" s="400"/>
      <c r="I287" s="374">
        <f t="shared" si="337"/>
        <v>328.29799999999989</v>
      </c>
      <c r="J287" s="402">
        <f t="shared" si="333"/>
        <v>0</v>
      </c>
      <c r="K287" s="867"/>
      <c r="L287" s="921"/>
      <c r="M287" s="921"/>
      <c r="N287" s="867"/>
      <c r="O287" s="906"/>
      <c r="P287" s="918"/>
    </row>
    <row r="288" spans="1:16" ht="17.25" customHeight="1">
      <c r="A288" s="913"/>
      <c r="B288" s="871" t="s">
        <v>298</v>
      </c>
      <c r="C288" s="95">
        <v>42005</v>
      </c>
      <c r="D288" s="136">
        <v>42124</v>
      </c>
      <c r="E288" s="397">
        <v>642.41999999999996</v>
      </c>
      <c r="F288" s="398">
        <f>-278.196-364.224</f>
        <v>-642.42000000000007</v>
      </c>
      <c r="G288" s="397">
        <f>E288+F288</f>
        <v>0</v>
      </c>
      <c r="H288" s="397"/>
      <c r="I288" s="371">
        <f t="shared" si="337"/>
        <v>0</v>
      </c>
      <c r="J288" s="399" t="e">
        <f t="shared" si="333"/>
        <v>#DIV/0!</v>
      </c>
      <c r="K288" s="867">
        <f t="shared" ref="K288:L288" si="376">E288+E289+E290</f>
        <v>1014.8999999999999</v>
      </c>
      <c r="L288" s="919">
        <f t="shared" si="376"/>
        <v>-1013.787</v>
      </c>
      <c r="M288" s="919">
        <f t="shared" ref="M288" si="377">K288+L288</f>
        <v>1.112999999999829</v>
      </c>
      <c r="N288" s="867">
        <f>H288+H289+H290</f>
        <v>0</v>
      </c>
      <c r="O288" s="906">
        <f t="shared" ref="O288" si="378">M288-N288</f>
        <v>1.112999999999829</v>
      </c>
      <c r="P288" s="918">
        <f t="shared" si="375"/>
        <v>0</v>
      </c>
    </row>
    <row r="289" spans="1:17" ht="17.25" customHeight="1">
      <c r="A289" s="913"/>
      <c r="B289" s="872"/>
      <c r="C289" s="97">
        <v>42125</v>
      </c>
      <c r="D289" s="137">
        <v>42247</v>
      </c>
      <c r="E289" s="403">
        <v>75.578000000000003</v>
      </c>
      <c r="F289" s="404">
        <f>-75.578</f>
        <v>-75.578000000000003</v>
      </c>
      <c r="G289" s="403">
        <f>E289+F289+I288</f>
        <v>0</v>
      </c>
      <c r="H289" s="403"/>
      <c r="I289" s="383">
        <f t="shared" si="337"/>
        <v>0</v>
      </c>
      <c r="J289" s="405" t="e">
        <f t="shared" si="333"/>
        <v>#DIV/0!</v>
      </c>
      <c r="K289" s="867"/>
      <c r="L289" s="920"/>
      <c r="M289" s="920"/>
      <c r="N289" s="867"/>
      <c r="O289" s="906"/>
      <c r="P289" s="918"/>
    </row>
    <row r="290" spans="1:17" ht="17.25" customHeight="1">
      <c r="A290" s="913"/>
      <c r="B290" s="872"/>
      <c r="C290" s="96">
        <v>42248</v>
      </c>
      <c r="D290" s="138">
        <v>42369</v>
      </c>
      <c r="E290" s="403">
        <v>296.90199999999999</v>
      </c>
      <c r="F290" s="401">
        <f>-295.789</f>
        <v>-295.78899999999999</v>
      </c>
      <c r="G290" s="403">
        <f>E290+F290+I289</f>
        <v>1.1129999999999995</v>
      </c>
      <c r="H290" s="403"/>
      <c r="I290" s="383">
        <f t="shared" si="337"/>
        <v>1.1129999999999995</v>
      </c>
      <c r="J290" s="405">
        <f t="shared" si="333"/>
        <v>0</v>
      </c>
      <c r="K290" s="867"/>
      <c r="L290" s="921"/>
      <c r="M290" s="921"/>
      <c r="N290" s="867"/>
      <c r="O290" s="906"/>
      <c r="P290" s="918"/>
    </row>
    <row r="291" spans="1:17" ht="17.25" customHeight="1">
      <c r="A291" s="913"/>
      <c r="B291" s="871" t="s">
        <v>297</v>
      </c>
      <c r="C291" s="95">
        <v>42005</v>
      </c>
      <c r="D291" s="136">
        <v>42124</v>
      </c>
      <c r="E291" s="397">
        <v>642.41999999999996</v>
      </c>
      <c r="F291" s="398">
        <f>-642.42</f>
        <v>-642.41999999999996</v>
      </c>
      <c r="G291" s="397">
        <f>E291+F291</f>
        <v>0</v>
      </c>
      <c r="H291" s="397"/>
      <c r="I291" s="371">
        <f t="shared" si="337"/>
        <v>0</v>
      </c>
      <c r="J291" s="399" t="e">
        <f t="shared" si="333"/>
        <v>#DIV/0!</v>
      </c>
      <c r="K291" s="867">
        <f t="shared" ref="K291:L291" si="379">E291+E292+E293</f>
        <v>1014.8999999999999</v>
      </c>
      <c r="L291" s="919">
        <f t="shared" si="379"/>
        <v>-1000.367</v>
      </c>
      <c r="M291" s="919">
        <f t="shared" ref="M291" si="380">K291+L291</f>
        <v>14.532999999999902</v>
      </c>
      <c r="N291" s="867">
        <f>H291+H292+H293</f>
        <v>0</v>
      </c>
      <c r="O291" s="906">
        <f t="shared" ref="O291" si="381">M291-N291</f>
        <v>14.532999999999902</v>
      </c>
      <c r="P291" s="918">
        <f t="shared" si="375"/>
        <v>0</v>
      </c>
    </row>
    <row r="292" spans="1:17" ht="17.25" customHeight="1">
      <c r="A292" s="913"/>
      <c r="B292" s="872"/>
      <c r="C292" s="97">
        <v>42125</v>
      </c>
      <c r="D292" s="137">
        <v>42247</v>
      </c>
      <c r="E292" s="403">
        <v>75.578000000000003</v>
      </c>
      <c r="F292" s="404">
        <f>-75.578</f>
        <v>-75.578000000000003</v>
      </c>
      <c r="G292" s="403">
        <f>E292+F292+I291</f>
        <v>0</v>
      </c>
      <c r="H292" s="403"/>
      <c r="I292" s="383">
        <f t="shared" si="337"/>
        <v>0</v>
      </c>
      <c r="J292" s="405" t="e">
        <f t="shared" si="333"/>
        <v>#DIV/0!</v>
      </c>
      <c r="K292" s="867"/>
      <c r="L292" s="920"/>
      <c r="M292" s="920"/>
      <c r="N292" s="867"/>
      <c r="O292" s="906"/>
      <c r="P292" s="918"/>
    </row>
    <row r="293" spans="1:17" ht="17.25" customHeight="1">
      <c r="A293" s="913"/>
      <c r="B293" s="873"/>
      <c r="C293" s="96">
        <v>42248</v>
      </c>
      <c r="D293" s="138">
        <v>42369</v>
      </c>
      <c r="E293" s="400">
        <v>296.90199999999999</v>
      </c>
      <c r="F293" s="401">
        <f>-282.369</f>
        <v>-282.36900000000003</v>
      </c>
      <c r="G293" s="403">
        <f>E293+F293+I292</f>
        <v>14.532999999999959</v>
      </c>
      <c r="H293" s="400"/>
      <c r="I293" s="374">
        <f t="shared" si="337"/>
        <v>14.532999999999959</v>
      </c>
      <c r="J293" s="402">
        <f t="shared" si="333"/>
        <v>0</v>
      </c>
      <c r="K293" s="867"/>
      <c r="L293" s="921"/>
      <c r="M293" s="921"/>
      <c r="N293" s="867"/>
      <c r="O293" s="906"/>
      <c r="P293" s="918"/>
    </row>
    <row r="294" spans="1:17" ht="17.25" customHeight="1">
      <c r="A294" s="913"/>
      <c r="B294" s="871" t="s">
        <v>287</v>
      </c>
      <c r="C294" s="95">
        <v>42005</v>
      </c>
      <c r="D294" s="136">
        <v>42124</v>
      </c>
      <c r="E294" s="397">
        <v>615.03700000000003</v>
      </c>
      <c r="F294" s="407">
        <f>278.196+484.401</f>
        <v>762.59699999999998</v>
      </c>
      <c r="G294" s="397">
        <f>E294+F294</f>
        <v>1377.634</v>
      </c>
      <c r="H294" s="397">
        <v>971.596</v>
      </c>
      <c r="I294" s="371">
        <f t="shared" si="337"/>
        <v>406.03800000000001</v>
      </c>
      <c r="J294" s="399">
        <f t="shared" si="333"/>
        <v>0.70526424289760559</v>
      </c>
      <c r="K294" s="867">
        <f t="shared" ref="K294:L294" si="382">E294+E295+E296</f>
        <v>971.6400000000001</v>
      </c>
      <c r="L294" s="919">
        <f t="shared" si="382"/>
        <v>298.39299999999997</v>
      </c>
      <c r="M294" s="919">
        <f t="shared" ref="M294" si="383">K294+L294</f>
        <v>1270.0330000000001</v>
      </c>
      <c r="N294" s="867">
        <f>H294+H295+H296</f>
        <v>1488.2060000000001</v>
      </c>
      <c r="O294" s="906">
        <f>M294-N294</f>
        <v>-218.173</v>
      </c>
      <c r="P294" s="990">
        <f t="shared" si="375"/>
        <v>1.1717853000670062</v>
      </c>
    </row>
    <row r="295" spans="1:17" ht="17.25" customHeight="1">
      <c r="A295" s="913"/>
      <c r="B295" s="872"/>
      <c r="C295" s="97">
        <v>42125</v>
      </c>
      <c r="D295" s="137">
        <v>42247</v>
      </c>
      <c r="E295" s="403">
        <v>72.355999999999995</v>
      </c>
      <c r="F295" s="408">
        <f>-277.73</f>
        <v>-277.73</v>
      </c>
      <c r="G295" s="403">
        <f>E295+F295+I294</f>
        <v>200.66399999999999</v>
      </c>
      <c r="H295" s="403"/>
      <c r="I295" s="383">
        <f t="shared" si="337"/>
        <v>200.66399999999999</v>
      </c>
      <c r="J295" s="405">
        <f t="shared" si="333"/>
        <v>0</v>
      </c>
      <c r="K295" s="867"/>
      <c r="L295" s="920"/>
      <c r="M295" s="920"/>
      <c r="N295" s="867"/>
      <c r="O295" s="906"/>
      <c r="P295" s="990"/>
    </row>
    <row r="296" spans="1:17" ht="17.25" customHeight="1">
      <c r="A296" s="913"/>
      <c r="B296" s="873"/>
      <c r="C296" s="96">
        <v>42248</v>
      </c>
      <c r="D296" s="138">
        <v>42369</v>
      </c>
      <c r="E296" s="400">
        <v>284.24700000000001</v>
      </c>
      <c r="F296" s="409">
        <f>-186.474</f>
        <v>-186.47399999999999</v>
      </c>
      <c r="G296" s="403">
        <f>E296+F296+I295</f>
        <v>298.43700000000001</v>
      </c>
      <c r="H296" s="400">
        <v>516.61</v>
      </c>
      <c r="I296" s="374">
        <f t="shared" si="337"/>
        <v>-218.173</v>
      </c>
      <c r="J296" s="402">
        <f t="shared" si="333"/>
        <v>1.7310521148517106</v>
      </c>
      <c r="K296" s="867"/>
      <c r="L296" s="921"/>
      <c r="M296" s="921"/>
      <c r="N296" s="867"/>
      <c r="O296" s="906"/>
      <c r="P296" s="990"/>
    </row>
    <row r="297" spans="1:17" ht="17.25" customHeight="1">
      <c r="A297" s="913"/>
      <c r="B297" s="871" t="s">
        <v>54</v>
      </c>
      <c r="C297" s="95">
        <v>42005</v>
      </c>
      <c r="D297" s="136">
        <v>42124</v>
      </c>
      <c r="E297" s="397">
        <v>284.42599999999999</v>
      </c>
      <c r="F297" s="398">
        <f>-100.5-157.888</f>
        <v>-258.38800000000003</v>
      </c>
      <c r="G297" s="397">
        <f>E297+F297</f>
        <v>26.037999999999954</v>
      </c>
      <c r="H297" s="397"/>
      <c r="I297" s="371">
        <f t="shared" si="337"/>
        <v>26.037999999999954</v>
      </c>
      <c r="J297" s="399">
        <f t="shared" si="333"/>
        <v>0</v>
      </c>
      <c r="K297" s="867">
        <f t="shared" ref="K297:L297" si="384">E297+E298+E299</f>
        <v>449.33799999999997</v>
      </c>
      <c r="L297" s="919">
        <f t="shared" si="384"/>
        <v>-302</v>
      </c>
      <c r="M297" s="919">
        <f t="shared" ref="M297" si="385">K297+L297</f>
        <v>147.33799999999997</v>
      </c>
      <c r="N297" s="867">
        <f>H297+H298+H299</f>
        <v>0</v>
      </c>
      <c r="O297" s="906">
        <f t="shared" ref="O297" si="386">M297-N297</f>
        <v>147.33799999999997</v>
      </c>
      <c r="P297" s="918">
        <f t="shared" si="375"/>
        <v>0</v>
      </c>
    </row>
    <row r="298" spans="1:17" ht="17.25" customHeight="1">
      <c r="A298" s="913"/>
      <c r="B298" s="872"/>
      <c r="C298" s="97">
        <v>42125</v>
      </c>
      <c r="D298" s="137">
        <v>42247</v>
      </c>
      <c r="E298" s="403">
        <v>33.460999999999999</v>
      </c>
      <c r="F298" s="403">
        <f>-30.4</f>
        <v>-30.4</v>
      </c>
      <c r="G298" s="403">
        <f>E298+F298+I297</f>
        <v>29.098999999999954</v>
      </c>
      <c r="H298" s="403"/>
      <c r="I298" s="383">
        <f t="shared" si="337"/>
        <v>29.098999999999954</v>
      </c>
      <c r="J298" s="405">
        <f t="shared" si="333"/>
        <v>0</v>
      </c>
      <c r="K298" s="867"/>
      <c r="L298" s="920"/>
      <c r="M298" s="920"/>
      <c r="N298" s="867"/>
      <c r="O298" s="906"/>
      <c r="P298" s="918"/>
    </row>
    <row r="299" spans="1:17" ht="17.25" customHeight="1">
      <c r="A299" s="913"/>
      <c r="B299" s="873"/>
      <c r="C299" s="96">
        <v>42248</v>
      </c>
      <c r="D299" s="138">
        <v>42369</v>
      </c>
      <c r="E299" s="400">
        <v>131.45099999999999</v>
      </c>
      <c r="F299" s="400">
        <f>-13.212</f>
        <v>-13.212</v>
      </c>
      <c r="G299" s="403">
        <f>E299+F299+I298</f>
        <v>147.33799999999994</v>
      </c>
      <c r="H299" s="400"/>
      <c r="I299" s="374">
        <f t="shared" si="337"/>
        <v>147.33799999999994</v>
      </c>
      <c r="J299" s="402">
        <f t="shared" si="333"/>
        <v>0</v>
      </c>
      <c r="K299" s="867"/>
      <c r="L299" s="921"/>
      <c r="M299" s="921"/>
      <c r="N299" s="867"/>
      <c r="O299" s="906"/>
      <c r="P299" s="918"/>
    </row>
    <row r="300" spans="1:17" ht="17.25" customHeight="1">
      <c r="A300" s="913"/>
      <c r="B300" s="871" t="s">
        <v>12</v>
      </c>
      <c r="C300" s="95">
        <v>42005</v>
      </c>
      <c r="D300" s="136">
        <v>42124</v>
      </c>
      <c r="E300" s="397">
        <v>6359.1279999999997</v>
      </c>
      <c r="F300" s="407">
        <f>2600</f>
        <v>2600</v>
      </c>
      <c r="G300" s="397">
        <f>E300+F300</f>
        <v>8959.1280000000006</v>
      </c>
      <c r="H300" s="397">
        <v>4787.5389999999998</v>
      </c>
      <c r="I300" s="371">
        <f t="shared" si="337"/>
        <v>4171.5890000000009</v>
      </c>
      <c r="J300" s="399">
        <f t="shared" si="333"/>
        <v>0.53437555529957825</v>
      </c>
      <c r="K300" s="867">
        <f t="shared" ref="K300:L300" si="387">E300+E301+E302</f>
        <v>10046.199000000001</v>
      </c>
      <c r="L300" s="919">
        <f t="shared" si="387"/>
        <v>3378</v>
      </c>
      <c r="M300" s="919">
        <f>K300+L300</f>
        <v>13424.199000000001</v>
      </c>
      <c r="N300" s="867">
        <f>H300+H301+H302</f>
        <v>12597.268</v>
      </c>
      <c r="O300" s="906">
        <f t="shared" ref="O300" si="388">M300-N300</f>
        <v>826.93100000000049</v>
      </c>
      <c r="P300" s="989">
        <f>N300/M300</f>
        <v>0.9383999745534165</v>
      </c>
    </row>
    <row r="301" spans="1:17" ht="17.25" customHeight="1">
      <c r="A301" s="913"/>
      <c r="B301" s="872"/>
      <c r="C301" s="97">
        <v>42125</v>
      </c>
      <c r="D301" s="137">
        <v>42247</v>
      </c>
      <c r="E301" s="403">
        <v>748.12099999999998</v>
      </c>
      <c r="F301" s="403"/>
      <c r="G301" s="403">
        <f>E301+F301+I300</f>
        <v>4919.7100000000009</v>
      </c>
      <c r="H301" s="403">
        <v>4854.9960000000001</v>
      </c>
      <c r="I301" s="383">
        <f t="shared" si="337"/>
        <v>64.714000000000851</v>
      </c>
      <c r="J301" s="405">
        <f t="shared" si="333"/>
        <v>0.98684597262846774</v>
      </c>
      <c r="K301" s="867"/>
      <c r="L301" s="920"/>
      <c r="M301" s="920"/>
      <c r="N301" s="867"/>
      <c r="O301" s="906"/>
      <c r="P301" s="989"/>
    </row>
    <row r="302" spans="1:17" ht="17.25" customHeight="1">
      <c r="A302" s="913"/>
      <c r="B302" s="872"/>
      <c r="C302" s="96">
        <v>42248</v>
      </c>
      <c r="D302" s="138">
        <v>42369</v>
      </c>
      <c r="E302" s="403">
        <v>2938.95</v>
      </c>
      <c r="F302" s="409">
        <f>778</f>
        <v>778</v>
      </c>
      <c r="G302" s="403">
        <f>E302+F302+I301</f>
        <v>3781.6640000000007</v>
      </c>
      <c r="H302" s="403">
        <v>2954.7330000000002</v>
      </c>
      <c r="I302" s="383">
        <f t="shared" si="337"/>
        <v>826.93100000000049</v>
      </c>
      <c r="J302" s="405">
        <f t="shared" si="333"/>
        <v>0.78133144562816781</v>
      </c>
      <c r="K302" s="867"/>
      <c r="L302" s="921"/>
      <c r="M302" s="921"/>
      <c r="N302" s="867"/>
      <c r="O302" s="906"/>
      <c r="P302" s="989"/>
    </row>
    <row r="303" spans="1:17" ht="17.25" customHeight="1">
      <c r="A303" s="913"/>
      <c r="B303" s="871" t="s">
        <v>7</v>
      </c>
      <c r="C303" s="95">
        <v>42005</v>
      </c>
      <c r="D303" s="136">
        <v>42124</v>
      </c>
      <c r="E303" s="397">
        <v>1499.6769999999999</v>
      </c>
      <c r="F303" s="407">
        <f>22.133+1133.376+117.957</f>
        <v>1273.4659999999999</v>
      </c>
      <c r="G303" s="397">
        <f>E303+F303</f>
        <v>2773.143</v>
      </c>
      <c r="H303" s="397">
        <v>2317.203</v>
      </c>
      <c r="I303" s="371">
        <f t="shared" si="337"/>
        <v>455.94000000000005</v>
      </c>
      <c r="J303" s="399">
        <f t="shared" si="333"/>
        <v>0.83558727407854549</v>
      </c>
      <c r="K303" s="867">
        <f t="shared" ref="K303:L303" si="389">E303+E304+E305</f>
        <v>2369.2020000000002</v>
      </c>
      <c r="L303" s="1006">
        <f t="shared" si="389"/>
        <v>2511.8310000000001</v>
      </c>
      <c r="M303" s="919">
        <f t="shared" ref="M303" si="390">K303+L303</f>
        <v>4881.0330000000004</v>
      </c>
      <c r="N303" s="867">
        <f>H303+H304+H305</f>
        <v>4725.0190000000002</v>
      </c>
      <c r="O303" s="906">
        <f t="shared" ref="O303" si="391">M303-N303</f>
        <v>156.01400000000012</v>
      </c>
      <c r="P303" s="989">
        <f t="shared" ref="P303:P312" si="392">N303/M303</f>
        <v>0.96803668403798948</v>
      </c>
    </row>
    <row r="304" spans="1:17" ht="17.25" customHeight="1">
      <c r="A304" s="913"/>
      <c r="B304" s="872"/>
      <c r="C304" s="97">
        <v>42125</v>
      </c>
      <c r="D304" s="137">
        <v>42247</v>
      </c>
      <c r="E304" s="403">
        <v>176.43</v>
      </c>
      <c r="F304" s="408">
        <f>2.604+133.336+13.877</f>
        <v>149.81700000000004</v>
      </c>
      <c r="G304" s="403">
        <f>E304+F304+I303</f>
        <v>782.18700000000013</v>
      </c>
      <c r="H304" s="403">
        <v>544.91</v>
      </c>
      <c r="I304" s="383">
        <f t="shared" si="337"/>
        <v>237.27700000000016</v>
      </c>
      <c r="J304" s="405">
        <f t="shared" si="333"/>
        <v>0.69664926673544803</v>
      </c>
      <c r="K304" s="867"/>
      <c r="L304" s="1007"/>
      <c r="M304" s="920"/>
      <c r="N304" s="867"/>
      <c r="O304" s="906"/>
      <c r="P304" s="989"/>
      <c r="Q304" s="780"/>
    </row>
    <row r="305" spans="1:16" ht="17.25" customHeight="1">
      <c r="A305" s="913"/>
      <c r="B305" s="873"/>
      <c r="C305" s="96">
        <v>42248</v>
      </c>
      <c r="D305" s="138">
        <v>42369</v>
      </c>
      <c r="E305" s="400">
        <v>693.09500000000003</v>
      </c>
      <c r="F305" s="409">
        <f>10.229+523.804+54.515+500</f>
        <v>1088.548</v>
      </c>
      <c r="G305" s="403">
        <f>E305+F305+I304</f>
        <v>2018.92</v>
      </c>
      <c r="H305" s="400">
        <v>1862.9059999999999</v>
      </c>
      <c r="I305" s="374">
        <f t="shared" si="337"/>
        <v>156.01400000000012</v>
      </c>
      <c r="J305" s="402">
        <f t="shared" si="333"/>
        <v>0.92272403066986308</v>
      </c>
      <c r="K305" s="867"/>
      <c r="L305" s="1008"/>
      <c r="M305" s="921"/>
      <c r="N305" s="867"/>
      <c r="O305" s="906"/>
      <c r="P305" s="989"/>
    </row>
    <row r="306" spans="1:16" ht="17.25" customHeight="1">
      <c r="A306" s="913"/>
      <c r="B306" s="871" t="s">
        <v>62</v>
      </c>
      <c r="C306" s="95">
        <v>42005</v>
      </c>
      <c r="D306" s="136">
        <v>42124</v>
      </c>
      <c r="E306" s="397">
        <v>231.87100000000001</v>
      </c>
      <c r="F306" s="398">
        <f>-201.5-9.144</f>
        <v>-210.64400000000001</v>
      </c>
      <c r="G306" s="397">
        <f>E306+F306</f>
        <v>21.227000000000004</v>
      </c>
      <c r="H306" s="397"/>
      <c r="I306" s="371">
        <f t="shared" si="337"/>
        <v>21.227000000000004</v>
      </c>
      <c r="J306" s="399">
        <f t="shared" si="333"/>
        <v>0</v>
      </c>
      <c r="K306" s="867">
        <f t="shared" ref="K306:L306" si="393">E306+E307+E308</f>
        <v>366.31200000000001</v>
      </c>
      <c r="L306" s="919">
        <f t="shared" si="393"/>
        <v>-341.31200000000001</v>
      </c>
      <c r="M306" s="919">
        <f t="shared" ref="M306" si="394">K306+L306</f>
        <v>25</v>
      </c>
      <c r="N306" s="867">
        <f>H306+H307+H308</f>
        <v>0</v>
      </c>
      <c r="O306" s="906">
        <f t="shared" ref="O306" si="395">M306-N306</f>
        <v>25</v>
      </c>
      <c r="P306" s="918">
        <f t="shared" si="392"/>
        <v>0</v>
      </c>
    </row>
    <row r="307" spans="1:16" ht="17.25" customHeight="1">
      <c r="A307" s="913"/>
      <c r="B307" s="872"/>
      <c r="C307" s="97">
        <v>42125</v>
      </c>
      <c r="D307" s="137">
        <v>42247</v>
      </c>
      <c r="E307" s="403">
        <v>27.279</v>
      </c>
      <c r="F307" s="403">
        <f>-24.783</f>
        <v>-24.783000000000001</v>
      </c>
      <c r="G307" s="403">
        <f>E307+F307+I306</f>
        <v>23.723000000000003</v>
      </c>
      <c r="H307" s="403"/>
      <c r="I307" s="383">
        <f t="shared" si="337"/>
        <v>23.723000000000003</v>
      </c>
      <c r="J307" s="405">
        <f t="shared" si="333"/>
        <v>0</v>
      </c>
      <c r="K307" s="867"/>
      <c r="L307" s="920"/>
      <c r="M307" s="920"/>
      <c r="N307" s="867"/>
      <c r="O307" s="906"/>
      <c r="P307" s="918"/>
    </row>
    <row r="308" spans="1:16" ht="17.25" customHeight="1">
      <c r="A308" s="913"/>
      <c r="B308" s="873"/>
      <c r="C308" s="96">
        <v>42248</v>
      </c>
      <c r="D308" s="138">
        <v>42369</v>
      </c>
      <c r="E308" s="403">
        <v>107.16200000000001</v>
      </c>
      <c r="F308" s="403">
        <f>-10.573-95.312</f>
        <v>-105.88499999999999</v>
      </c>
      <c r="G308" s="403">
        <f>E308+F308+I307</f>
        <v>25.000000000000018</v>
      </c>
      <c r="H308" s="403"/>
      <c r="I308" s="383">
        <f t="shared" si="337"/>
        <v>25.000000000000018</v>
      </c>
      <c r="J308" s="405">
        <f t="shared" si="333"/>
        <v>0</v>
      </c>
      <c r="K308" s="867"/>
      <c r="L308" s="921"/>
      <c r="M308" s="921"/>
      <c r="N308" s="867"/>
      <c r="O308" s="906"/>
      <c r="P308" s="918"/>
    </row>
    <row r="309" spans="1:16" ht="17.25" customHeight="1">
      <c r="A309" s="913"/>
      <c r="B309" s="874" t="s">
        <v>13</v>
      </c>
      <c r="C309" s="95">
        <v>42005</v>
      </c>
      <c r="D309" s="136">
        <v>42124</v>
      </c>
      <c r="E309" s="411">
        <v>12682.460999999999</v>
      </c>
      <c r="F309" s="407"/>
      <c r="G309" s="397">
        <f>E309+F309</f>
        <v>12682.460999999999</v>
      </c>
      <c r="H309" s="397">
        <v>10958.744000000001</v>
      </c>
      <c r="I309" s="371">
        <f t="shared" ref="I309:I314" si="396">G309-H309</f>
        <v>1723.7169999999987</v>
      </c>
      <c r="J309" s="399">
        <f t="shared" ref="J309:J314" si="397">H309/G309</f>
        <v>0.86408655228665798</v>
      </c>
      <c r="K309" s="867">
        <f>E309+E310+E311</f>
        <v>20035.848999999998</v>
      </c>
      <c r="L309" s="919">
        <f t="shared" ref="L309" si="398">F309+F310+F311</f>
        <v>0</v>
      </c>
      <c r="M309" s="919">
        <f>K309+L309</f>
        <v>20035.848999999998</v>
      </c>
      <c r="N309" s="867">
        <f>H309+H310+H311</f>
        <v>20001.139000000003</v>
      </c>
      <c r="O309" s="906">
        <f>M309-N309</f>
        <v>34.709999999995489</v>
      </c>
      <c r="P309" s="989">
        <f>N309/M309</f>
        <v>0.99826760523100389</v>
      </c>
    </row>
    <row r="310" spans="1:16" ht="17.25" customHeight="1">
      <c r="A310" s="913"/>
      <c r="B310" s="875"/>
      <c r="C310" s="97">
        <v>42125</v>
      </c>
      <c r="D310" s="137">
        <v>42247</v>
      </c>
      <c r="E310" s="416">
        <v>1492.0309999999999</v>
      </c>
      <c r="F310" s="408"/>
      <c r="G310" s="403">
        <f>E310+F310+I309</f>
        <v>3215.7479999999987</v>
      </c>
      <c r="H310" s="403"/>
      <c r="I310" s="383">
        <f t="shared" si="396"/>
        <v>3215.7479999999987</v>
      </c>
      <c r="J310" s="405">
        <f t="shared" si="397"/>
        <v>0</v>
      </c>
      <c r="K310" s="867"/>
      <c r="L310" s="920"/>
      <c r="M310" s="920"/>
      <c r="N310" s="867"/>
      <c r="O310" s="906"/>
      <c r="P310" s="989"/>
    </row>
    <row r="311" spans="1:16" ht="17.25" customHeight="1">
      <c r="A311" s="913"/>
      <c r="B311" s="876"/>
      <c r="C311" s="96">
        <v>42248</v>
      </c>
      <c r="D311" s="138">
        <v>42369</v>
      </c>
      <c r="E311" s="413">
        <v>5861.357</v>
      </c>
      <c r="F311" s="401"/>
      <c r="G311" s="400">
        <f>E311+F311+I310</f>
        <v>9077.1049999999996</v>
      </c>
      <c r="H311" s="400">
        <v>9042.3950000000004</v>
      </c>
      <c r="I311" s="374">
        <f t="shared" si="396"/>
        <v>34.709999999999127</v>
      </c>
      <c r="J311" s="402">
        <f t="shared" si="397"/>
        <v>0.99617609358931081</v>
      </c>
      <c r="K311" s="867"/>
      <c r="L311" s="921"/>
      <c r="M311" s="921"/>
      <c r="N311" s="867"/>
      <c r="O311" s="906"/>
      <c r="P311" s="989"/>
    </row>
    <row r="312" spans="1:16" ht="17.25" customHeight="1">
      <c r="A312" s="913"/>
      <c r="B312" s="874" t="s">
        <v>303</v>
      </c>
      <c r="C312" s="95">
        <v>42005</v>
      </c>
      <c r="D312" s="136">
        <v>42124</v>
      </c>
      <c r="E312" s="411">
        <v>700.40700000000004</v>
      </c>
      <c r="F312" s="407">
        <f>-484.401-216.006</f>
        <v>-700.40700000000004</v>
      </c>
      <c r="G312" s="397">
        <f>E312+F312</f>
        <v>0</v>
      </c>
      <c r="H312" s="397"/>
      <c r="I312" s="371">
        <f t="shared" si="396"/>
        <v>0</v>
      </c>
      <c r="J312" s="399" t="e">
        <f t="shared" si="397"/>
        <v>#DIV/0!</v>
      </c>
      <c r="K312" s="867">
        <f t="shared" ref="K312:L312" si="399">E312+E313+E314</f>
        <v>1106.509</v>
      </c>
      <c r="L312" s="919">
        <f t="shared" si="399"/>
        <v>-831.59199999999998</v>
      </c>
      <c r="M312" s="919">
        <f t="shared" ref="M312" si="400">K312+L312</f>
        <v>274.91700000000003</v>
      </c>
      <c r="N312" s="867">
        <f>H312+H313+H314</f>
        <v>0</v>
      </c>
      <c r="O312" s="906">
        <f t="shared" ref="O312" si="401">M312-N312</f>
        <v>274.91700000000003</v>
      </c>
      <c r="P312" s="918">
        <f t="shared" si="392"/>
        <v>0</v>
      </c>
    </row>
    <row r="313" spans="1:16" ht="17.25" customHeight="1">
      <c r="A313" s="913"/>
      <c r="B313" s="875"/>
      <c r="C313" s="97">
        <v>42125</v>
      </c>
      <c r="D313" s="137">
        <v>42247</v>
      </c>
      <c r="E313" s="416">
        <v>82.4</v>
      </c>
      <c r="F313" s="408">
        <f>-82.4</f>
        <v>-82.4</v>
      </c>
      <c r="G313" s="403">
        <f>E313+F313+I312</f>
        <v>0</v>
      </c>
      <c r="H313" s="403"/>
      <c r="I313" s="383">
        <f t="shared" si="396"/>
        <v>0</v>
      </c>
      <c r="J313" s="405" t="e">
        <f t="shared" si="397"/>
        <v>#DIV/0!</v>
      </c>
      <c r="K313" s="867"/>
      <c r="L313" s="920"/>
      <c r="M313" s="920"/>
      <c r="N313" s="867"/>
      <c r="O313" s="906"/>
      <c r="P313" s="918"/>
    </row>
    <row r="314" spans="1:16" ht="17.25" customHeight="1">
      <c r="A314" s="913"/>
      <c r="B314" s="876"/>
      <c r="C314" s="96">
        <v>42248</v>
      </c>
      <c r="D314" s="138">
        <v>42369</v>
      </c>
      <c r="E314" s="413">
        <v>323.702</v>
      </c>
      <c r="F314" s="409">
        <f>-48.785</f>
        <v>-48.784999999999997</v>
      </c>
      <c r="G314" s="400">
        <f>E314+F314+I313</f>
        <v>274.91700000000003</v>
      </c>
      <c r="H314" s="400"/>
      <c r="I314" s="374">
        <f t="shared" si="396"/>
        <v>274.91700000000003</v>
      </c>
      <c r="J314" s="402">
        <f t="shared" si="397"/>
        <v>0</v>
      </c>
      <c r="K314" s="867"/>
      <c r="L314" s="921"/>
      <c r="M314" s="921"/>
      <c r="N314" s="867"/>
      <c r="O314" s="906"/>
      <c r="P314" s="918"/>
    </row>
    <row r="315" spans="1:16" ht="17.25" customHeight="1">
      <c r="A315" s="913"/>
      <c r="B315" s="874" t="s">
        <v>61</v>
      </c>
      <c r="C315" s="95">
        <v>42005</v>
      </c>
      <c r="D315" s="136">
        <v>42124</v>
      </c>
      <c r="E315" s="411">
        <v>242.87299999999999</v>
      </c>
      <c r="F315" s="407">
        <f>-201.5-19.139</f>
        <v>-220.63900000000001</v>
      </c>
      <c r="G315" s="397">
        <f>E315+F315</f>
        <v>22.23399999999998</v>
      </c>
      <c r="H315" s="397"/>
      <c r="I315" s="371">
        <f>G315-H315</f>
        <v>22.23399999999998</v>
      </c>
      <c r="J315" s="399">
        <f>H315/G315</f>
        <v>0</v>
      </c>
      <c r="K315" s="867">
        <f t="shared" ref="K315:L315" si="402">E315+E316+E317</f>
        <v>383.69299999999998</v>
      </c>
      <c r="L315" s="919">
        <f t="shared" si="402"/>
        <v>-357.69200000000001</v>
      </c>
      <c r="M315" s="919">
        <f>K315+L315</f>
        <v>26.000999999999976</v>
      </c>
      <c r="N315" s="867">
        <f>H315+H316+H317</f>
        <v>0</v>
      </c>
      <c r="O315" s="906">
        <f>M315-N315</f>
        <v>26.000999999999976</v>
      </c>
      <c r="P315" s="918">
        <f>N315/M315</f>
        <v>0</v>
      </c>
    </row>
    <row r="316" spans="1:16" ht="17.25" customHeight="1">
      <c r="A316" s="913"/>
      <c r="B316" s="875"/>
      <c r="C316" s="97">
        <v>42125</v>
      </c>
      <c r="D316" s="137">
        <v>42247</v>
      </c>
      <c r="E316" s="416">
        <v>28.573</v>
      </c>
      <c r="F316" s="408">
        <f>-25.958</f>
        <v>-25.957999999999998</v>
      </c>
      <c r="G316" s="403">
        <f>E316+F316+I315</f>
        <v>24.848999999999982</v>
      </c>
      <c r="H316" s="403"/>
      <c r="I316" s="383">
        <f>G316-H316</f>
        <v>24.848999999999982</v>
      </c>
      <c r="J316" s="405">
        <f>H316/G316</f>
        <v>0</v>
      </c>
      <c r="K316" s="867"/>
      <c r="L316" s="920"/>
      <c r="M316" s="920"/>
      <c r="N316" s="867"/>
      <c r="O316" s="906"/>
      <c r="P316" s="918"/>
    </row>
    <row r="317" spans="1:16" ht="17.25" customHeight="1">
      <c r="A317" s="913"/>
      <c r="B317" s="876"/>
      <c r="C317" s="96">
        <v>42248</v>
      </c>
      <c r="D317" s="138">
        <v>42369</v>
      </c>
      <c r="E317" s="413">
        <v>112.247</v>
      </c>
      <c r="F317" s="409">
        <f>-11.403-99.692</f>
        <v>-111.095</v>
      </c>
      <c r="G317" s="400">
        <f>E317+F317+I316</f>
        <v>26.000999999999983</v>
      </c>
      <c r="H317" s="400"/>
      <c r="I317" s="374">
        <f>G317-H317</f>
        <v>26.000999999999983</v>
      </c>
      <c r="J317" s="402">
        <f>H317/G317</f>
        <v>0</v>
      </c>
      <c r="K317" s="867"/>
      <c r="L317" s="921"/>
      <c r="M317" s="921"/>
      <c r="N317" s="867"/>
      <c r="O317" s="906"/>
      <c r="P317" s="918"/>
    </row>
    <row r="318" spans="1:16" ht="17.25" customHeight="1">
      <c r="A318" s="308"/>
      <c r="B318" s="319"/>
      <c r="C318" s="306"/>
      <c r="D318" s="306"/>
      <c r="E318" s="406"/>
      <c r="F318" s="410"/>
      <c r="G318" s="406"/>
      <c r="H318" s="406"/>
      <c r="I318" s="377"/>
      <c r="J318" s="406"/>
      <c r="K318" s="570"/>
      <c r="L318" s="570"/>
      <c r="M318" s="570"/>
      <c r="N318" s="570"/>
      <c r="O318" s="570"/>
      <c r="P318" s="611"/>
    </row>
    <row r="319" spans="1:16" ht="17.25" customHeight="1">
      <c r="A319" s="55"/>
      <c r="B319" s="55"/>
      <c r="C319" s="307"/>
      <c r="D319" s="307"/>
      <c r="E319" s="379"/>
      <c r="F319" s="379"/>
      <c r="G319" s="379"/>
      <c r="H319" s="379"/>
      <c r="I319" s="378"/>
      <c r="J319" s="379"/>
      <c r="K319" s="566"/>
      <c r="L319" s="566"/>
      <c r="M319" s="566"/>
      <c r="N319" s="566"/>
      <c r="O319" s="566"/>
      <c r="P319" s="612"/>
    </row>
    <row r="320" spans="1:16" ht="17.25" customHeight="1">
      <c r="A320" s="969" t="s">
        <v>24</v>
      </c>
      <c r="B320" s="992" t="s">
        <v>23</v>
      </c>
      <c r="C320" s="95">
        <v>42005</v>
      </c>
      <c r="D320" s="136">
        <v>42185</v>
      </c>
      <c r="E320" s="397">
        <v>1.8109999999999999</v>
      </c>
      <c r="F320" s="398"/>
      <c r="G320" s="397">
        <f>E320+F320</f>
        <v>1.8109999999999999</v>
      </c>
      <c r="H320" s="397"/>
      <c r="I320" s="371">
        <f>G320-H320</f>
        <v>1.8109999999999999</v>
      </c>
      <c r="J320" s="399">
        <f>H320/G320</f>
        <v>0</v>
      </c>
      <c r="K320" s="881">
        <f>E320+E321</f>
        <v>2.4159999999999999</v>
      </c>
      <c r="L320" s="881">
        <f>F320+F321</f>
        <v>0</v>
      </c>
      <c r="M320" s="881">
        <f>K320+L320</f>
        <v>2.4159999999999999</v>
      </c>
      <c r="N320" s="881">
        <f>H320+H321</f>
        <v>0</v>
      </c>
      <c r="O320" s="881">
        <f>M320-N320</f>
        <v>2.4159999999999999</v>
      </c>
      <c r="P320" s="886">
        <f>N320/M320</f>
        <v>0</v>
      </c>
    </row>
    <row r="321" spans="1:16" ht="17.25" customHeight="1">
      <c r="A321" s="970"/>
      <c r="B321" s="993"/>
      <c r="C321" s="96">
        <v>42186</v>
      </c>
      <c r="D321" s="138">
        <v>42369</v>
      </c>
      <c r="E321" s="400">
        <v>0.60499999999999998</v>
      </c>
      <c r="F321" s="401"/>
      <c r="G321" s="400">
        <f>E321+F321+I320</f>
        <v>2.4159999999999999</v>
      </c>
      <c r="H321" s="400"/>
      <c r="I321" s="374">
        <f t="shared" ref="I321:I327" si="403">G321-H321</f>
        <v>2.4159999999999999</v>
      </c>
      <c r="J321" s="402">
        <f t="shared" ref="J321:J327" si="404">H321/G321</f>
        <v>0</v>
      </c>
      <c r="K321" s="882"/>
      <c r="L321" s="882"/>
      <c r="M321" s="882"/>
      <c r="N321" s="882"/>
      <c r="O321" s="882"/>
      <c r="P321" s="887"/>
    </row>
    <row r="322" spans="1:16" ht="17.25" customHeight="1">
      <c r="A322" s="970"/>
      <c r="B322" s="992" t="s">
        <v>1</v>
      </c>
      <c r="C322" s="95">
        <v>42005</v>
      </c>
      <c r="D322" s="136">
        <v>42185</v>
      </c>
      <c r="E322" s="397">
        <v>116.169</v>
      </c>
      <c r="F322" s="397"/>
      <c r="G322" s="397">
        <f>E322+F322</f>
        <v>116.169</v>
      </c>
      <c r="H322" s="397"/>
      <c r="I322" s="371">
        <f t="shared" si="403"/>
        <v>116.169</v>
      </c>
      <c r="J322" s="399">
        <f t="shared" si="404"/>
        <v>0</v>
      </c>
      <c r="K322" s="881">
        <f t="shared" ref="K322" si="405">E322+E323</f>
        <v>154.96199999999999</v>
      </c>
      <c r="L322" s="881">
        <f>F322+F323</f>
        <v>0</v>
      </c>
      <c r="M322" s="881">
        <f t="shared" ref="M322" si="406">K322+L322</f>
        <v>154.96199999999999</v>
      </c>
      <c r="N322" s="881">
        <f>H322+H323</f>
        <v>0</v>
      </c>
      <c r="O322" s="881">
        <f>M322-N322</f>
        <v>154.96199999999999</v>
      </c>
      <c r="P322" s="886">
        <f t="shared" ref="P322" si="407">N322/M322</f>
        <v>0</v>
      </c>
    </row>
    <row r="323" spans="1:16" ht="17.25" customHeight="1">
      <c r="A323" s="970"/>
      <c r="B323" s="993"/>
      <c r="C323" s="96">
        <v>42186</v>
      </c>
      <c r="D323" s="138">
        <v>42369</v>
      </c>
      <c r="E323" s="400">
        <v>38.792999999999999</v>
      </c>
      <c r="F323" s="400"/>
      <c r="G323" s="400">
        <f>E323+F323+I322</f>
        <v>154.96199999999999</v>
      </c>
      <c r="H323" s="400"/>
      <c r="I323" s="374">
        <f t="shared" si="403"/>
        <v>154.96199999999999</v>
      </c>
      <c r="J323" s="402">
        <f t="shared" si="404"/>
        <v>0</v>
      </c>
      <c r="K323" s="882"/>
      <c r="L323" s="882"/>
      <c r="M323" s="882"/>
      <c r="N323" s="882"/>
      <c r="O323" s="882"/>
      <c r="P323" s="887"/>
    </row>
    <row r="324" spans="1:16" ht="17.25" customHeight="1">
      <c r="A324" s="970"/>
      <c r="B324" s="924" t="s">
        <v>59</v>
      </c>
      <c r="C324" s="95">
        <v>42005</v>
      </c>
      <c r="D324" s="136">
        <v>42185</v>
      </c>
      <c r="E324" s="397">
        <v>433.02</v>
      </c>
      <c r="F324" s="397"/>
      <c r="G324" s="397">
        <f>E324+F324</f>
        <v>433.02</v>
      </c>
      <c r="H324" s="397">
        <v>2.2360000000000002</v>
      </c>
      <c r="I324" s="371">
        <f t="shared" si="403"/>
        <v>430.78399999999999</v>
      </c>
      <c r="J324" s="399">
        <f t="shared" si="404"/>
        <v>5.1637337767308673E-3</v>
      </c>
      <c r="K324" s="881">
        <f t="shared" ref="K324" si="408">E324+E325</f>
        <v>577.62199999999996</v>
      </c>
      <c r="L324" s="881">
        <f>F324+F325</f>
        <v>0</v>
      </c>
      <c r="M324" s="881">
        <f t="shared" ref="M324" si="409">K324+L324</f>
        <v>577.62199999999996</v>
      </c>
      <c r="N324" s="881">
        <f>H324+H325</f>
        <v>2.2360000000000002</v>
      </c>
      <c r="O324" s="881">
        <f t="shared" ref="O324" si="410">M324-N324</f>
        <v>575.38599999999997</v>
      </c>
      <c r="P324" s="886">
        <f>N324/M324</f>
        <v>3.8710436929341339E-3</v>
      </c>
    </row>
    <row r="325" spans="1:16" ht="17.25" customHeight="1">
      <c r="A325" s="970"/>
      <c r="B325" s="925"/>
      <c r="C325" s="96">
        <v>42186</v>
      </c>
      <c r="D325" s="138">
        <v>42369</v>
      </c>
      <c r="E325" s="400">
        <v>144.602</v>
      </c>
      <c r="F325" s="400"/>
      <c r="G325" s="400">
        <f>E325+F325+I324</f>
        <v>575.38599999999997</v>
      </c>
      <c r="H325" s="400"/>
      <c r="I325" s="374">
        <f t="shared" si="403"/>
        <v>575.38599999999997</v>
      </c>
      <c r="J325" s="402">
        <f t="shared" si="404"/>
        <v>0</v>
      </c>
      <c r="K325" s="882"/>
      <c r="L325" s="882"/>
      <c r="M325" s="882"/>
      <c r="N325" s="882"/>
      <c r="O325" s="882"/>
      <c r="P325" s="887"/>
    </row>
    <row r="326" spans="1:16" ht="17.25" customHeight="1">
      <c r="A326" s="970"/>
      <c r="B326" s="924"/>
      <c r="C326" s="95">
        <v>42005</v>
      </c>
      <c r="D326" s="136">
        <v>42185</v>
      </c>
      <c r="E326" s="397"/>
      <c r="F326" s="397"/>
      <c r="G326" s="397">
        <f>E326+F326</f>
        <v>0</v>
      </c>
      <c r="H326" s="397"/>
      <c r="I326" s="371">
        <f t="shared" si="403"/>
        <v>0</v>
      </c>
      <c r="J326" s="399" t="e">
        <f t="shared" si="404"/>
        <v>#DIV/0!</v>
      </c>
      <c r="K326" s="881">
        <f t="shared" ref="K326" si="411">E326+E327</f>
        <v>0</v>
      </c>
      <c r="L326" s="881">
        <f>F326+F327</f>
        <v>0</v>
      </c>
      <c r="M326" s="881">
        <f t="shared" ref="M326" si="412">K326+L326</f>
        <v>0</v>
      </c>
      <c r="N326" s="881">
        <f>H326+H327</f>
        <v>0</v>
      </c>
      <c r="O326" s="881">
        <f t="shared" ref="O326" si="413">M326-N326</f>
        <v>0</v>
      </c>
      <c r="P326" s="886" t="e">
        <f>N326/M326</f>
        <v>#DIV/0!</v>
      </c>
    </row>
    <row r="327" spans="1:16" ht="17.25" customHeight="1">
      <c r="A327" s="971"/>
      <c r="B327" s="925"/>
      <c r="C327" s="96">
        <v>42186</v>
      </c>
      <c r="D327" s="138">
        <v>42369</v>
      </c>
      <c r="E327" s="400"/>
      <c r="F327" s="400"/>
      <c r="G327" s="400">
        <f>E327+F327+I326</f>
        <v>0</v>
      </c>
      <c r="H327" s="400"/>
      <c r="I327" s="374">
        <f t="shared" si="403"/>
        <v>0</v>
      </c>
      <c r="J327" s="402" t="e">
        <f t="shared" si="404"/>
        <v>#DIV/0!</v>
      </c>
      <c r="K327" s="882"/>
      <c r="L327" s="882"/>
      <c r="M327" s="882"/>
      <c r="N327" s="882"/>
      <c r="O327" s="882"/>
      <c r="P327" s="887"/>
    </row>
    <row r="328" spans="1:16" ht="17.25" customHeight="1">
      <c r="A328" s="315"/>
      <c r="B328" s="321"/>
      <c r="C328" s="306"/>
      <c r="D328" s="306"/>
      <c r="E328" s="406"/>
      <c r="F328" s="406"/>
      <c r="G328" s="406"/>
      <c r="H328" s="406"/>
      <c r="I328" s="377"/>
      <c r="J328" s="406"/>
      <c r="K328" s="570"/>
      <c r="L328" s="570"/>
      <c r="M328" s="570"/>
      <c r="N328" s="570"/>
      <c r="O328" s="570"/>
      <c r="P328" s="611"/>
    </row>
    <row r="329" spans="1:16" ht="17.25" customHeight="1">
      <c r="A329" s="322"/>
      <c r="B329" s="323"/>
      <c r="C329" s="320"/>
      <c r="D329" s="320"/>
      <c r="E329" s="417"/>
      <c r="F329" s="417"/>
      <c r="G329" s="417"/>
      <c r="H329" s="417"/>
      <c r="I329" s="378"/>
      <c r="J329" s="417"/>
      <c r="K329" s="569"/>
      <c r="L329" s="569"/>
      <c r="M329" s="569"/>
      <c r="N329" s="569"/>
      <c r="O329" s="569"/>
      <c r="P329" s="616"/>
    </row>
    <row r="330" spans="1:16" ht="17.25" customHeight="1">
      <c r="A330" s="879" t="s">
        <v>25</v>
      </c>
      <c r="B330" s="922" t="s">
        <v>56</v>
      </c>
      <c r="C330" s="95">
        <v>42005</v>
      </c>
      <c r="D330" s="136">
        <v>42308</v>
      </c>
      <c r="E330" s="397">
        <v>113.541</v>
      </c>
      <c r="F330" s="407">
        <f>-2</f>
        <v>-2</v>
      </c>
      <c r="G330" s="397">
        <f>E330+F330</f>
        <v>111.541</v>
      </c>
      <c r="H330" s="397"/>
      <c r="I330" s="371">
        <f>G330-H330</f>
        <v>111.541</v>
      </c>
      <c r="J330" s="399">
        <f>H330/G330</f>
        <v>0</v>
      </c>
      <c r="K330" s="881">
        <f>E330+E331</f>
        <v>119.553</v>
      </c>
      <c r="L330" s="881">
        <f>F330+F331</f>
        <v>-2</v>
      </c>
      <c r="M330" s="881">
        <f>K330+L330</f>
        <v>117.553</v>
      </c>
      <c r="N330" s="881">
        <f>H330+H331</f>
        <v>0</v>
      </c>
      <c r="O330" s="881">
        <f>M330-N330</f>
        <v>117.553</v>
      </c>
      <c r="P330" s="886">
        <f>N330/M330</f>
        <v>0</v>
      </c>
    </row>
    <row r="331" spans="1:16" ht="17.25" customHeight="1">
      <c r="A331" s="880"/>
      <c r="B331" s="923"/>
      <c r="C331" s="96">
        <v>42309</v>
      </c>
      <c r="D331" s="138">
        <v>42369</v>
      </c>
      <c r="E331" s="400">
        <v>6.0119999999999996</v>
      </c>
      <c r="F331" s="409"/>
      <c r="G331" s="400">
        <f>E331+F331+I330</f>
        <v>117.553</v>
      </c>
      <c r="H331" s="400"/>
      <c r="I331" s="374">
        <f t="shared" ref="I331:I343" si="414">G331-H331</f>
        <v>117.553</v>
      </c>
      <c r="J331" s="402">
        <f t="shared" ref="J331:J343" si="415">H331/G331</f>
        <v>0</v>
      </c>
      <c r="K331" s="882"/>
      <c r="L331" s="882"/>
      <c r="M331" s="882"/>
      <c r="N331" s="882"/>
      <c r="O331" s="882"/>
      <c r="P331" s="887"/>
    </row>
    <row r="332" spans="1:16" ht="17.25" customHeight="1">
      <c r="A332" s="880"/>
      <c r="B332" s="991" t="s">
        <v>50</v>
      </c>
      <c r="C332" s="95">
        <v>42005</v>
      </c>
      <c r="D332" s="136">
        <v>42308</v>
      </c>
      <c r="E332" s="403">
        <v>358.041</v>
      </c>
      <c r="F332" s="403"/>
      <c r="G332" s="403">
        <f>E332+F332</f>
        <v>358.041</v>
      </c>
      <c r="H332" s="403"/>
      <c r="I332" s="383">
        <f t="shared" si="414"/>
        <v>358.041</v>
      </c>
      <c r="J332" s="405">
        <f t="shared" si="415"/>
        <v>0</v>
      </c>
      <c r="K332" s="881">
        <f t="shared" ref="K332" si="416">E332+E333</f>
        <v>376.99900000000002</v>
      </c>
      <c r="L332" s="881">
        <f t="shared" ref="L332" si="417">F332+F333</f>
        <v>0</v>
      </c>
      <c r="M332" s="881">
        <f t="shared" ref="M332" si="418">K332+L332</f>
        <v>376.99900000000002</v>
      </c>
      <c r="N332" s="885">
        <f>H332+H333</f>
        <v>0</v>
      </c>
      <c r="O332" s="881">
        <f t="shared" ref="O332" si="419">M332-N332</f>
        <v>376.99900000000002</v>
      </c>
      <c r="P332" s="886">
        <f t="shared" ref="P332" si="420">N332/M332</f>
        <v>0</v>
      </c>
    </row>
    <row r="333" spans="1:16" ht="17.25" customHeight="1">
      <c r="A333" s="880"/>
      <c r="B333" s="991"/>
      <c r="C333" s="96">
        <v>42309</v>
      </c>
      <c r="D333" s="138">
        <v>42369</v>
      </c>
      <c r="E333" s="403">
        <v>18.957999999999998</v>
      </c>
      <c r="F333" s="403"/>
      <c r="G333" s="403">
        <f>E333+F333+I332</f>
        <v>376.99900000000002</v>
      </c>
      <c r="H333" s="403"/>
      <c r="I333" s="383">
        <f t="shared" si="414"/>
        <v>376.99900000000002</v>
      </c>
      <c r="J333" s="405">
        <f t="shared" si="415"/>
        <v>0</v>
      </c>
      <c r="K333" s="882"/>
      <c r="L333" s="882"/>
      <c r="M333" s="882"/>
      <c r="N333" s="885"/>
      <c r="O333" s="882"/>
      <c r="P333" s="887"/>
    </row>
    <row r="334" spans="1:16" ht="17.25" customHeight="1">
      <c r="A334" s="880"/>
      <c r="B334" s="922" t="s">
        <v>10</v>
      </c>
      <c r="C334" s="95">
        <v>42005</v>
      </c>
      <c r="D334" s="136">
        <v>42308</v>
      </c>
      <c r="E334" s="397">
        <v>140.536</v>
      </c>
      <c r="F334" s="398">
        <f>-1.02</f>
        <v>-1.02</v>
      </c>
      <c r="G334" s="397">
        <f>E334+F334</f>
        <v>139.51599999999999</v>
      </c>
      <c r="H334" s="397"/>
      <c r="I334" s="371">
        <f t="shared" si="414"/>
        <v>139.51599999999999</v>
      </c>
      <c r="J334" s="399">
        <f t="shared" si="415"/>
        <v>0</v>
      </c>
      <c r="K334" s="881">
        <f t="shared" ref="K334" si="421">E334+E335</f>
        <v>147.977</v>
      </c>
      <c r="L334" s="881">
        <f t="shared" ref="L334" si="422">F334+F335</f>
        <v>-1.02</v>
      </c>
      <c r="M334" s="881">
        <f t="shared" ref="M334" si="423">K334+L334</f>
        <v>146.95699999999999</v>
      </c>
      <c r="N334" s="881">
        <f>H334+H335</f>
        <v>0</v>
      </c>
      <c r="O334" s="881">
        <f t="shared" ref="O334" si="424">M334-N334</f>
        <v>146.95699999999999</v>
      </c>
      <c r="P334" s="886">
        <f t="shared" ref="P334" si="425">N334/M334</f>
        <v>0</v>
      </c>
    </row>
    <row r="335" spans="1:16" ht="17.25" customHeight="1">
      <c r="A335" s="880"/>
      <c r="B335" s="923"/>
      <c r="C335" s="96">
        <v>42309</v>
      </c>
      <c r="D335" s="138">
        <v>42369</v>
      </c>
      <c r="E335" s="400">
        <v>7.4409999999999998</v>
      </c>
      <c r="F335" s="400"/>
      <c r="G335" s="400">
        <f>E335+F335+I334</f>
        <v>146.95699999999999</v>
      </c>
      <c r="H335" s="400"/>
      <c r="I335" s="374">
        <f t="shared" si="414"/>
        <v>146.95699999999999</v>
      </c>
      <c r="J335" s="402">
        <f t="shared" si="415"/>
        <v>0</v>
      </c>
      <c r="K335" s="882"/>
      <c r="L335" s="882"/>
      <c r="M335" s="882"/>
      <c r="N335" s="882"/>
      <c r="O335" s="882"/>
      <c r="P335" s="887"/>
    </row>
    <row r="336" spans="1:16" ht="17.25" customHeight="1">
      <c r="A336" s="880"/>
      <c r="B336" s="926" t="s">
        <v>1</v>
      </c>
      <c r="C336" s="95">
        <v>42005</v>
      </c>
      <c r="D336" s="136">
        <v>42308</v>
      </c>
      <c r="E336" s="411">
        <v>3.5979999999999999</v>
      </c>
      <c r="F336" s="398"/>
      <c r="G336" s="397">
        <f>E336+F336</f>
        <v>3.5979999999999999</v>
      </c>
      <c r="H336" s="397"/>
      <c r="I336" s="371">
        <f t="shared" si="414"/>
        <v>3.5979999999999999</v>
      </c>
      <c r="J336" s="399">
        <f t="shared" si="415"/>
        <v>0</v>
      </c>
      <c r="K336" s="881">
        <f t="shared" ref="K336" si="426">E336+E337</f>
        <v>3.7889999999999997</v>
      </c>
      <c r="L336" s="881">
        <f t="shared" ref="L336" si="427">F336+F337</f>
        <v>0</v>
      </c>
      <c r="M336" s="881">
        <f t="shared" ref="M336" si="428">K336+L336</f>
        <v>3.7889999999999997</v>
      </c>
      <c r="N336" s="881">
        <f>H336+H337</f>
        <v>0</v>
      </c>
      <c r="O336" s="881">
        <f t="shared" ref="O336" si="429">M336-N336</f>
        <v>3.7889999999999997</v>
      </c>
      <c r="P336" s="886">
        <f t="shared" ref="P336" si="430">N336/M336</f>
        <v>0</v>
      </c>
    </row>
    <row r="337" spans="1:16" ht="17.25" customHeight="1">
      <c r="A337" s="880"/>
      <c r="B337" s="927"/>
      <c r="C337" s="96">
        <v>42309</v>
      </c>
      <c r="D337" s="138">
        <v>42369</v>
      </c>
      <c r="E337" s="413">
        <v>0.191</v>
      </c>
      <c r="F337" s="401"/>
      <c r="G337" s="400">
        <f>E337+F337+I336</f>
        <v>3.7889999999999997</v>
      </c>
      <c r="H337" s="400"/>
      <c r="I337" s="374">
        <f t="shared" si="414"/>
        <v>3.7889999999999997</v>
      </c>
      <c r="J337" s="402">
        <f t="shared" si="415"/>
        <v>0</v>
      </c>
      <c r="K337" s="882"/>
      <c r="L337" s="882"/>
      <c r="M337" s="882"/>
      <c r="N337" s="882"/>
      <c r="O337" s="882"/>
      <c r="P337" s="887"/>
    </row>
    <row r="338" spans="1:16" ht="17.25" customHeight="1">
      <c r="A338" s="880"/>
      <c r="B338" s="872" t="s">
        <v>287</v>
      </c>
      <c r="C338" s="95">
        <v>42005</v>
      </c>
      <c r="D338" s="136">
        <v>42308</v>
      </c>
      <c r="E338" s="403">
        <v>1.649</v>
      </c>
      <c r="F338" s="404">
        <f>-0.849</f>
        <v>-0.84899999999999998</v>
      </c>
      <c r="G338" s="403">
        <f>E338+F338</f>
        <v>0.8</v>
      </c>
      <c r="H338" s="403"/>
      <c r="I338" s="383">
        <f t="shared" si="414"/>
        <v>0.8</v>
      </c>
      <c r="J338" s="405">
        <f t="shared" si="415"/>
        <v>0</v>
      </c>
      <c r="K338" s="881">
        <f t="shared" ref="K338" si="431">E338+E339</f>
        <v>1.736</v>
      </c>
      <c r="L338" s="881">
        <f t="shared" ref="L338" si="432">F338+F339</f>
        <v>-0.84899999999999998</v>
      </c>
      <c r="M338" s="881">
        <f t="shared" ref="M338" si="433">K338+L338</f>
        <v>0.88700000000000001</v>
      </c>
      <c r="N338" s="885">
        <f>H338+H339</f>
        <v>0</v>
      </c>
      <c r="O338" s="881">
        <f t="shared" ref="O338" si="434">M338-N338</f>
        <v>0.88700000000000001</v>
      </c>
      <c r="P338" s="886">
        <f t="shared" ref="P338" si="435">N338/M338</f>
        <v>0</v>
      </c>
    </row>
    <row r="339" spans="1:16" ht="17.25" customHeight="1">
      <c r="A339" s="880"/>
      <c r="B339" s="872"/>
      <c r="C339" s="96">
        <v>42309</v>
      </c>
      <c r="D339" s="138">
        <v>42369</v>
      </c>
      <c r="E339" s="403">
        <v>8.6999999999999994E-2</v>
      </c>
      <c r="F339" s="403"/>
      <c r="G339" s="403">
        <f>E339+F339+I338</f>
        <v>0.88700000000000001</v>
      </c>
      <c r="H339" s="403"/>
      <c r="I339" s="383">
        <f t="shared" si="414"/>
        <v>0.88700000000000001</v>
      </c>
      <c r="J339" s="405">
        <f t="shared" si="415"/>
        <v>0</v>
      </c>
      <c r="K339" s="882"/>
      <c r="L339" s="882"/>
      <c r="M339" s="882"/>
      <c r="N339" s="885"/>
      <c r="O339" s="882"/>
      <c r="P339" s="887"/>
    </row>
    <row r="340" spans="1:16" ht="17.25" customHeight="1">
      <c r="A340" s="880"/>
      <c r="B340" s="871" t="s">
        <v>13</v>
      </c>
      <c r="C340" s="95">
        <v>42005</v>
      </c>
      <c r="D340" s="136">
        <v>42308</v>
      </c>
      <c r="E340" s="397">
        <v>212.19900000000001</v>
      </c>
      <c r="F340" s="398">
        <f>-193.4</f>
        <v>-193.4</v>
      </c>
      <c r="G340" s="397">
        <f>E340+F340</f>
        <v>18.799000000000007</v>
      </c>
      <c r="H340" s="397"/>
      <c r="I340" s="371">
        <f t="shared" si="414"/>
        <v>18.799000000000007</v>
      </c>
      <c r="J340" s="399">
        <f t="shared" si="415"/>
        <v>0</v>
      </c>
      <c r="K340" s="881">
        <f t="shared" ref="K340" si="436">E340+E341</f>
        <v>223.435</v>
      </c>
      <c r="L340" s="881">
        <f t="shared" ref="L340" si="437">F340+F341</f>
        <v>-193.4</v>
      </c>
      <c r="M340" s="881">
        <f t="shared" ref="M340" si="438">K340+L340</f>
        <v>30.034999999999997</v>
      </c>
      <c r="N340" s="881">
        <f>H340+H341</f>
        <v>0</v>
      </c>
      <c r="O340" s="881">
        <f t="shared" ref="O340" si="439">M340-N340</f>
        <v>30.034999999999997</v>
      </c>
      <c r="P340" s="886">
        <f t="shared" ref="P340" si="440">N340/M340</f>
        <v>0</v>
      </c>
    </row>
    <row r="341" spans="1:16" ht="17.25" customHeight="1">
      <c r="A341" s="880"/>
      <c r="B341" s="873"/>
      <c r="C341" s="96">
        <v>42309</v>
      </c>
      <c r="D341" s="138">
        <v>42369</v>
      </c>
      <c r="E341" s="400">
        <v>11.236000000000001</v>
      </c>
      <c r="F341" s="400"/>
      <c r="G341" s="400">
        <f>E341+F341+I340</f>
        <v>30.035000000000007</v>
      </c>
      <c r="H341" s="400"/>
      <c r="I341" s="374">
        <f t="shared" si="414"/>
        <v>30.035000000000007</v>
      </c>
      <c r="J341" s="402">
        <f t="shared" si="415"/>
        <v>0</v>
      </c>
      <c r="K341" s="882"/>
      <c r="L341" s="882"/>
      <c r="M341" s="882"/>
      <c r="N341" s="882"/>
      <c r="O341" s="882"/>
      <c r="P341" s="887"/>
    </row>
    <row r="342" spans="1:16" ht="17.25" customHeight="1">
      <c r="A342" s="880"/>
      <c r="B342" s="872" t="s">
        <v>8</v>
      </c>
      <c r="C342" s="95">
        <v>42005</v>
      </c>
      <c r="D342" s="136">
        <v>42308</v>
      </c>
      <c r="E342" s="403">
        <v>1.4370000000000001</v>
      </c>
      <c r="F342" s="403"/>
      <c r="G342" s="403">
        <f>E342+F342</f>
        <v>1.4370000000000001</v>
      </c>
      <c r="H342" s="403"/>
      <c r="I342" s="383">
        <f t="shared" si="414"/>
        <v>1.4370000000000001</v>
      </c>
      <c r="J342" s="405">
        <f t="shared" si="415"/>
        <v>0</v>
      </c>
      <c r="K342" s="881">
        <f t="shared" ref="K342" si="441">E342+E343</f>
        <v>1.5130000000000001</v>
      </c>
      <c r="L342" s="881">
        <f t="shared" ref="L342" si="442">F342+F343</f>
        <v>0</v>
      </c>
      <c r="M342" s="881">
        <f t="shared" ref="M342" si="443">K342+L342</f>
        <v>1.5130000000000001</v>
      </c>
      <c r="N342" s="885">
        <f>H342+H343</f>
        <v>0</v>
      </c>
      <c r="O342" s="881">
        <f t="shared" ref="O342" si="444">M342-N342</f>
        <v>1.5130000000000001</v>
      </c>
      <c r="P342" s="886">
        <f t="shared" ref="P342" si="445">N342/M342</f>
        <v>0</v>
      </c>
    </row>
    <row r="343" spans="1:16" ht="17.25" customHeight="1">
      <c r="A343" s="880"/>
      <c r="B343" s="873"/>
      <c r="C343" s="96">
        <v>42309</v>
      </c>
      <c r="D343" s="138">
        <v>42369</v>
      </c>
      <c r="E343" s="400">
        <v>7.5999999999999998E-2</v>
      </c>
      <c r="F343" s="400"/>
      <c r="G343" s="400">
        <f>E343+F343+I342</f>
        <v>1.5130000000000001</v>
      </c>
      <c r="H343" s="400"/>
      <c r="I343" s="374">
        <f t="shared" si="414"/>
        <v>1.5130000000000001</v>
      </c>
      <c r="J343" s="402">
        <f t="shared" si="415"/>
        <v>0</v>
      </c>
      <c r="K343" s="882"/>
      <c r="L343" s="882"/>
      <c r="M343" s="882"/>
      <c r="N343" s="882"/>
      <c r="O343" s="882"/>
      <c r="P343" s="887"/>
    </row>
    <row r="344" spans="1:16" ht="17.25" customHeight="1">
      <c r="A344" s="880"/>
      <c r="B344" s="874" t="s">
        <v>342</v>
      </c>
      <c r="C344" s="95">
        <v>42005</v>
      </c>
      <c r="D344" s="136">
        <v>42308</v>
      </c>
      <c r="E344" s="411">
        <v>0</v>
      </c>
      <c r="F344" s="407">
        <f>2</f>
        <v>2</v>
      </c>
      <c r="G344" s="397">
        <f>E344+F344</f>
        <v>2</v>
      </c>
      <c r="H344" s="397"/>
      <c r="I344" s="371">
        <f t="shared" ref="I344:I347" si="446">G344-H344</f>
        <v>2</v>
      </c>
      <c r="J344" s="399">
        <f t="shared" ref="J344:J347" si="447">H344/G344</f>
        <v>0</v>
      </c>
      <c r="K344" s="881">
        <f t="shared" ref="K344" si="448">E344+E345</f>
        <v>0</v>
      </c>
      <c r="L344" s="883">
        <f t="shared" ref="L344" si="449">F344+F345</f>
        <v>2</v>
      </c>
      <c r="M344" s="881">
        <f t="shared" ref="M344" si="450">K344+L344</f>
        <v>2</v>
      </c>
      <c r="N344" s="881">
        <f>H344+H345</f>
        <v>0</v>
      </c>
      <c r="O344" s="881">
        <f t="shared" ref="O344" si="451">M344-N344</f>
        <v>2</v>
      </c>
      <c r="P344" s="886">
        <f t="shared" ref="P344" si="452">N344/M344</f>
        <v>0</v>
      </c>
    </row>
    <row r="345" spans="1:16" ht="17.25" customHeight="1">
      <c r="A345" s="880"/>
      <c r="B345" s="876"/>
      <c r="C345" s="96">
        <v>42309</v>
      </c>
      <c r="D345" s="138">
        <v>42369</v>
      </c>
      <c r="E345" s="413">
        <v>0</v>
      </c>
      <c r="F345" s="400"/>
      <c r="G345" s="400">
        <f>E345+F345+I344</f>
        <v>2</v>
      </c>
      <c r="H345" s="400"/>
      <c r="I345" s="374">
        <f t="shared" si="446"/>
        <v>2</v>
      </c>
      <c r="J345" s="402">
        <f t="shared" si="447"/>
        <v>0</v>
      </c>
      <c r="K345" s="882"/>
      <c r="L345" s="884"/>
      <c r="M345" s="882"/>
      <c r="N345" s="882"/>
      <c r="O345" s="882"/>
      <c r="P345" s="887"/>
    </row>
    <row r="346" spans="1:16" ht="17.25" customHeight="1">
      <c r="A346" s="880"/>
      <c r="B346" s="1001" t="s">
        <v>279</v>
      </c>
      <c r="C346" s="95">
        <v>42005</v>
      </c>
      <c r="D346" s="136">
        <v>42308</v>
      </c>
      <c r="E346" s="403">
        <v>0</v>
      </c>
      <c r="F346" s="407">
        <f>0.849</f>
        <v>0.84899999999999998</v>
      </c>
      <c r="G346" s="403">
        <f>E346+F346</f>
        <v>0.84899999999999998</v>
      </c>
      <c r="H346" s="403"/>
      <c r="I346" s="383">
        <f t="shared" si="446"/>
        <v>0.84899999999999998</v>
      </c>
      <c r="J346" s="405">
        <f t="shared" si="447"/>
        <v>0</v>
      </c>
      <c r="K346" s="881">
        <f>E346+E347</f>
        <v>0</v>
      </c>
      <c r="L346" s="883">
        <f>F346+F347</f>
        <v>0.84899999999999998</v>
      </c>
      <c r="M346" s="881">
        <f t="shared" ref="M346" si="453">K346+L346</f>
        <v>0.84899999999999998</v>
      </c>
      <c r="N346" s="885">
        <f>H346+H347</f>
        <v>0</v>
      </c>
      <c r="O346" s="881">
        <f t="shared" ref="O346" si="454">M346-N346</f>
        <v>0.84899999999999998</v>
      </c>
      <c r="P346" s="886">
        <f t="shared" ref="P346" si="455">N346/M346</f>
        <v>0</v>
      </c>
    </row>
    <row r="347" spans="1:16" ht="17.25" customHeight="1">
      <c r="A347" s="880"/>
      <c r="B347" s="878"/>
      <c r="C347" s="96">
        <v>42309</v>
      </c>
      <c r="D347" s="138">
        <v>42369</v>
      </c>
      <c r="E347" s="400">
        <v>0</v>
      </c>
      <c r="F347" s="400"/>
      <c r="G347" s="400">
        <f>E347+F347+I346</f>
        <v>0.84899999999999998</v>
      </c>
      <c r="H347" s="400"/>
      <c r="I347" s="374">
        <f t="shared" si="446"/>
        <v>0.84899999999999998</v>
      </c>
      <c r="J347" s="402">
        <f t="shared" si="447"/>
        <v>0</v>
      </c>
      <c r="K347" s="882"/>
      <c r="L347" s="884"/>
      <c r="M347" s="882"/>
      <c r="N347" s="882"/>
      <c r="O347" s="882"/>
      <c r="P347" s="887"/>
    </row>
    <row r="348" spans="1:16" ht="17.25" customHeight="1">
      <c r="A348" s="880"/>
      <c r="B348" s="877" t="s">
        <v>364</v>
      </c>
      <c r="C348" s="95">
        <v>42005</v>
      </c>
      <c r="D348" s="136">
        <v>42308</v>
      </c>
      <c r="E348" s="397">
        <v>0</v>
      </c>
      <c r="F348" s="407">
        <f>1.02</f>
        <v>1.02</v>
      </c>
      <c r="G348" s="397">
        <f>E348+F348</f>
        <v>1.02</v>
      </c>
      <c r="H348" s="397"/>
      <c r="I348" s="371">
        <f t="shared" ref="I348:I349" si="456">G348-H348</f>
        <v>1.02</v>
      </c>
      <c r="J348" s="399">
        <f t="shared" ref="J348:J349" si="457">H348/G348</f>
        <v>0</v>
      </c>
      <c r="K348" s="881">
        <f>E348+E349</f>
        <v>0</v>
      </c>
      <c r="L348" s="883">
        <f>F348+F349</f>
        <v>1.02</v>
      </c>
      <c r="M348" s="881">
        <f t="shared" ref="M348" si="458">K348+L348</f>
        <v>1.02</v>
      </c>
      <c r="N348" s="885">
        <f>H348+H349</f>
        <v>0</v>
      </c>
      <c r="O348" s="881">
        <f t="shared" ref="O348" si="459">M348-N348</f>
        <v>1.02</v>
      </c>
      <c r="P348" s="886">
        <f t="shared" ref="P348" si="460">N348/M348</f>
        <v>0</v>
      </c>
    </row>
    <row r="349" spans="1:16" ht="17.25" customHeight="1">
      <c r="A349" s="880"/>
      <c r="B349" s="878"/>
      <c r="C349" s="96">
        <v>42309</v>
      </c>
      <c r="D349" s="138">
        <v>42369</v>
      </c>
      <c r="E349" s="400">
        <v>0</v>
      </c>
      <c r="F349" s="400"/>
      <c r="G349" s="400">
        <f>E349+F349+I348</f>
        <v>1.02</v>
      </c>
      <c r="H349" s="400"/>
      <c r="I349" s="374">
        <f t="shared" si="456"/>
        <v>1.02</v>
      </c>
      <c r="J349" s="402">
        <f t="shared" si="457"/>
        <v>0</v>
      </c>
      <c r="K349" s="882"/>
      <c r="L349" s="884"/>
      <c r="M349" s="882"/>
      <c r="N349" s="882"/>
      <c r="O349" s="882"/>
      <c r="P349" s="887"/>
    </row>
    <row r="350" spans="1:16" ht="17.25" customHeight="1">
      <c r="E350" s="418"/>
      <c r="F350" s="418"/>
      <c r="G350" s="418"/>
      <c r="H350" s="418"/>
      <c r="I350" s="418"/>
      <c r="J350" s="418"/>
      <c r="K350" s="276"/>
      <c r="L350" s="276"/>
      <c r="M350" s="276"/>
      <c r="N350" s="276"/>
      <c r="O350" s="276"/>
      <c r="P350" s="567"/>
    </row>
    <row r="351" spans="1:16" ht="17.25" customHeight="1">
      <c r="E351" s="418"/>
      <c r="F351" s="418"/>
      <c r="G351" s="418"/>
      <c r="H351" s="418"/>
      <c r="I351" s="418"/>
      <c r="J351" s="418"/>
      <c r="K351" s="276"/>
      <c r="L351" s="276"/>
      <c r="M351" s="276"/>
      <c r="N351" s="276"/>
      <c r="O351" s="276"/>
      <c r="P351" s="567"/>
    </row>
    <row r="352" spans="1:16" ht="17.25" customHeight="1">
      <c r="E352" s="418"/>
      <c r="F352" s="418"/>
      <c r="G352" s="418"/>
      <c r="H352" s="418"/>
      <c r="I352" s="865" t="s">
        <v>407</v>
      </c>
      <c r="J352" s="865"/>
      <c r="K352" s="866" t="s">
        <v>324</v>
      </c>
      <c r="L352" s="866"/>
      <c r="M352" s="866"/>
      <c r="N352" s="866"/>
      <c r="O352" s="866"/>
      <c r="P352" s="866"/>
    </row>
    <row r="353" spans="1:16" ht="43.5" customHeight="1">
      <c r="B353" s="21"/>
      <c r="E353" s="418"/>
      <c r="F353" s="418"/>
      <c r="G353" s="418"/>
      <c r="H353" s="776" t="s">
        <v>264</v>
      </c>
      <c r="I353" s="776" t="s">
        <v>197</v>
      </c>
      <c r="J353" s="776" t="s">
        <v>406</v>
      </c>
      <c r="K353" s="777" t="s">
        <v>332</v>
      </c>
      <c r="L353" s="777" t="s">
        <v>201</v>
      </c>
      <c r="M353" s="777" t="s">
        <v>202</v>
      </c>
      <c r="N353" s="777" t="s">
        <v>3</v>
      </c>
      <c r="O353" s="777" t="s">
        <v>4</v>
      </c>
      <c r="P353" s="777" t="s">
        <v>5</v>
      </c>
    </row>
    <row r="354" spans="1:16" ht="17.25" customHeight="1">
      <c r="A354" s="726"/>
      <c r="B354" s="778"/>
      <c r="C354" s="726"/>
      <c r="D354" s="726"/>
      <c r="E354" s="773"/>
      <c r="F354" s="418"/>
      <c r="G354" s="863" t="s">
        <v>405</v>
      </c>
      <c r="H354" s="872" t="s">
        <v>56</v>
      </c>
      <c r="I354" s="97">
        <v>42005</v>
      </c>
      <c r="J354" s="137">
        <v>42124</v>
      </c>
      <c r="K354" s="867">
        <f>K249+K34</f>
        <v>10897.574000000001</v>
      </c>
      <c r="L354" s="867">
        <f>L249+L34</f>
        <v>-5467.0770000000002</v>
      </c>
      <c r="M354" s="867">
        <f>K354+L354</f>
        <v>5430.4970000000003</v>
      </c>
      <c r="N354" s="867">
        <f>N249+N34</f>
        <v>4904.4840000000004</v>
      </c>
      <c r="O354" s="867">
        <f>M354-N354</f>
        <v>526.01299999999992</v>
      </c>
      <c r="P354" s="869">
        <f>N354/M354</f>
        <v>0.9031372266663622</v>
      </c>
    </row>
    <row r="355" spans="1:16" ht="17.25" customHeight="1">
      <c r="A355" s="774"/>
      <c r="B355" s="778"/>
      <c r="C355" s="726"/>
      <c r="D355" s="726"/>
      <c r="E355" s="773"/>
      <c r="F355" s="418"/>
      <c r="G355" s="864"/>
      <c r="H355" s="872"/>
      <c r="I355" s="97">
        <v>42125</v>
      </c>
      <c r="J355" s="137">
        <v>42247</v>
      </c>
      <c r="K355" s="867"/>
      <c r="L355" s="867"/>
      <c r="M355" s="867"/>
      <c r="N355" s="867"/>
      <c r="O355" s="867"/>
      <c r="P355" s="869"/>
    </row>
    <row r="356" spans="1:16" ht="17.25" customHeight="1">
      <c r="A356" s="774"/>
      <c r="B356" s="778"/>
      <c r="C356" s="726"/>
      <c r="D356" s="726"/>
      <c r="E356" s="773"/>
      <c r="F356" s="418"/>
      <c r="G356" s="864"/>
      <c r="H356" s="873"/>
      <c r="I356" s="96">
        <v>42248</v>
      </c>
      <c r="J356" s="138">
        <v>42369</v>
      </c>
      <c r="K356" s="867"/>
      <c r="L356" s="867"/>
      <c r="M356" s="867"/>
      <c r="N356" s="867"/>
      <c r="O356" s="867"/>
      <c r="P356" s="869"/>
    </row>
    <row r="357" spans="1:16" ht="17.25" customHeight="1">
      <c r="A357" s="774"/>
      <c r="B357" s="778"/>
      <c r="C357" s="726"/>
      <c r="D357" s="726"/>
      <c r="E357" s="773"/>
      <c r="F357" s="418"/>
      <c r="G357" s="864"/>
      <c r="H357" s="871" t="s">
        <v>57</v>
      </c>
      <c r="I357" s="95">
        <v>42005</v>
      </c>
      <c r="J357" s="136">
        <v>42124</v>
      </c>
      <c r="K357" s="867">
        <f>K252+K37</f>
        <v>1816.375</v>
      </c>
      <c r="L357" s="867">
        <f>L252+L37</f>
        <v>-1816.375</v>
      </c>
      <c r="M357" s="867">
        <f t="shared" ref="M357" si="461">K357+L357</f>
        <v>0</v>
      </c>
      <c r="N357" s="867">
        <f>N252+N37</f>
        <v>0</v>
      </c>
      <c r="O357" s="867">
        <f t="shared" ref="O357" si="462">M357-N357</f>
        <v>0</v>
      </c>
      <c r="P357" s="868" t="e">
        <f t="shared" ref="P357" si="463">N357/M357</f>
        <v>#DIV/0!</v>
      </c>
    </row>
    <row r="358" spans="1:16" ht="17.25" customHeight="1">
      <c r="A358" s="774"/>
      <c r="B358" s="778"/>
      <c r="C358" s="726"/>
      <c r="D358" s="726"/>
      <c r="E358" s="773"/>
      <c r="F358" s="418"/>
      <c r="G358" s="864"/>
      <c r="H358" s="872"/>
      <c r="I358" s="97">
        <v>42125</v>
      </c>
      <c r="J358" s="137">
        <v>42247</v>
      </c>
      <c r="K358" s="867"/>
      <c r="L358" s="867"/>
      <c r="M358" s="867"/>
      <c r="N358" s="867"/>
      <c r="O358" s="867"/>
      <c r="P358" s="868"/>
    </row>
    <row r="359" spans="1:16" ht="17.25" customHeight="1">
      <c r="A359" s="774"/>
      <c r="B359" s="778"/>
      <c r="C359" s="726"/>
      <c r="D359" s="726"/>
      <c r="E359" s="773"/>
      <c r="F359" s="418"/>
      <c r="G359" s="864"/>
      <c r="H359" s="873"/>
      <c r="I359" s="96">
        <v>42248</v>
      </c>
      <c r="J359" s="138">
        <v>42369</v>
      </c>
      <c r="K359" s="867"/>
      <c r="L359" s="867"/>
      <c r="M359" s="867"/>
      <c r="N359" s="867"/>
      <c r="O359" s="867"/>
      <c r="P359" s="868"/>
    </row>
    <row r="360" spans="1:16" ht="17.25" customHeight="1">
      <c r="A360" s="774"/>
      <c r="B360" s="778"/>
      <c r="C360" s="726"/>
      <c r="D360" s="726"/>
      <c r="E360" s="773"/>
      <c r="F360" s="418"/>
      <c r="G360" s="864"/>
      <c r="H360" s="871" t="s">
        <v>10</v>
      </c>
      <c r="I360" s="95">
        <v>42005</v>
      </c>
      <c r="J360" s="136">
        <v>42124</v>
      </c>
      <c r="K360" s="867">
        <f>K255+K40</f>
        <v>27548.635000000002</v>
      </c>
      <c r="L360" s="867">
        <f>L255+L40</f>
        <v>-10971</v>
      </c>
      <c r="M360" s="867">
        <f t="shared" ref="M360" si="464">K360+L360</f>
        <v>16577.635000000002</v>
      </c>
      <c r="N360" s="867">
        <f>N255+N40</f>
        <v>16259.541999999999</v>
      </c>
      <c r="O360" s="867">
        <f t="shared" ref="O360" si="465">M360-N360</f>
        <v>318.09300000000258</v>
      </c>
      <c r="P360" s="869">
        <f t="shared" ref="P360" si="466">N360/M360</f>
        <v>0.98081191919112698</v>
      </c>
    </row>
    <row r="361" spans="1:16" ht="17.25" customHeight="1">
      <c r="A361" s="774"/>
      <c r="B361" s="778"/>
      <c r="C361" s="726"/>
      <c r="D361" s="726"/>
      <c r="E361" s="773"/>
      <c r="F361" s="418"/>
      <c r="G361" s="864"/>
      <c r="H361" s="872"/>
      <c r="I361" s="97">
        <v>42125</v>
      </c>
      <c r="J361" s="137">
        <v>42247</v>
      </c>
      <c r="K361" s="867"/>
      <c r="L361" s="867"/>
      <c r="M361" s="867"/>
      <c r="N361" s="867"/>
      <c r="O361" s="867"/>
      <c r="P361" s="869"/>
    </row>
    <row r="362" spans="1:16" ht="17.25" customHeight="1">
      <c r="A362" s="774"/>
      <c r="B362" s="778"/>
      <c r="C362" s="726"/>
      <c r="D362" s="726"/>
      <c r="E362" s="773"/>
      <c r="F362" s="418"/>
      <c r="G362" s="864"/>
      <c r="H362" s="873"/>
      <c r="I362" s="96">
        <v>42248</v>
      </c>
      <c r="J362" s="138">
        <v>42369</v>
      </c>
      <c r="K362" s="867"/>
      <c r="L362" s="867"/>
      <c r="M362" s="867"/>
      <c r="N362" s="867"/>
      <c r="O362" s="867"/>
      <c r="P362" s="869"/>
    </row>
    <row r="363" spans="1:16" ht="17.25" customHeight="1">
      <c r="A363" s="774"/>
      <c r="B363" s="778"/>
      <c r="C363" s="726"/>
      <c r="D363" s="726"/>
      <c r="E363" s="773"/>
      <c r="F363" s="418"/>
      <c r="G363" s="864"/>
      <c r="H363" s="871" t="s">
        <v>8</v>
      </c>
      <c r="I363" s="95">
        <v>42005</v>
      </c>
      <c r="J363" s="136">
        <v>42124</v>
      </c>
      <c r="K363" s="867">
        <f>K258+K43</f>
        <v>20027.755999999998</v>
      </c>
      <c r="L363" s="867">
        <f>L258+L43</f>
        <v>-4190</v>
      </c>
      <c r="M363" s="867">
        <f t="shared" ref="M363" si="467">K363+L363</f>
        <v>15837.755999999998</v>
      </c>
      <c r="N363" s="867">
        <f>N258+N43</f>
        <v>15780.590999999999</v>
      </c>
      <c r="O363" s="867">
        <f t="shared" ref="O363" si="468">M363-N363</f>
        <v>57.164999999999054</v>
      </c>
      <c r="P363" s="869">
        <f t="shared" ref="P363" si="469">N363/M363</f>
        <v>0.99639058715136164</v>
      </c>
    </row>
    <row r="364" spans="1:16" ht="17.25" customHeight="1">
      <c r="A364" s="774"/>
      <c r="B364" s="778"/>
      <c r="C364" s="726"/>
      <c r="D364" s="726"/>
      <c r="E364" s="773"/>
      <c r="F364" s="418"/>
      <c r="G364" s="864"/>
      <c r="H364" s="872"/>
      <c r="I364" s="97">
        <v>42125</v>
      </c>
      <c r="J364" s="137">
        <v>42247</v>
      </c>
      <c r="K364" s="867"/>
      <c r="L364" s="867"/>
      <c r="M364" s="867"/>
      <c r="N364" s="867"/>
      <c r="O364" s="867"/>
      <c r="P364" s="869"/>
    </row>
    <row r="365" spans="1:16" ht="17.25" customHeight="1">
      <c r="A365" s="774"/>
      <c r="B365" s="778"/>
      <c r="C365" s="726"/>
      <c r="D365" s="726"/>
      <c r="E365" s="773"/>
      <c r="F365" s="418"/>
      <c r="G365" s="864"/>
      <c r="H365" s="872"/>
      <c r="I365" s="96">
        <v>42248</v>
      </c>
      <c r="J365" s="138">
        <v>42369</v>
      </c>
      <c r="K365" s="867"/>
      <c r="L365" s="867"/>
      <c r="M365" s="867"/>
      <c r="N365" s="867"/>
      <c r="O365" s="867"/>
      <c r="P365" s="869"/>
    </row>
    <row r="366" spans="1:16" ht="17.25" customHeight="1">
      <c r="A366" s="774"/>
      <c r="B366" s="778"/>
      <c r="C366" s="726"/>
      <c r="D366" s="726"/>
      <c r="E366" s="773"/>
      <c r="F366" s="418"/>
      <c r="G366" s="864"/>
      <c r="H366" s="871" t="s">
        <v>58</v>
      </c>
      <c r="I366" s="95">
        <v>42005</v>
      </c>
      <c r="J366" s="136">
        <v>42124</v>
      </c>
      <c r="K366" s="867">
        <f>K270+K52</f>
        <v>1053.1390000000001</v>
      </c>
      <c r="L366" s="867">
        <f>L270+L52</f>
        <v>1658.4710000000002</v>
      </c>
      <c r="M366" s="867">
        <f t="shared" ref="M366" si="470">K366+L366</f>
        <v>2711.6100000000006</v>
      </c>
      <c r="N366" s="867">
        <f>N270+N52</f>
        <v>2568.81</v>
      </c>
      <c r="O366" s="867">
        <f t="shared" ref="O366" si="471">M366-N366</f>
        <v>142.80000000000064</v>
      </c>
      <c r="P366" s="869">
        <f t="shared" ref="P366" si="472">N366/M366</f>
        <v>0.94733755960481025</v>
      </c>
    </row>
    <row r="367" spans="1:16" ht="17.25" customHeight="1">
      <c r="A367" s="774"/>
      <c r="B367" s="778"/>
      <c r="C367" s="726"/>
      <c r="D367" s="726"/>
      <c r="E367" s="773"/>
      <c r="F367" s="418"/>
      <c r="G367" s="864"/>
      <c r="H367" s="872"/>
      <c r="I367" s="97">
        <v>42125</v>
      </c>
      <c r="J367" s="137">
        <v>42247</v>
      </c>
      <c r="K367" s="867"/>
      <c r="L367" s="867"/>
      <c r="M367" s="867"/>
      <c r="N367" s="867"/>
      <c r="O367" s="867"/>
      <c r="P367" s="869"/>
    </row>
    <row r="368" spans="1:16" ht="17.25" customHeight="1">
      <c r="A368" s="774"/>
      <c r="B368" s="778"/>
      <c r="C368" s="726"/>
      <c r="D368" s="726"/>
      <c r="E368" s="773"/>
      <c r="F368" s="418"/>
      <c r="G368" s="864"/>
      <c r="H368" s="873"/>
      <c r="I368" s="96">
        <v>42248</v>
      </c>
      <c r="J368" s="138">
        <v>42369</v>
      </c>
      <c r="K368" s="867"/>
      <c r="L368" s="867"/>
      <c r="M368" s="867"/>
      <c r="N368" s="867"/>
      <c r="O368" s="867"/>
      <c r="P368" s="869"/>
    </row>
    <row r="369" spans="1:16" ht="17.25" customHeight="1">
      <c r="A369" s="774"/>
      <c r="B369" s="778"/>
      <c r="C369" s="726"/>
      <c r="D369" s="726"/>
      <c r="E369" s="773"/>
      <c r="F369" s="418"/>
      <c r="G369" s="864"/>
      <c r="H369" s="871" t="s">
        <v>53</v>
      </c>
      <c r="I369" s="95">
        <v>42005</v>
      </c>
      <c r="J369" s="136">
        <v>42124</v>
      </c>
      <c r="K369" s="867">
        <f>K273+K55</f>
        <v>3281.2159999999999</v>
      </c>
      <c r="L369" s="867">
        <f>L273+L55</f>
        <v>-2200</v>
      </c>
      <c r="M369" s="867">
        <f t="shared" ref="M369" si="473">K369+L369</f>
        <v>1081.2159999999999</v>
      </c>
      <c r="N369" s="867">
        <f>N273+N55</f>
        <v>1074.1670000000001</v>
      </c>
      <c r="O369" s="867">
        <f t="shared" ref="O369" si="474">M369-N369</f>
        <v>7.0489999999997508</v>
      </c>
      <c r="P369" s="869">
        <f t="shared" ref="P369" si="475">N369/M369</f>
        <v>0.99348048863501859</v>
      </c>
    </row>
    <row r="370" spans="1:16" ht="17.25" customHeight="1">
      <c r="A370" s="774"/>
      <c r="B370" s="778"/>
      <c r="C370" s="726"/>
      <c r="D370" s="726"/>
      <c r="E370" s="773"/>
      <c r="F370" s="418"/>
      <c r="G370" s="864"/>
      <c r="H370" s="872"/>
      <c r="I370" s="97">
        <v>42125</v>
      </c>
      <c r="J370" s="137">
        <v>42247</v>
      </c>
      <c r="K370" s="867"/>
      <c r="L370" s="867"/>
      <c r="M370" s="867"/>
      <c r="N370" s="867"/>
      <c r="O370" s="867"/>
      <c r="P370" s="869"/>
    </row>
    <row r="371" spans="1:16" ht="17.25" customHeight="1">
      <c r="A371" s="774"/>
      <c r="B371" s="778"/>
      <c r="C371" s="726"/>
      <c r="D371" s="726"/>
      <c r="E371" s="773"/>
      <c r="F371" s="418"/>
      <c r="G371" s="864"/>
      <c r="H371" s="873"/>
      <c r="I371" s="96">
        <v>42248</v>
      </c>
      <c r="J371" s="138">
        <v>42369</v>
      </c>
      <c r="K371" s="867"/>
      <c r="L371" s="867"/>
      <c r="M371" s="867"/>
      <c r="N371" s="867"/>
      <c r="O371" s="867"/>
      <c r="P371" s="869"/>
    </row>
    <row r="372" spans="1:16" ht="17.25" customHeight="1">
      <c r="A372" s="774"/>
      <c r="B372" s="778"/>
      <c r="C372" s="726"/>
      <c r="D372" s="726"/>
      <c r="E372" s="773"/>
      <c r="F372" s="418"/>
      <c r="G372" s="864"/>
      <c r="H372" s="871" t="s">
        <v>11</v>
      </c>
      <c r="I372" s="97">
        <v>42005</v>
      </c>
      <c r="J372" s="137">
        <v>42124</v>
      </c>
      <c r="K372" s="867">
        <f>K276+K58</f>
        <v>37.202999999999996</v>
      </c>
      <c r="L372" s="867">
        <f>L276+L58</f>
        <v>-37.202999999999996</v>
      </c>
      <c r="M372" s="867">
        <f t="shared" ref="M372" si="476">K372+L372</f>
        <v>0</v>
      </c>
      <c r="N372" s="867">
        <f>N276+N58</f>
        <v>0</v>
      </c>
      <c r="O372" s="867">
        <f t="shared" ref="O372" si="477">M372-N372</f>
        <v>0</v>
      </c>
      <c r="P372" s="868" t="e">
        <f t="shared" ref="P372" si="478">N372/M372</f>
        <v>#DIV/0!</v>
      </c>
    </row>
    <row r="373" spans="1:16" ht="17.25" customHeight="1">
      <c r="A373" s="774"/>
      <c r="B373" s="778"/>
      <c r="C373" s="726"/>
      <c r="D373" s="726"/>
      <c r="E373" s="773"/>
      <c r="F373" s="418"/>
      <c r="G373" s="864"/>
      <c r="H373" s="872"/>
      <c r="I373" s="97">
        <v>42125</v>
      </c>
      <c r="J373" s="137">
        <v>42247</v>
      </c>
      <c r="K373" s="867"/>
      <c r="L373" s="867"/>
      <c r="M373" s="867"/>
      <c r="N373" s="867"/>
      <c r="O373" s="867"/>
      <c r="P373" s="868"/>
    </row>
    <row r="374" spans="1:16" ht="17.25" customHeight="1">
      <c r="A374" s="774"/>
      <c r="B374" s="778"/>
      <c r="C374" s="726"/>
      <c r="D374" s="726"/>
      <c r="E374" s="773"/>
      <c r="F374" s="418"/>
      <c r="G374" s="864"/>
      <c r="H374" s="873"/>
      <c r="I374" s="96">
        <v>42248</v>
      </c>
      <c r="J374" s="138">
        <v>42369</v>
      </c>
      <c r="K374" s="867"/>
      <c r="L374" s="867"/>
      <c r="M374" s="867"/>
      <c r="N374" s="867"/>
      <c r="O374" s="867"/>
      <c r="P374" s="868"/>
    </row>
    <row r="375" spans="1:16" ht="17.25" customHeight="1">
      <c r="A375" s="774"/>
      <c r="B375" s="778"/>
      <c r="C375" s="726"/>
      <c r="D375" s="726"/>
      <c r="E375" s="773"/>
      <c r="F375" s="418"/>
      <c r="G375" s="864"/>
      <c r="H375" s="871" t="s">
        <v>45</v>
      </c>
      <c r="I375" s="95">
        <v>42005</v>
      </c>
      <c r="J375" s="136">
        <v>42124</v>
      </c>
      <c r="K375" s="867">
        <f>K279+K61</f>
        <v>193.27499999999998</v>
      </c>
      <c r="L375" s="867">
        <f>L279+L61</f>
        <v>-193.27499999999998</v>
      </c>
      <c r="M375" s="867">
        <f t="shared" ref="M375" si="479">K375+L375</f>
        <v>0</v>
      </c>
      <c r="N375" s="867">
        <f>N279+N61</f>
        <v>0</v>
      </c>
      <c r="O375" s="867">
        <f t="shared" ref="O375" si="480">M375-N375</f>
        <v>0</v>
      </c>
      <c r="P375" s="868" t="e">
        <f t="shared" ref="P375" si="481">N375/M375</f>
        <v>#DIV/0!</v>
      </c>
    </row>
    <row r="376" spans="1:16" ht="17.25" customHeight="1">
      <c r="A376" s="774"/>
      <c r="B376" s="778"/>
      <c r="C376" s="726"/>
      <c r="D376" s="726"/>
      <c r="E376" s="773"/>
      <c r="F376" s="418"/>
      <c r="G376" s="864"/>
      <c r="H376" s="872"/>
      <c r="I376" s="97">
        <v>42125</v>
      </c>
      <c r="J376" s="137">
        <v>42247</v>
      </c>
      <c r="K376" s="867"/>
      <c r="L376" s="867"/>
      <c r="M376" s="867"/>
      <c r="N376" s="867"/>
      <c r="O376" s="867"/>
      <c r="P376" s="868"/>
    </row>
    <row r="377" spans="1:16" ht="17.25" customHeight="1">
      <c r="A377" s="774"/>
      <c r="B377" s="778"/>
      <c r="C377" s="726"/>
      <c r="D377" s="726"/>
      <c r="E377" s="773"/>
      <c r="F377" s="418"/>
      <c r="G377" s="864"/>
      <c r="H377" s="873"/>
      <c r="I377" s="96">
        <v>42248</v>
      </c>
      <c r="J377" s="138">
        <v>42369</v>
      </c>
      <c r="K377" s="867"/>
      <c r="L377" s="867"/>
      <c r="M377" s="867"/>
      <c r="N377" s="867"/>
      <c r="O377" s="867"/>
      <c r="P377" s="868"/>
    </row>
    <row r="378" spans="1:16" ht="17.25" customHeight="1">
      <c r="A378" s="774"/>
      <c r="B378" s="778"/>
      <c r="C378" s="726"/>
      <c r="D378" s="726"/>
      <c r="E378" s="773"/>
      <c r="F378" s="418"/>
      <c r="G378" s="864"/>
      <c r="H378" s="871" t="s">
        <v>287</v>
      </c>
      <c r="I378" s="95">
        <v>42005</v>
      </c>
      <c r="J378" s="136">
        <v>42124</v>
      </c>
      <c r="K378" s="867">
        <f>K294+K64</f>
        <v>1042.491</v>
      </c>
      <c r="L378" s="867">
        <f>L294+L64</f>
        <v>420.75299999999993</v>
      </c>
      <c r="M378" s="867">
        <f t="shared" ref="M378" si="482">K378+L378</f>
        <v>1463.2439999999999</v>
      </c>
      <c r="N378" s="867">
        <f>N294+N64</f>
        <v>1531.7750000000001</v>
      </c>
      <c r="O378" s="867">
        <f t="shared" ref="O378" si="483">M378-N378</f>
        <v>-68.531000000000176</v>
      </c>
      <c r="P378" s="870">
        <f t="shared" ref="P378" si="484">N378/M378</f>
        <v>1.0468349776250578</v>
      </c>
    </row>
    <row r="379" spans="1:16" ht="17.25" customHeight="1">
      <c r="A379" s="774"/>
      <c r="B379" s="778"/>
      <c r="C379" s="726"/>
      <c r="D379" s="726"/>
      <c r="E379" s="773"/>
      <c r="F379" s="418"/>
      <c r="G379" s="864"/>
      <c r="H379" s="872"/>
      <c r="I379" s="97">
        <v>42125</v>
      </c>
      <c r="J379" s="137">
        <v>42247</v>
      </c>
      <c r="K379" s="867"/>
      <c r="L379" s="867"/>
      <c r="M379" s="867"/>
      <c r="N379" s="867"/>
      <c r="O379" s="867"/>
      <c r="P379" s="870"/>
    </row>
    <row r="380" spans="1:16" ht="17.25" customHeight="1">
      <c r="A380" s="774"/>
      <c r="B380" s="778"/>
      <c r="C380" s="726"/>
      <c r="D380" s="726"/>
      <c r="E380" s="775"/>
      <c r="F380" s="370"/>
      <c r="G380" s="864"/>
      <c r="H380" s="873"/>
      <c r="I380" s="96">
        <v>42248</v>
      </c>
      <c r="J380" s="138">
        <v>42369</v>
      </c>
      <c r="K380" s="867"/>
      <c r="L380" s="867"/>
      <c r="M380" s="867"/>
      <c r="N380" s="867"/>
      <c r="O380" s="867"/>
      <c r="P380" s="870"/>
    </row>
    <row r="381" spans="1:16" ht="17.25" customHeight="1">
      <c r="A381" s="774"/>
      <c r="B381" s="778"/>
      <c r="C381" s="726"/>
      <c r="D381" s="726"/>
      <c r="E381" s="775"/>
      <c r="F381" s="370"/>
      <c r="G381" s="864"/>
      <c r="H381" s="871" t="s">
        <v>54</v>
      </c>
      <c r="I381" s="95">
        <v>42005</v>
      </c>
      <c r="J381" s="136">
        <v>42124</v>
      </c>
      <c r="K381" s="867">
        <f>K297+K70</f>
        <v>510.48999999999995</v>
      </c>
      <c r="L381" s="867">
        <f>L297+L70</f>
        <v>-322</v>
      </c>
      <c r="M381" s="867">
        <f t="shared" ref="M381" si="485">K381+L381</f>
        <v>188.48999999999995</v>
      </c>
      <c r="N381" s="867">
        <f>N297+N70</f>
        <v>0</v>
      </c>
      <c r="O381" s="867">
        <f t="shared" ref="O381" si="486">M381-N381</f>
        <v>188.48999999999995</v>
      </c>
      <c r="P381" s="868">
        <f t="shared" ref="P381" si="487">N381/M381</f>
        <v>0</v>
      </c>
    </row>
    <row r="382" spans="1:16" ht="17.25" customHeight="1">
      <c r="A382" s="774"/>
      <c r="B382" s="778"/>
      <c r="C382" s="726"/>
      <c r="D382" s="726"/>
      <c r="E382" s="775"/>
      <c r="F382" s="370"/>
      <c r="G382" s="864"/>
      <c r="H382" s="872"/>
      <c r="I382" s="97">
        <v>42125</v>
      </c>
      <c r="J382" s="137">
        <v>42247</v>
      </c>
      <c r="K382" s="867"/>
      <c r="L382" s="867"/>
      <c r="M382" s="867"/>
      <c r="N382" s="867"/>
      <c r="O382" s="867"/>
      <c r="P382" s="868"/>
    </row>
    <row r="383" spans="1:16" ht="17.25" customHeight="1">
      <c r="A383" s="774"/>
      <c r="B383" s="778"/>
      <c r="C383" s="726"/>
      <c r="D383" s="726"/>
      <c r="E383" s="775"/>
      <c r="F383" s="370"/>
      <c r="G383" s="864"/>
      <c r="H383" s="873"/>
      <c r="I383" s="96">
        <v>42248</v>
      </c>
      <c r="J383" s="138">
        <v>42369</v>
      </c>
      <c r="K383" s="867"/>
      <c r="L383" s="867"/>
      <c r="M383" s="867"/>
      <c r="N383" s="867"/>
      <c r="O383" s="867"/>
      <c r="P383" s="868"/>
    </row>
    <row r="384" spans="1:16" ht="17.25" customHeight="1">
      <c r="A384" s="774"/>
      <c r="B384" s="778"/>
      <c r="C384" s="726"/>
      <c r="D384" s="726"/>
      <c r="E384" s="775"/>
      <c r="F384" s="370"/>
      <c r="G384" s="864"/>
      <c r="H384" s="871" t="s">
        <v>12</v>
      </c>
      <c r="I384" s="95">
        <v>42005</v>
      </c>
      <c r="J384" s="136">
        <v>42124</v>
      </c>
      <c r="K384" s="867">
        <f>K300+K73</f>
        <v>10562.958000000001</v>
      </c>
      <c r="L384" s="867">
        <f>L300+L73</f>
        <v>3561</v>
      </c>
      <c r="M384" s="867">
        <f t="shared" ref="M384" si="488">K384+L384</f>
        <v>14123.958000000001</v>
      </c>
      <c r="N384" s="867">
        <f>N300+N73</f>
        <v>13236.875</v>
      </c>
      <c r="O384" s="867">
        <f t="shared" ref="O384" si="489">M384-N384</f>
        <v>887.08300000000054</v>
      </c>
      <c r="P384" s="869">
        <f t="shared" ref="P384" si="490">N384/M384</f>
        <v>0.93719303045222868</v>
      </c>
    </row>
    <row r="385" spans="1:16" ht="17.25" customHeight="1">
      <c r="A385" s="774"/>
      <c r="B385" s="778"/>
      <c r="C385" s="726"/>
      <c r="D385" s="726"/>
      <c r="E385" s="775"/>
      <c r="F385" s="370"/>
      <c r="G385" s="864"/>
      <c r="H385" s="872"/>
      <c r="I385" s="97">
        <v>42125</v>
      </c>
      <c r="J385" s="137">
        <v>42247</v>
      </c>
      <c r="K385" s="867"/>
      <c r="L385" s="867"/>
      <c r="M385" s="867"/>
      <c r="N385" s="867"/>
      <c r="O385" s="867"/>
      <c r="P385" s="869"/>
    </row>
    <row r="386" spans="1:16" ht="17.25" customHeight="1">
      <c r="A386" s="774"/>
      <c r="B386" s="778"/>
      <c r="C386" s="726"/>
      <c r="D386" s="726"/>
      <c r="E386" s="775"/>
      <c r="F386" s="370"/>
      <c r="G386" s="864"/>
      <c r="H386" s="872"/>
      <c r="I386" s="96">
        <v>42248</v>
      </c>
      <c r="J386" s="138">
        <v>42369</v>
      </c>
      <c r="K386" s="867"/>
      <c r="L386" s="867"/>
      <c r="M386" s="867"/>
      <c r="N386" s="867"/>
      <c r="O386" s="867"/>
      <c r="P386" s="869"/>
    </row>
    <row r="387" spans="1:16" ht="17.25" customHeight="1">
      <c r="A387" s="774"/>
      <c r="B387" s="778"/>
      <c r="C387" s="726"/>
      <c r="D387" s="726"/>
      <c r="E387" s="775"/>
      <c r="F387" s="370"/>
      <c r="G387" s="864"/>
      <c r="H387" s="871" t="s">
        <v>7</v>
      </c>
      <c r="I387" s="95">
        <v>42005</v>
      </c>
      <c r="J387" s="136">
        <v>42124</v>
      </c>
      <c r="K387" s="867">
        <f>K303+K76</f>
        <v>2454.5330000000004</v>
      </c>
      <c r="L387" s="867">
        <f>L303+L76</f>
        <v>2546.8530000000001</v>
      </c>
      <c r="M387" s="867">
        <f t="shared" ref="M387" si="491">K387+L387</f>
        <v>5001.3860000000004</v>
      </c>
      <c r="N387" s="867">
        <f>N303+N76</f>
        <v>4764.5380000000005</v>
      </c>
      <c r="O387" s="867">
        <f t="shared" ref="O387" si="492">M387-N387</f>
        <v>236.84799999999996</v>
      </c>
      <c r="P387" s="869">
        <f t="shared" ref="P387" si="493">N387/M387</f>
        <v>0.95264352721425627</v>
      </c>
    </row>
    <row r="388" spans="1:16" ht="17.25" customHeight="1">
      <c r="A388" s="774"/>
      <c r="B388" s="778"/>
      <c r="C388" s="726"/>
      <c r="D388" s="726"/>
      <c r="E388" s="775"/>
      <c r="F388" s="370"/>
      <c r="G388" s="864"/>
      <c r="H388" s="872"/>
      <c r="I388" s="97">
        <v>42125</v>
      </c>
      <c r="J388" s="137">
        <v>42247</v>
      </c>
      <c r="K388" s="867"/>
      <c r="L388" s="867"/>
      <c r="M388" s="867"/>
      <c r="N388" s="867"/>
      <c r="O388" s="867"/>
      <c r="P388" s="869"/>
    </row>
    <row r="389" spans="1:16" ht="17.25" customHeight="1">
      <c r="A389" s="774"/>
      <c r="B389" s="778"/>
      <c r="C389" s="726"/>
      <c r="D389" s="726"/>
      <c r="E389" s="775"/>
      <c r="F389" s="370"/>
      <c r="G389" s="864"/>
      <c r="H389" s="873"/>
      <c r="I389" s="96">
        <v>42248</v>
      </c>
      <c r="J389" s="138">
        <v>42369</v>
      </c>
      <c r="K389" s="867"/>
      <c r="L389" s="867"/>
      <c r="M389" s="867"/>
      <c r="N389" s="867"/>
      <c r="O389" s="867"/>
      <c r="P389" s="869"/>
    </row>
    <row r="390" spans="1:16" ht="17.25" customHeight="1">
      <c r="A390" s="774"/>
      <c r="B390" s="778"/>
      <c r="C390" s="726"/>
      <c r="D390" s="726"/>
      <c r="E390" s="775"/>
      <c r="F390" s="370"/>
      <c r="G390" s="864"/>
      <c r="H390" s="871" t="s">
        <v>62</v>
      </c>
      <c r="I390" s="95">
        <v>42005</v>
      </c>
      <c r="J390" s="136">
        <v>42124</v>
      </c>
      <c r="K390" s="867">
        <f>K306+K79</f>
        <v>396.74799999999999</v>
      </c>
      <c r="L390" s="867">
        <f>L306+L79</f>
        <v>-341.31200000000001</v>
      </c>
      <c r="M390" s="867">
        <f t="shared" ref="M390" si="494">K390+L390</f>
        <v>55.435999999999979</v>
      </c>
      <c r="N390" s="867">
        <f>N306+N79</f>
        <v>0</v>
      </c>
      <c r="O390" s="867">
        <f t="shared" ref="O390" si="495">M390-N390</f>
        <v>55.435999999999979</v>
      </c>
      <c r="P390" s="868">
        <f t="shared" ref="P390" si="496">N390/M390</f>
        <v>0</v>
      </c>
    </row>
    <row r="391" spans="1:16" ht="17.25" customHeight="1">
      <c r="A391" s="774"/>
      <c r="B391" s="778"/>
      <c r="C391" s="726"/>
      <c r="D391" s="726"/>
      <c r="E391" s="775"/>
      <c r="F391" s="370"/>
      <c r="G391" s="864"/>
      <c r="H391" s="872"/>
      <c r="I391" s="97">
        <v>42125</v>
      </c>
      <c r="J391" s="137">
        <v>42247</v>
      </c>
      <c r="K391" s="867"/>
      <c r="L391" s="867"/>
      <c r="M391" s="867"/>
      <c r="N391" s="867"/>
      <c r="O391" s="867"/>
      <c r="P391" s="868"/>
    </row>
    <row r="392" spans="1:16" ht="17.25" customHeight="1">
      <c r="A392" s="774"/>
      <c r="B392" s="778"/>
      <c r="C392" s="726"/>
      <c r="D392" s="726"/>
      <c r="E392" s="775"/>
      <c r="F392" s="370"/>
      <c r="G392" s="864"/>
      <c r="H392" s="873"/>
      <c r="I392" s="96">
        <v>42248</v>
      </c>
      <c r="J392" s="138">
        <v>42369</v>
      </c>
      <c r="K392" s="867"/>
      <c r="L392" s="867"/>
      <c r="M392" s="867"/>
      <c r="N392" s="867"/>
      <c r="O392" s="867"/>
      <c r="P392" s="868"/>
    </row>
    <row r="393" spans="1:16" ht="17.25" customHeight="1">
      <c r="A393" s="774"/>
      <c r="B393" s="778"/>
      <c r="C393" s="726"/>
      <c r="D393" s="726"/>
      <c r="E393" s="775"/>
      <c r="F393" s="370"/>
      <c r="G393" s="864"/>
      <c r="H393" s="874" t="s">
        <v>13</v>
      </c>
      <c r="I393" s="95">
        <v>42005</v>
      </c>
      <c r="J393" s="136">
        <v>42124</v>
      </c>
      <c r="K393" s="867">
        <f>K309+K82</f>
        <v>21608.500999999997</v>
      </c>
      <c r="L393" s="867">
        <f>L309+L82</f>
        <v>0</v>
      </c>
      <c r="M393" s="867">
        <f t="shared" ref="M393" si="497">K393+L393</f>
        <v>21608.500999999997</v>
      </c>
      <c r="N393" s="867">
        <f>N309+N82</f>
        <v>21561.968000000004</v>
      </c>
      <c r="O393" s="867">
        <f t="shared" ref="O393" si="498">M393-N393</f>
        <v>46.532999999992171</v>
      </c>
      <c r="P393" s="869">
        <f t="shared" ref="P393" si="499">N393/M393</f>
        <v>0.99784654196975564</v>
      </c>
    </row>
    <row r="394" spans="1:16" ht="17.25" customHeight="1">
      <c r="A394" s="774"/>
      <c r="B394" s="778"/>
      <c r="C394" s="726"/>
      <c r="D394" s="726"/>
      <c r="E394" s="775"/>
      <c r="F394" s="370"/>
      <c r="G394" s="864"/>
      <c r="H394" s="875"/>
      <c r="I394" s="97">
        <v>42125</v>
      </c>
      <c r="J394" s="137">
        <v>42247</v>
      </c>
      <c r="K394" s="867"/>
      <c r="L394" s="867"/>
      <c r="M394" s="867"/>
      <c r="N394" s="867"/>
      <c r="O394" s="867"/>
      <c r="P394" s="869"/>
    </row>
    <row r="395" spans="1:16" ht="17.25" customHeight="1">
      <c r="A395" s="774"/>
      <c r="B395" s="778"/>
      <c r="C395" s="726"/>
      <c r="D395" s="726"/>
      <c r="E395" s="775"/>
      <c r="F395" s="370"/>
      <c r="G395" s="864"/>
      <c r="H395" s="876"/>
      <c r="I395" s="96">
        <v>42248</v>
      </c>
      <c r="J395" s="138">
        <v>42369</v>
      </c>
      <c r="K395" s="867"/>
      <c r="L395" s="867"/>
      <c r="M395" s="867"/>
      <c r="N395" s="867"/>
      <c r="O395" s="867"/>
      <c r="P395" s="869"/>
    </row>
    <row r="396" spans="1:16" ht="17.25" customHeight="1">
      <c r="A396" s="774"/>
      <c r="B396" s="778"/>
      <c r="C396" s="726"/>
      <c r="D396" s="726"/>
      <c r="E396" s="775"/>
      <c r="F396" s="370"/>
      <c r="G396" s="864"/>
      <c r="H396" s="874" t="s">
        <v>61</v>
      </c>
      <c r="I396" s="95">
        <v>42005</v>
      </c>
      <c r="J396" s="136">
        <v>42124</v>
      </c>
      <c r="K396" s="867">
        <f>K315+K88</f>
        <v>552.51499999999999</v>
      </c>
      <c r="L396" s="867">
        <f>L315+L88</f>
        <v>-490.69200000000001</v>
      </c>
      <c r="M396" s="867">
        <f t="shared" ref="M396" si="500">K396+L396</f>
        <v>61.822999999999979</v>
      </c>
      <c r="N396" s="867">
        <f>N315+N88</f>
        <v>0</v>
      </c>
      <c r="O396" s="867">
        <f t="shared" ref="O396" si="501">M396-N396</f>
        <v>61.822999999999979</v>
      </c>
      <c r="P396" s="868">
        <f t="shared" ref="P396" si="502">N396/M396</f>
        <v>0</v>
      </c>
    </row>
    <row r="397" spans="1:16" ht="17.25" customHeight="1">
      <c r="A397" s="774"/>
      <c r="B397" s="778"/>
      <c r="C397" s="726"/>
      <c r="D397" s="726"/>
      <c r="E397" s="775"/>
      <c r="F397" s="370"/>
      <c r="G397" s="864"/>
      <c r="H397" s="875"/>
      <c r="I397" s="97">
        <v>42125</v>
      </c>
      <c r="J397" s="137">
        <v>42247</v>
      </c>
      <c r="K397" s="867"/>
      <c r="L397" s="867"/>
      <c r="M397" s="867"/>
      <c r="N397" s="867"/>
      <c r="O397" s="867"/>
      <c r="P397" s="868"/>
    </row>
    <row r="398" spans="1:16" ht="17.25" customHeight="1">
      <c r="A398" s="774"/>
      <c r="B398" s="778"/>
      <c r="C398" s="726"/>
      <c r="D398" s="726"/>
      <c r="E398" s="775"/>
      <c r="F398" s="370"/>
      <c r="G398" s="864"/>
      <c r="H398" s="876"/>
      <c r="I398" s="96">
        <v>42248</v>
      </c>
      <c r="J398" s="138">
        <v>42369</v>
      </c>
      <c r="K398" s="867"/>
      <c r="L398" s="867"/>
      <c r="M398" s="867"/>
      <c r="N398" s="867"/>
      <c r="O398" s="867"/>
      <c r="P398" s="868"/>
    </row>
    <row r="399" spans="1:16">
      <c r="B399" s="344"/>
      <c r="P399" s="344"/>
    </row>
    <row r="400" spans="1:16">
      <c r="B400" s="344"/>
      <c r="P400" s="344"/>
    </row>
    <row r="401" spans="16:16">
      <c r="P401" s="344"/>
    </row>
    <row r="402" spans="16:16">
      <c r="P402" s="344"/>
    </row>
    <row r="403" spans="16:16">
      <c r="P403" s="344"/>
    </row>
    <row r="404" spans="16:16">
      <c r="P404" s="344"/>
    </row>
    <row r="405" spans="16:16">
      <c r="P405" s="344"/>
    </row>
    <row r="406" spans="16:16">
      <c r="P406" s="344"/>
    </row>
    <row r="407" spans="16:16">
      <c r="P407" s="344"/>
    </row>
    <row r="408" spans="16:16">
      <c r="P408" s="344"/>
    </row>
    <row r="409" spans="16:16">
      <c r="P409" s="344"/>
    </row>
    <row r="410" spans="16:16">
      <c r="P410" s="344"/>
    </row>
    <row r="411" spans="16:16">
      <c r="P411" s="344"/>
    </row>
    <row r="412" spans="16:16">
      <c r="P412" s="344"/>
    </row>
    <row r="413" spans="16:16">
      <c r="P413" s="344"/>
    </row>
    <row r="414" spans="16:16">
      <c r="P414" s="344"/>
    </row>
    <row r="415" spans="16:16">
      <c r="P415" s="344"/>
    </row>
    <row r="416" spans="16:16">
      <c r="P416" s="344"/>
    </row>
    <row r="417" spans="16:16">
      <c r="P417" s="344"/>
    </row>
    <row r="418" spans="16:16">
      <c r="P418" s="344"/>
    </row>
  </sheetData>
  <mergeCells count="1111">
    <mergeCell ref="L346:L347"/>
    <mergeCell ref="M346:M347"/>
    <mergeCell ref="L342:L343"/>
    <mergeCell ref="M342:M343"/>
    <mergeCell ref="L344:L345"/>
    <mergeCell ref="M344:M345"/>
    <mergeCell ref="L336:L337"/>
    <mergeCell ref="M336:M337"/>
    <mergeCell ref="L338:L339"/>
    <mergeCell ref="M338:M339"/>
    <mergeCell ref="L340:L341"/>
    <mergeCell ref="M340:M341"/>
    <mergeCell ref="L291:L293"/>
    <mergeCell ref="L297:L299"/>
    <mergeCell ref="M297:M299"/>
    <mergeCell ref="L300:L302"/>
    <mergeCell ref="M300:M302"/>
    <mergeCell ref="L303:L305"/>
    <mergeCell ref="M303:M305"/>
    <mergeCell ref="L330:L331"/>
    <mergeCell ref="M330:M331"/>
    <mergeCell ref="L332:L333"/>
    <mergeCell ref="M332:M333"/>
    <mergeCell ref="L334:L335"/>
    <mergeCell ref="M334:M335"/>
    <mergeCell ref="L324:L325"/>
    <mergeCell ref="M324:M325"/>
    <mergeCell ref="L326:L327"/>
    <mergeCell ref="M326:M327"/>
    <mergeCell ref="M183:M184"/>
    <mergeCell ref="L173:L174"/>
    <mergeCell ref="M173:M174"/>
    <mergeCell ref="L175:L176"/>
    <mergeCell ref="M175:M176"/>
    <mergeCell ref="L177:L178"/>
    <mergeCell ref="M177:M178"/>
    <mergeCell ref="L167:L168"/>
    <mergeCell ref="M167:M168"/>
    <mergeCell ref="L169:L170"/>
    <mergeCell ref="M169:M170"/>
    <mergeCell ref="L227:L228"/>
    <mergeCell ref="M227:M228"/>
    <mergeCell ref="L171:L172"/>
    <mergeCell ref="M171:M172"/>
    <mergeCell ref="L215:L216"/>
    <mergeCell ref="M215:M216"/>
    <mergeCell ref="L217:L218"/>
    <mergeCell ref="M217:M218"/>
    <mergeCell ref="L219:L220"/>
    <mergeCell ref="M219:M220"/>
    <mergeCell ref="L191:L192"/>
    <mergeCell ref="M191:M192"/>
    <mergeCell ref="L195:L196"/>
    <mergeCell ref="M195:M196"/>
    <mergeCell ref="L185:L186"/>
    <mergeCell ref="M185:M186"/>
    <mergeCell ref="L187:L188"/>
    <mergeCell ref="M187:M188"/>
    <mergeCell ref="L189:L190"/>
    <mergeCell ref="M189:M190"/>
    <mergeCell ref="L183:L184"/>
    <mergeCell ref="L137:L138"/>
    <mergeCell ref="M137:M138"/>
    <mergeCell ref="L125:L126"/>
    <mergeCell ref="M125:M126"/>
    <mergeCell ref="L129:L130"/>
    <mergeCell ref="M129:M130"/>
    <mergeCell ref="L131:L132"/>
    <mergeCell ref="M131:M132"/>
    <mergeCell ref="M117:M118"/>
    <mergeCell ref="L119:L120"/>
    <mergeCell ref="M119:M120"/>
    <mergeCell ref="L121:L122"/>
    <mergeCell ref="M121:M122"/>
    <mergeCell ref="L179:L180"/>
    <mergeCell ref="M179:M180"/>
    <mergeCell ref="L181:L182"/>
    <mergeCell ref="M181:M182"/>
    <mergeCell ref="M165:M166"/>
    <mergeCell ref="L165:L166"/>
    <mergeCell ref="M139:M140"/>
    <mergeCell ref="M135:M136"/>
    <mergeCell ref="L147:L148"/>
    <mergeCell ref="L10:L11"/>
    <mergeCell ref="M10:M11"/>
    <mergeCell ref="L14:L15"/>
    <mergeCell ref="M14:M15"/>
    <mergeCell ref="L16:L17"/>
    <mergeCell ref="M16:M17"/>
    <mergeCell ref="M82:M84"/>
    <mergeCell ref="M64:M66"/>
    <mergeCell ref="L67:L69"/>
    <mergeCell ref="M67:M69"/>
    <mergeCell ref="L70:L72"/>
    <mergeCell ref="M70:M72"/>
    <mergeCell ref="L73:L75"/>
    <mergeCell ref="M73:M75"/>
    <mergeCell ref="M49:M51"/>
    <mergeCell ref="L52:L54"/>
    <mergeCell ref="M52:M54"/>
    <mergeCell ref="L55:L57"/>
    <mergeCell ref="M55:M57"/>
    <mergeCell ref="L58:L60"/>
    <mergeCell ref="M58:M60"/>
    <mergeCell ref="M40:M42"/>
    <mergeCell ref="L43:L45"/>
    <mergeCell ref="M43:M45"/>
    <mergeCell ref="L26:L27"/>
    <mergeCell ref="M26:M27"/>
    <mergeCell ref="L28:L29"/>
    <mergeCell ref="M28:M29"/>
    <mergeCell ref="L34:L36"/>
    <mergeCell ref="M34:M36"/>
    <mergeCell ref="L37:L39"/>
    <mergeCell ref="L40:L42"/>
    <mergeCell ref="K28:K29"/>
    <mergeCell ref="N28:N29"/>
    <mergeCell ref="O28:O29"/>
    <mergeCell ref="P28:P29"/>
    <mergeCell ref="O18:O19"/>
    <mergeCell ref="B14:B15"/>
    <mergeCell ref="B16:B17"/>
    <mergeCell ref="P14:P15"/>
    <mergeCell ref="K346:K347"/>
    <mergeCell ref="N346:N347"/>
    <mergeCell ref="O346:O347"/>
    <mergeCell ref="P346:P347"/>
    <mergeCell ref="P336:P337"/>
    <mergeCell ref="P125:P126"/>
    <mergeCell ref="P101:P102"/>
    <mergeCell ref="P103:P104"/>
    <mergeCell ref="N105:N106"/>
    <mergeCell ref="O105:O106"/>
    <mergeCell ref="B346:B347"/>
    <mergeCell ref="N189:N190"/>
    <mergeCell ref="O189:O190"/>
    <mergeCell ref="P185:P186"/>
    <mergeCell ref="K187:K188"/>
    <mergeCell ref="L95:L96"/>
    <mergeCell ref="M95:M96"/>
    <mergeCell ref="L97:L98"/>
    <mergeCell ref="N187:N188"/>
    <mergeCell ref="O187:O188"/>
    <mergeCell ref="M115:M116"/>
    <mergeCell ref="L105:L106"/>
    <mergeCell ref="M105:M106"/>
    <mergeCell ref="P187:P188"/>
    <mergeCell ref="P179:P180"/>
    <mergeCell ref="K181:K182"/>
    <mergeCell ref="N181:N182"/>
    <mergeCell ref="O181:O182"/>
    <mergeCell ref="P181:P182"/>
    <mergeCell ref="N183:N184"/>
    <mergeCell ref="O183:O184"/>
    <mergeCell ref="P183:P184"/>
    <mergeCell ref="N179:N180"/>
    <mergeCell ref="O179:O180"/>
    <mergeCell ref="A101:A126"/>
    <mergeCell ref="B125:B126"/>
    <mergeCell ref="P177:P178"/>
    <mergeCell ref="B113:B114"/>
    <mergeCell ref="N109:N110"/>
    <mergeCell ref="K111:K112"/>
    <mergeCell ref="N111:N112"/>
    <mergeCell ref="L113:L114"/>
    <mergeCell ref="M113:M114"/>
    <mergeCell ref="O129:O130"/>
    <mergeCell ref="O133:O134"/>
    <mergeCell ref="O137:O138"/>
    <mergeCell ref="B151:B152"/>
    <mergeCell ref="B153:B154"/>
    <mergeCell ref="L123:L124"/>
    <mergeCell ref="M123:M124"/>
    <mergeCell ref="M133:M134"/>
    <mergeCell ref="L135:L136"/>
    <mergeCell ref="L115:L116"/>
    <mergeCell ref="N125:N126"/>
    <mergeCell ref="O125:O126"/>
    <mergeCell ref="L163:L164"/>
    <mergeCell ref="O185:O186"/>
    <mergeCell ref="B145:B146"/>
    <mergeCell ref="N177:N178"/>
    <mergeCell ref="O177:O178"/>
    <mergeCell ref="B167:B168"/>
    <mergeCell ref="B169:B170"/>
    <mergeCell ref="B171:B172"/>
    <mergeCell ref="K129:K130"/>
    <mergeCell ref="N129:N130"/>
    <mergeCell ref="K97:K98"/>
    <mergeCell ref="B115:B116"/>
    <mergeCell ref="B117:B118"/>
    <mergeCell ref="K175:K176"/>
    <mergeCell ref="K183:K184"/>
    <mergeCell ref="B155:B156"/>
    <mergeCell ref="B157:B158"/>
    <mergeCell ref="B159:B160"/>
    <mergeCell ref="B161:B162"/>
    <mergeCell ref="B119:B120"/>
    <mergeCell ref="B121:B122"/>
    <mergeCell ref="B123:B124"/>
    <mergeCell ref="K145:K146"/>
    <mergeCell ref="K155:K156"/>
    <mergeCell ref="K161:K162"/>
    <mergeCell ref="K133:K134"/>
    <mergeCell ref="N133:N134"/>
    <mergeCell ref="L133:L134"/>
    <mergeCell ref="L111:L112"/>
    <mergeCell ref="M111:M112"/>
    <mergeCell ref="N151:N152"/>
    <mergeCell ref="O151:O152"/>
    <mergeCell ref="K125:K126"/>
    <mergeCell ref="A195:A246"/>
    <mergeCell ref="B177:B178"/>
    <mergeCell ref="B189:B190"/>
    <mergeCell ref="B191:B192"/>
    <mergeCell ref="A129:A192"/>
    <mergeCell ref="K179:K180"/>
    <mergeCell ref="K191:K192"/>
    <mergeCell ref="B141:B142"/>
    <mergeCell ref="B143:B144"/>
    <mergeCell ref="B129:B130"/>
    <mergeCell ref="K177:K178"/>
    <mergeCell ref="B179:B180"/>
    <mergeCell ref="B131:B132"/>
    <mergeCell ref="B147:B148"/>
    <mergeCell ref="B181:B182"/>
    <mergeCell ref="B183:B184"/>
    <mergeCell ref="B133:B134"/>
    <mergeCell ref="B135:B136"/>
    <mergeCell ref="B137:B138"/>
    <mergeCell ref="B139:B140"/>
    <mergeCell ref="B185:B186"/>
    <mergeCell ref="B187:B188"/>
    <mergeCell ref="K151:K152"/>
    <mergeCell ref="B175:B176"/>
    <mergeCell ref="K169:K170"/>
    <mergeCell ref="K185:K186"/>
    <mergeCell ref="N191:N192"/>
    <mergeCell ref="N229:N230"/>
    <mergeCell ref="B225:B226"/>
    <mergeCell ref="B227:B228"/>
    <mergeCell ref="B229:B230"/>
    <mergeCell ref="B231:B232"/>
    <mergeCell ref="K135:K136"/>
    <mergeCell ref="N135:N136"/>
    <mergeCell ref="K322:K323"/>
    <mergeCell ref="K300:K302"/>
    <mergeCell ref="N175:N176"/>
    <mergeCell ref="B322:B323"/>
    <mergeCell ref="K309:K311"/>
    <mergeCell ref="K303:K305"/>
    <mergeCell ref="K291:K293"/>
    <mergeCell ref="N237:N238"/>
    <mergeCell ref="L233:L234"/>
    <mergeCell ref="M233:M234"/>
    <mergeCell ref="L235:L236"/>
    <mergeCell ref="M235:M236"/>
    <mergeCell ref="K141:K142"/>
    <mergeCell ref="N141:N142"/>
    <mergeCell ref="N309:N311"/>
    <mergeCell ref="N273:N275"/>
    <mergeCell ref="N322:N323"/>
    <mergeCell ref="K235:K236"/>
    <mergeCell ref="K231:K232"/>
    <mergeCell ref="K189:K190"/>
    <mergeCell ref="B243:B244"/>
    <mergeCell ref="N185:N186"/>
    <mergeCell ref="M161:M162"/>
    <mergeCell ref="M163:M164"/>
    <mergeCell ref="B332:B333"/>
    <mergeCell ref="K336:K337"/>
    <mergeCell ref="B330:B331"/>
    <mergeCell ref="B320:B321"/>
    <mergeCell ref="B309:B311"/>
    <mergeCell ref="K297:K299"/>
    <mergeCell ref="K324:K325"/>
    <mergeCell ref="L261:L263"/>
    <mergeCell ref="B223:B224"/>
    <mergeCell ref="B217:B218"/>
    <mergeCell ref="B199:B200"/>
    <mergeCell ref="B201:B202"/>
    <mergeCell ref="B203:B204"/>
    <mergeCell ref="B221:B222"/>
    <mergeCell ref="K199:K200"/>
    <mergeCell ref="B326:B327"/>
    <mergeCell ref="K326:K327"/>
    <mergeCell ref="B205:B206"/>
    <mergeCell ref="B303:B305"/>
    <mergeCell ref="L279:L281"/>
    <mergeCell ref="L282:L284"/>
    <mergeCell ref="B213:B214"/>
    <mergeCell ref="B312:B314"/>
    <mergeCell ref="K279:K281"/>
    <mergeCell ref="B261:B263"/>
    <mergeCell ref="K273:K275"/>
    <mergeCell ref="P189:P190"/>
    <mergeCell ref="O330:O331"/>
    <mergeCell ref="O320:O321"/>
    <mergeCell ref="P175:P176"/>
    <mergeCell ref="O175:O176"/>
    <mergeCell ref="O191:O192"/>
    <mergeCell ref="P191:P192"/>
    <mergeCell ref="P297:P299"/>
    <mergeCell ref="O300:O302"/>
    <mergeCell ref="P306:P308"/>
    <mergeCell ref="P276:P278"/>
    <mergeCell ref="P258:P260"/>
    <mergeCell ref="O261:O263"/>
    <mergeCell ref="O273:O275"/>
    <mergeCell ref="N249:N251"/>
    <mergeCell ref="O249:O251"/>
    <mergeCell ref="P249:P251"/>
    <mergeCell ref="P229:P230"/>
    <mergeCell ref="N231:N232"/>
    <mergeCell ref="O324:O325"/>
    <mergeCell ref="O322:O323"/>
    <mergeCell ref="O243:O244"/>
    <mergeCell ref="N288:N290"/>
    <mergeCell ref="N306:N308"/>
    <mergeCell ref="O270:O272"/>
    <mergeCell ref="P270:P272"/>
    <mergeCell ref="O279:O281"/>
    <mergeCell ref="N303:N305"/>
    <mergeCell ref="O231:O232"/>
    <mergeCell ref="N330:N331"/>
    <mergeCell ref="O229:O230"/>
    <mergeCell ref="P324:P325"/>
    <mergeCell ref="P231:P232"/>
    <mergeCell ref="O215:O216"/>
    <mergeCell ref="P215:P216"/>
    <mergeCell ref="N217:N218"/>
    <mergeCell ref="N324:N325"/>
    <mergeCell ref="K334:K335"/>
    <mergeCell ref="K330:K331"/>
    <mergeCell ref="P261:P263"/>
    <mergeCell ref="O285:O287"/>
    <mergeCell ref="P285:P287"/>
    <mergeCell ref="O309:O311"/>
    <mergeCell ref="O303:O305"/>
    <mergeCell ref="P294:P296"/>
    <mergeCell ref="P273:P275"/>
    <mergeCell ref="O252:O254"/>
    <mergeCell ref="P320:P321"/>
    <mergeCell ref="K332:K333"/>
    <mergeCell ref="N332:N333"/>
    <mergeCell ref="O288:O290"/>
    <mergeCell ref="K285:K287"/>
    <mergeCell ref="N279:N281"/>
    <mergeCell ref="P288:P290"/>
    <mergeCell ref="N294:N296"/>
    <mergeCell ref="P239:P240"/>
    <mergeCell ref="K233:K234"/>
    <mergeCell ref="N233:N234"/>
    <mergeCell ref="O233:O234"/>
    <mergeCell ref="P233:P234"/>
    <mergeCell ref="O235:O236"/>
    <mergeCell ref="P235:P236"/>
    <mergeCell ref="N235:N236"/>
    <mergeCell ref="K237:K238"/>
    <mergeCell ref="O237:O238"/>
    <mergeCell ref="P237:P238"/>
    <mergeCell ref="M261:M263"/>
    <mergeCell ref="L264:L266"/>
    <mergeCell ref="M264:M266"/>
    <mergeCell ref="L267:L269"/>
    <mergeCell ref="M267:M269"/>
    <mergeCell ref="N252:N254"/>
    <mergeCell ref="K258:K260"/>
    <mergeCell ref="N258:N260"/>
    <mergeCell ref="N261:N263"/>
    <mergeCell ref="L255:L257"/>
    <mergeCell ref="M255:M257"/>
    <mergeCell ref="L258:L260"/>
    <mergeCell ref="M258:M260"/>
    <mergeCell ref="P255:P257"/>
    <mergeCell ref="P245:P246"/>
    <mergeCell ref="O245:O246"/>
    <mergeCell ref="K241:K242"/>
    <mergeCell ref="K245:K246"/>
    <mergeCell ref="P243:P244"/>
    <mergeCell ref="K249:K251"/>
    <mergeCell ref="N245:N246"/>
    <mergeCell ref="L239:L240"/>
    <mergeCell ref="M239:M240"/>
    <mergeCell ref="L249:L251"/>
    <mergeCell ref="M249:M251"/>
    <mergeCell ref="L252:L254"/>
    <mergeCell ref="M252:M254"/>
    <mergeCell ref="O336:O337"/>
    <mergeCell ref="P334:P335"/>
    <mergeCell ref="P332:P333"/>
    <mergeCell ref="O332:O333"/>
    <mergeCell ref="P322:P323"/>
    <mergeCell ref="N291:N293"/>
    <mergeCell ref="N336:N337"/>
    <mergeCell ref="M320:M321"/>
    <mergeCell ref="M322:M323"/>
    <mergeCell ref="P330:P331"/>
    <mergeCell ref="O326:O327"/>
    <mergeCell ref="P326:P327"/>
    <mergeCell ref="N276:N278"/>
    <mergeCell ref="P279:P281"/>
    <mergeCell ref="O306:O308"/>
    <mergeCell ref="O291:O293"/>
    <mergeCell ref="P309:P311"/>
    <mergeCell ref="P315:P317"/>
    <mergeCell ref="P312:P314"/>
    <mergeCell ref="N300:N302"/>
    <mergeCell ref="N297:N299"/>
    <mergeCell ref="N326:N327"/>
    <mergeCell ref="P291:P293"/>
    <mergeCell ref="P300:P302"/>
    <mergeCell ref="P303:P305"/>
    <mergeCell ref="M315:M317"/>
    <mergeCell ref="M306:M308"/>
    <mergeCell ref="M309:M311"/>
    <mergeCell ref="M312:M314"/>
    <mergeCell ref="N285:N287"/>
    <mergeCell ref="M294:M296"/>
    <mergeCell ref="M279:M281"/>
    <mergeCell ref="O221:O222"/>
    <mergeCell ref="P221:P222"/>
    <mergeCell ref="K223:K224"/>
    <mergeCell ref="N223:N224"/>
    <mergeCell ref="O223:O224"/>
    <mergeCell ref="P223:P224"/>
    <mergeCell ref="L221:L222"/>
    <mergeCell ref="M221:M222"/>
    <mergeCell ref="L223:L224"/>
    <mergeCell ref="M223:M224"/>
    <mergeCell ref="K221:K222"/>
    <mergeCell ref="N221:N222"/>
    <mergeCell ref="K252:K254"/>
    <mergeCell ref="O258:O260"/>
    <mergeCell ref="O255:O257"/>
    <mergeCell ref="O334:O335"/>
    <mergeCell ref="P252:P254"/>
    <mergeCell ref="O225:O226"/>
    <mergeCell ref="P225:P226"/>
    <mergeCell ref="K227:K228"/>
    <mergeCell ref="N227:N228"/>
    <mergeCell ref="O227:O228"/>
    <mergeCell ref="P227:P228"/>
    <mergeCell ref="L225:L226"/>
    <mergeCell ref="M225:M226"/>
    <mergeCell ref="K225:K226"/>
    <mergeCell ref="N225:N226"/>
    <mergeCell ref="O239:O240"/>
    <mergeCell ref="N334:N335"/>
    <mergeCell ref="K294:K296"/>
    <mergeCell ref="N312:N314"/>
    <mergeCell ref="K312:K314"/>
    <mergeCell ref="O217:O218"/>
    <mergeCell ref="P217:P218"/>
    <mergeCell ref="K219:K220"/>
    <mergeCell ref="N219:N220"/>
    <mergeCell ref="O219:O220"/>
    <mergeCell ref="P219:P220"/>
    <mergeCell ref="K217:K218"/>
    <mergeCell ref="P209:P210"/>
    <mergeCell ref="K211:K212"/>
    <mergeCell ref="N211:N212"/>
    <mergeCell ref="O211:O212"/>
    <mergeCell ref="P211:P212"/>
    <mergeCell ref="O213:O214"/>
    <mergeCell ref="P213:P214"/>
    <mergeCell ref="N213:N214"/>
    <mergeCell ref="K209:K210"/>
    <mergeCell ref="N209:N210"/>
    <mergeCell ref="O209:O210"/>
    <mergeCell ref="K215:K216"/>
    <mergeCell ref="N215:N216"/>
    <mergeCell ref="K213:K214"/>
    <mergeCell ref="L209:L210"/>
    <mergeCell ref="M209:M210"/>
    <mergeCell ref="L211:L212"/>
    <mergeCell ref="M211:M212"/>
    <mergeCell ref="L213:L214"/>
    <mergeCell ref="M213:M214"/>
    <mergeCell ref="O199:O200"/>
    <mergeCell ref="P199:P200"/>
    <mergeCell ref="O195:O196"/>
    <mergeCell ref="K195:K196"/>
    <mergeCell ref="N195:N196"/>
    <mergeCell ref="L197:L198"/>
    <mergeCell ref="M197:M198"/>
    <mergeCell ref="L199:L200"/>
    <mergeCell ref="M199:M200"/>
    <mergeCell ref="N199:N200"/>
    <mergeCell ref="P201:P202"/>
    <mergeCell ref="K203:K204"/>
    <mergeCell ref="N203:N204"/>
    <mergeCell ref="O203:O204"/>
    <mergeCell ref="P203:P204"/>
    <mergeCell ref="O205:O206"/>
    <mergeCell ref="P205:P206"/>
    <mergeCell ref="K201:K202"/>
    <mergeCell ref="N201:N202"/>
    <mergeCell ref="O201:O202"/>
    <mergeCell ref="L203:L204"/>
    <mergeCell ref="M203:M204"/>
    <mergeCell ref="L205:L206"/>
    <mergeCell ref="M205:M206"/>
    <mergeCell ref="L201:L202"/>
    <mergeCell ref="M201:M202"/>
    <mergeCell ref="K205:K206"/>
    <mergeCell ref="N205:N206"/>
    <mergeCell ref="B76:B78"/>
    <mergeCell ref="L207:L208"/>
    <mergeCell ref="M207:M208"/>
    <mergeCell ref="C4:D4"/>
    <mergeCell ref="A320:A327"/>
    <mergeCell ref="B18:B19"/>
    <mergeCell ref="B20:B21"/>
    <mergeCell ref="B195:B196"/>
    <mergeCell ref="B197:B198"/>
    <mergeCell ref="B209:B210"/>
    <mergeCell ref="A34:A90"/>
    <mergeCell ref="B215:B216"/>
    <mergeCell ref="B306:B308"/>
    <mergeCell ref="A6:A11"/>
    <mergeCell ref="A93:A98"/>
    <mergeCell ref="B6:B7"/>
    <mergeCell ref="B8:B9"/>
    <mergeCell ref="B10:B11"/>
    <mergeCell ref="B22:B23"/>
    <mergeCell ref="B24:B25"/>
    <mergeCell ref="B26:B27"/>
    <mergeCell ref="B40:B42"/>
    <mergeCell ref="B43:B45"/>
    <mergeCell ref="B46:B48"/>
    <mergeCell ref="B49:B51"/>
    <mergeCell ref="K197:K198"/>
    <mergeCell ref="L320:L321"/>
    <mergeCell ref="L322:L323"/>
    <mergeCell ref="L294:L296"/>
    <mergeCell ref="K306:K308"/>
    <mergeCell ref="B270:B272"/>
    <mergeCell ref="K276:K278"/>
    <mergeCell ref="O14:O15"/>
    <mergeCell ref="K16:K17"/>
    <mergeCell ref="N16:N17"/>
    <mergeCell ref="O16:O17"/>
    <mergeCell ref="K18:K19"/>
    <mergeCell ref="N18:N19"/>
    <mergeCell ref="B79:B81"/>
    <mergeCell ref="E4:G4"/>
    <mergeCell ref="K4:P4"/>
    <mergeCell ref="K6:K7"/>
    <mergeCell ref="N6:N7"/>
    <mergeCell ref="O6:O7"/>
    <mergeCell ref="P6:P7"/>
    <mergeCell ref="H4:J4"/>
    <mergeCell ref="L6:L7"/>
    <mergeCell ref="M6:M7"/>
    <mergeCell ref="K8:K9"/>
    <mergeCell ref="N8:N9"/>
    <mergeCell ref="O8:O9"/>
    <mergeCell ref="P8:P9"/>
    <mergeCell ref="K10:K11"/>
    <mergeCell ref="N10:N11"/>
    <mergeCell ref="O10:O11"/>
    <mergeCell ref="P10:P11"/>
    <mergeCell ref="L8:L9"/>
    <mergeCell ref="M8:M9"/>
    <mergeCell ref="P16:P17"/>
    <mergeCell ref="K14:K15"/>
    <mergeCell ref="N14:N15"/>
    <mergeCell ref="P18:P19"/>
    <mergeCell ref="B52:B54"/>
    <mergeCell ref="B58:B60"/>
    <mergeCell ref="P26:P27"/>
    <mergeCell ref="B34:B36"/>
    <mergeCell ref="B37:B39"/>
    <mergeCell ref="N34:N36"/>
    <mergeCell ref="O34:O36"/>
    <mergeCell ref="P34:P36"/>
    <mergeCell ref="N37:N39"/>
    <mergeCell ref="O37:O39"/>
    <mergeCell ref="P37:P39"/>
    <mergeCell ref="K26:K27"/>
    <mergeCell ref="B28:B29"/>
    <mergeCell ref="M37:M39"/>
    <mergeCell ref="N22:N23"/>
    <mergeCell ref="O22:O23"/>
    <mergeCell ref="L18:L19"/>
    <mergeCell ref="M18:M19"/>
    <mergeCell ref="L20:L21"/>
    <mergeCell ref="M20:M21"/>
    <mergeCell ref="P22:P23"/>
    <mergeCell ref="K24:K25"/>
    <mergeCell ref="N24:N25"/>
    <mergeCell ref="O24:O25"/>
    <mergeCell ref="P24:P25"/>
    <mergeCell ref="K22:K23"/>
    <mergeCell ref="L22:L23"/>
    <mergeCell ref="M22:M23"/>
    <mergeCell ref="L24:L25"/>
    <mergeCell ref="M24:M25"/>
    <mergeCell ref="K20:K21"/>
    <mergeCell ref="N20:N21"/>
    <mergeCell ref="O20:O21"/>
    <mergeCell ref="P20:P21"/>
    <mergeCell ref="N40:N42"/>
    <mergeCell ref="O40:O42"/>
    <mergeCell ref="P40:P42"/>
    <mergeCell ref="K43:K45"/>
    <mergeCell ref="N43:N45"/>
    <mergeCell ref="O43:O45"/>
    <mergeCell ref="P43:P45"/>
    <mergeCell ref="N46:N48"/>
    <mergeCell ref="O46:O48"/>
    <mergeCell ref="P46:P48"/>
    <mergeCell ref="B82:B84"/>
    <mergeCell ref="B85:B87"/>
    <mergeCell ref="K34:K36"/>
    <mergeCell ref="K40:K42"/>
    <mergeCell ref="K46:K48"/>
    <mergeCell ref="K52:K54"/>
    <mergeCell ref="K61:K63"/>
    <mergeCell ref="K37:K39"/>
    <mergeCell ref="K67:K69"/>
    <mergeCell ref="K73:K75"/>
    <mergeCell ref="K79:K81"/>
    <mergeCell ref="K49:K51"/>
    <mergeCell ref="K58:K60"/>
    <mergeCell ref="K64:K66"/>
    <mergeCell ref="K70:K72"/>
    <mergeCell ref="K85:K87"/>
    <mergeCell ref="B61:B63"/>
    <mergeCell ref="B64:B66"/>
    <mergeCell ref="B55:B57"/>
    <mergeCell ref="B67:B69"/>
    <mergeCell ref="B70:B72"/>
    <mergeCell ref="B73:B75"/>
    <mergeCell ref="N58:N60"/>
    <mergeCell ref="O58:O60"/>
    <mergeCell ref="P58:P60"/>
    <mergeCell ref="K55:K57"/>
    <mergeCell ref="N55:N57"/>
    <mergeCell ref="O55:O57"/>
    <mergeCell ref="N61:N63"/>
    <mergeCell ref="O61:O63"/>
    <mergeCell ref="P61:P63"/>
    <mergeCell ref="N49:N51"/>
    <mergeCell ref="O49:O51"/>
    <mergeCell ref="P49:P51"/>
    <mergeCell ref="L46:L48"/>
    <mergeCell ref="M46:M48"/>
    <mergeCell ref="L49:L51"/>
    <mergeCell ref="N52:N54"/>
    <mergeCell ref="O52:O54"/>
    <mergeCell ref="P52:P54"/>
    <mergeCell ref="N70:N72"/>
    <mergeCell ref="O70:O72"/>
    <mergeCell ref="P70:P72"/>
    <mergeCell ref="N73:N75"/>
    <mergeCell ref="O73:O75"/>
    <mergeCell ref="P73:P75"/>
    <mergeCell ref="K76:K78"/>
    <mergeCell ref="N76:N78"/>
    <mergeCell ref="O76:O78"/>
    <mergeCell ref="P76:P78"/>
    <mergeCell ref="L76:L78"/>
    <mergeCell ref="M76:M78"/>
    <mergeCell ref="N64:N66"/>
    <mergeCell ref="O64:O66"/>
    <mergeCell ref="P64:P66"/>
    <mergeCell ref="L61:L63"/>
    <mergeCell ref="M61:M63"/>
    <mergeCell ref="L64:L66"/>
    <mergeCell ref="N67:N69"/>
    <mergeCell ref="O67:O69"/>
    <mergeCell ref="P67:P69"/>
    <mergeCell ref="N79:N81"/>
    <mergeCell ref="O79:O81"/>
    <mergeCell ref="P79:P81"/>
    <mergeCell ref="K82:K84"/>
    <mergeCell ref="N82:N84"/>
    <mergeCell ref="O82:O84"/>
    <mergeCell ref="P82:P84"/>
    <mergeCell ref="L79:L81"/>
    <mergeCell ref="M79:M81"/>
    <mergeCell ref="L82:L84"/>
    <mergeCell ref="M97:M98"/>
    <mergeCell ref="L101:L102"/>
    <mergeCell ref="N97:N98"/>
    <mergeCell ref="O97:O98"/>
    <mergeCell ref="P97:P98"/>
    <mergeCell ref="K107:K108"/>
    <mergeCell ref="N107:N108"/>
    <mergeCell ref="O107:O108"/>
    <mergeCell ref="P107:P108"/>
    <mergeCell ref="L107:L108"/>
    <mergeCell ref="M107:M108"/>
    <mergeCell ref="B105:B106"/>
    <mergeCell ref="B107:B108"/>
    <mergeCell ref="K101:K102"/>
    <mergeCell ref="N101:N102"/>
    <mergeCell ref="O101:O102"/>
    <mergeCell ref="K103:K104"/>
    <mergeCell ref="N103:N104"/>
    <mergeCell ref="O103:O104"/>
    <mergeCell ref="L103:L104"/>
    <mergeCell ref="M103:M104"/>
    <mergeCell ref="P109:P110"/>
    <mergeCell ref="K105:K106"/>
    <mergeCell ref="P85:P87"/>
    <mergeCell ref="O93:O94"/>
    <mergeCell ref="P93:P94"/>
    <mergeCell ref="P88:P90"/>
    <mergeCell ref="O88:O90"/>
    <mergeCell ref="N88:N90"/>
    <mergeCell ref="K88:K90"/>
    <mergeCell ref="K109:K110"/>
    <mergeCell ref="O109:O110"/>
    <mergeCell ref="L109:L110"/>
    <mergeCell ref="M109:M110"/>
    <mergeCell ref="N85:N87"/>
    <mergeCell ref="O85:O87"/>
    <mergeCell ref="P119:P120"/>
    <mergeCell ref="K113:K114"/>
    <mergeCell ref="N113:N114"/>
    <mergeCell ref="O113:O114"/>
    <mergeCell ref="P113:P114"/>
    <mergeCell ref="K115:K116"/>
    <mergeCell ref="N115:N116"/>
    <mergeCell ref="O115:O116"/>
    <mergeCell ref="P115:P116"/>
    <mergeCell ref="L117:L118"/>
    <mergeCell ref="K117:K118"/>
    <mergeCell ref="N117:N118"/>
    <mergeCell ref="O111:O112"/>
    <mergeCell ref="B149:B150"/>
    <mergeCell ref="P133:P134"/>
    <mergeCell ref="O135:O136"/>
    <mergeCell ref="B93:B94"/>
    <mergeCell ref="B95:B96"/>
    <mergeCell ref="B97:B98"/>
    <mergeCell ref="K93:K94"/>
    <mergeCell ref="N93:N94"/>
    <mergeCell ref="K95:K96"/>
    <mergeCell ref="O95:O96"/>
    <mergeCell ref="P95:P96"/>
    <mergeCell ref="N95:N96"/>
    <mergeCell ref="B109:B110"/>
    <mergeCell ref="B111:B112"/>
    <mergeCell ref="B103:B104"/>
    <mergeCell ref="M101:M102"/>
    <mergeCell ref="B101:B102"/>
    <mergeCell ref="L139:L140"/>
    <mergeCell ref="N137:N138"/>
    <mergeCell ref="B1:P2"/>
    <mergeCell ref="K123:K124"/>
    <mergeCell ref="N123:N124"/>
    <mergeCell ref="O123:O124"/>
    <mergeCell ref="P123:P124"/>
    <mergeCell ref="O117:O118"/>
    <mergeCell ref="P117:P118"/>
    <mergeCell ref="K119:K120"/>
    <mergeCell ref="N119:N120"/>
    <mergeCell ref="O119:O120"/>
    <mergeCell ref="N121:N122"/>
    <mergeCell ref="O121:O122"/>
    <mergeCell ref="P121:P122"/>
    <mergeCell ref="P55:P57"/>
    <mergeCell ref="K121:K122"/>
    <mergeCell ref="P137:P138"/>
    <mergeCell ref="K139:K140"/>
    <mergeCell ref="N139:N140"/>
    <mergeCell ref="O139:O140"/>
    <mergeCell ref="P139:P140"/>
    <mergeCell ref="K137:K138"/>
    <mergeCell ref="B88:B90"/>
    <mergeCell ref="L85:L87"/>
    <mergeCell ref="M85:M87"/>
    <mergeCell ref="L88:L90"/>
    <mergeCell ref="M88:M90"/>
    <mergeCell ref="L93:L94"/>
    <mergeCell ref="M93:M94"/>
    <mergeCell ref="P129:P130"/>
    <mergeCell ref="K131:K132"/>
    <mergeCell ref="N131:N132"/>
    <mergeCell ref="O131:O132"/>
    <mergeCell ref="P131:P132"/>
    <mergeCell ref="O149:O150"/>
    <mergeCell ref="P149:P150"/>
    <mergeCell ref="P111:P112"/>
    <mergeCell ref="P105:P106"/>
    <mergeCell ref="O167:O168"/>
    <mergeCell ref="P167:P168"/>
    <mergeCell ref="K167:K168"/>
    <mergeCell ref="O165:O166"/>
    <mergeCell ref="P165:P166"/>
    <mergeCell ref="O141:O142"/>
    <mergeCell ref="P141:P142"/>
    <mergeCell ref="K143:K144"/>
    <mergeCell ref="N143:N144"/>
    <mergeCell ref="O143:O144"/>
    <mergeCell ref="P143:P144"/>
    <mergeCell ref="L143:L144"/>
    <mergeCell ref="M143:M144"/>
    <mergeCell ref="N145:N146"/>
    <mergeCell ref="O145:O146"/>
    <mergeCell ref="P145:P146"/>
    <mergeCell ref="L141:L142"/>
    <mergeCell ref="M141:M142"/>
    <mergeCell ref="P161:P162"/>
    <mergeCell ref="P153:P154"/>
    <mergeCell ref="K147:K148"/>
    <mergeCell ref="N147:N148"/>
    <mergeCell ref="P135:P136"/>
    <mergeCell ref="O147:O148"/>
    <mergeCell ref="P147:P148"/>
    <mergeCell ref="L145:L146"/>
    <mergeCell ref="M145:M146"/>
    <mergeCell ref="N161:N162"/>
    <mergeCell ref="O161:O162"/>
    <mergeCell ref="N159:N160"/>
    <mergeCell ref="O159:O160"/>
    <mergeCell ref="K149:K150"/>
    <mergeCell ref="K153:K154"/>
    <mergeCell ref="N153:N154"/>
    <mergeCell ref="O153:O154"/>
    <mergeCell ref="N155:N156"/>
    <mergeCell ref="O155:O156"/>
    <mergeCell ref="P155:P156"/>
    <mergeCell ref="L155:L156"/>
    <mergeCell ref="M155:M156"/>
    <mergeCell ref="N149:N150"/>
    <mergeCell ref="P151:P152"/>
    <mergeCell ref="L161:L162"/>
    <mergeCell ref="M147:M148"/>
    <mergeCell ref="L149:L150"/>
    <mergeCell ref="M149:M150"/>
    <mergeCell ref="L151:L152"/>
    <mergeCell ref="M151:M152"/>
    <mergeCell ref="L157:L158"/>
    <mergeCell ref="M157:M158"/>
    <mergeCell ref="L159:L160"/>
    <mergeCell ref="M159:M160"/>
    <mergeCell ref="L153:L154"/>
    <mergeCell ref="M153:M154"/>
    <mergeCell ref="P169:P170"/>
    <mergeCell ref="N169:N170"/>
    <mergeCell ref="O169:O170"/>
    <mergeCell ref="P195:P196"/>
    <mergeCell ref="N197:N198"/>
    <mergeCell ref="O197:O198"/>
    <mergeCell ref="P197:P198"/>
    <mergeCell ref="B288:B290"/>
    <mergeCell ref="B285:B287"/>
    <mergeCell ref="B255:B257"/>
    <mergeCell ref="B282:B284"/>
    <mergeCell ref="B252:B254"/>
    <mergeCell ref="N255:N257"/>
    <mergeCell ref="B235:B236"/>
    <mergeCell ref="B237:B238"/>
    <mergeCell ref="B239:B240"/>
    <mergeCell ref="K239:K240"/>
    <mergeCell ref="N239:N240"/>
    <mergeCell ref="K261:K263"/>
    <mergeCell ref="K255:K257"/>
    <mergeCell ref="N241:N242"/>
    <mergeCell ref="N243:N244"/>
    <mergeCell ref="K243:K244"/>
    <mergeCell ref="B245:B246"/>
    <mergeCell ref="L288:L290"/>
    <mergeCell ref="M288:M290"/>
    <mergeCell ref="K288:K290"/>
    <mergeCell ref="L237:L238"/>
    <mergeCell ref="M237:M238"/>
    <mergeCell ref="B233:B234"/>
    <mergeCell ref="O207:O208"/>
    <mergeCell ref="P207:P208"/>
    <mergeCell ref="K342:K343"/>
    <mergeCell ref="B249:B251"/>
    <mergeCell ref="M291:M293"/>
    <mergeCell ref="B342:B343"/>
    <mergeCell ref="K340:K341"/>
    <mergeCell ref="B334:B335"/>
    <mergeCell ref="B324:B325"/>
    <mergeCell ref="K229:K230"/>
    <mergeCell ref="L229:L230"/>
    <mergeCell ref="M229:M230"/>
    <mergeCell ref="L231:L232"/>
    <mergeCell ref="M231:M232"/>
    <mergeCell ref="L315:L317"/>
    <mergeCell ref="L306:L308"/>
    <mergeCell ref="L309:L311"/>
    <mergeCell ref="L312:L314"/>
    <mergeCell ref="B340:B341"/>
    <mergeCell ref="K320:K321"/>
    <mergeCell ref="M282:M284"/>
    <mergeCell ref="L285:L287"/>
    <mergeCell ref="M285:M287"/>
    <mergeCell ref="L270:L272"/>
    <mergeCell ref="M270:M272"/>
    <mergeCell ref="L273:L275"/>
    <mergeCell ref="M273:M275"/>
    <mergeCell ref="L276:L278"/>
    <mergeCell ref="M276:M278"/>
    <mergeCell ref="B300:B302"/>
    <mergeCell ref="B294:B296"/>
    <mergeCell ref="B338:B339"/>
    <mergeCell ref="B336:B337"/>
    <mergeCell ref="K338:K339"/>
    <mergeCell ref="N342:N343"/>
    <mergeCell ref="O342:O343"/>
    <mergeCell ref="P342:P343"/>
    <mergeCell ref="B344:B345"/>
    <mergeCell ref="K344:K345"/>
    <mergeCell ref="P344:P345"/>
    <mergeCell ref="O344:O345"/>
    <mergeCell ref="N344:N345"/>
    <mergeCell ref="P282:P284"/>
    <mergeCell ref="B264:B266"/>
    <mergeCell ref="P264:P266"/>
    <mergeCell ref="B267:B269"/>
    <mergeCell ref="N267:N269"/>
    <mergeCell ref="O267:O269"/>
    <mergeCell ref="P267:P269"/>
    <mergeCell ref="K267:K269"/>
    <mergeCell ref="N270:N272"/>
    <mergeCell ref="K270:K272"/>
    <mergeCell ref="O312:O314"/>
    <mergeCell ref="B291:B293"/>
    <mergeCell ref="O282:O284"/>
    <mergeCell ref="O264:O266"/>
    <mergeCell ref="N320:N321"/>
    <mergeCell ref="P340:P341"/>
    <mergeCell ref="N338:N339"/>
    <mergeCell ref="O338:O339"/>
    <mergeCell ref="P338:P339"/>
    <mergeCell ref="N340:N341"/>
    <mergeCell ref="O340:O341"/>
    <mergeCell ref="O276:O278"/>
    <mergeCell ref="O294:O296"/>
    <mergeCell ref="O297:O299"/>
    <mergeCell ref="P173:P174"/>
    <mergeCell ref="O173:O174"/>
    <mergeCell ref="N173:N174"/>
    <mergeCell ref="N165:N166"/>
    <mergeCell ref="K173:K174"/>
    <mergeCell ref="O315:O317"/>
    <mergeCell ref="K163:K164"/>
    <mergeCell ref="N163:N164"/>
    <mergeCell ref="P241:P242"/>
    <mergeCell ref="O241:O242"/>
    <mergeCell ref="P171:P172"/>
    <mergeCell ref="K165:K166"/>
    <mergeCell ref="N167:N168"/>
    <mergeCell ref="A249:A317"/>
    <mergeCell ref="B315:B317"/>
    <mergeCell ref="K315:K317"/>
    <mergeCell ref="N315:N317"/>
    <mergeCell ref="B207:B208"/>
    <mergeCell ref="K282:K284"/>
    <mergeCell ref="N282:N284"/>
    <mergeCell ref="K264:K266"/>
    <mergeCell ref="N264:N266"/>
    <mergeCell ref="B219:B220"/>
    <mergeCell ref="K207:K208"/>
    <mergeCell ref="N207:N208"/>
    <mergeCell ref="B241:B242"/>
    <mergeCell ref="B279:B281"/>
    <mergeCell ref="B258:B260"/>
    <mergeCell ref="B276:B278"/>
    <mergeCell ref="B297:B299"/>
    <mergeCell ref="B273:B275"/>
    <mergeCell ref="B211:B212"/>
    <mergeCell ref="B348:B349"/>
    <mergeCell ref="A330:A349"/>
    <mergeCell ref="K348:K349"/>
    <mergeCell ref="L348:L349"/>
    <mergeCell ref="M348:M349"/>
    <mergeCell ref="N348:N349"/>
    <mergeCell ref="O348:O349"/>
    <mergeCell ref="P348:P349"/>
    <mergeCell ref="A14:A31"/>
    <mergeCell ref="B30:B31"/>
    <mergeCell ref="K30:K31"/>
    <mergeCell ref="L30:L31"/>
    <mergeCell ref="M30:M31"/>
    <mergeCell ref="N30:N31"/>
    <mergeCell ref="O30:O31"/>
    <mergeCell ref="P30:P31"/>
    <mergeCell ref="B173:B174"/>
    <mergeCell ref="B163:B164"/>
    <mergeCell ref="B165:B166"/>
    <mergeCell ref="N26:N27"/>
    <mergeCell ref="O26:O27"/>
    <mergeCell ref="O163:O164"/>
    <mergeCell ref="P163:P164"/>
    <mergeCell ref="K157:K158"/>
    <mergeCell ref="N157:N158"/>
    <mergeCell ref="O157:O158"/>
    <mergeCell ref="P157:P158"/>
    <mergeCell ref="K159:K160"/>
    <mergeCell ref="P159:P160"/>
    <mergeCell ref="K171:K172"/>
    <mergeCell ref="N171:N172"/>
    <mergeCell ref="O171:O172"/>
    <mergeCell ref="H384:H386"/>
    <mergeCell ref="H387:H389"/>
    <mergeCell ref="H390:H392"/>
    <mergeCell ref="H393:H395"/>
    <mergeCell ref="H396:H398"/>
    <mergeCell ref="K354:K356"/>
    <mergeCell ref="K357:K359"/>
    <mergeCell ref="K360:K362"/>
    <mergeCell ref="K363:K365"/>
    <mergeCell ref="K366:K368"/>
    <mergeCell ref="K369:K371"/>
    <mergeCell ref="K372:K374"/>
    <mergeCell ref="K375:K377"/>
    <mergeCell ref="K378:K380"/>
    <mergeCell ref="K381:K383"/>
    <mergeCell ref="K384:K386"/>
    <mergeCell ref="K387:K389"/>
    <mergeCell ref="K390:K392"/>
    <mergeCell ref="K393:K395"/>
    <mergeCell ref="K396:K398"/>
    <mergeCell ref="H354:H356"/>
    <mergeCell ref="H357:H359"/>
    <mergeCell ref="H360:H362"/>
    <mergeCell ref="H363:H365"/>
    <mergeCell ref="H366:H368"/>
    <mergeCell ref="H369:H371"/>
    <mergeCell ref="H372:H374"/>
    <mergeCell ref="H375:H377"/>
    <mergeCell ref="H378:H380"/>
    <mergeCell ref="H381:H383"/>
    <mergeCell ref="L354:L356"/>
    <mergeCell ref="M354:M356"/>
    <mergeCell ref="N354:N356"/>
    <mergeCell ref="O354:O356"/>
    <mergeCell ref="P354:P356"/>
    <mergeCell ref="L357:L359"/>
    <mergeCell ref="M357:M359"/>
    <mergeCell ref="N357:N359"/>
    <mergeCell ref="O357:O359"/>
    <mergeCell ref="P357:P359"/>
    <mergeCell ref="L360:L362"/>
    <mergeCell ref="M360:M362"/>
    <mergeCell ref="N360:N362"/>
    <mergeCell ref="O360:O362"/>
    <mergeCell ref="P360:P362"/>
    <mergeCell ref="L363:L365"/>
    <mergeCell ref="M363:M365"/>
    <mergeCell ref="N363:N365"/>
    <mergeCell ref="O363:O365"/>
    <mergeCell ref="P363:P365"/>
    <mergeCell ref="P384:P386"/>
    <mergeCell ref="L387:L389"/>
    <mergeCell ref="M387:M389"/>
    <mergeCell ref="N387:N389"/>
    <mergeCell ref="O387:O389"/>
    <mergeCell ref="P387:P389"/>
    <mergeCell ref="L366:L368"/>
    <mergeCell ref="M366:M368"/>
    <mergeCell ref="N366:N368"/>
    <mergeCell ref="O366:O368"/>
    <mergeCell ref="P366:P368"/>
    <mergeCell ref="L369:L371"/>
    <mergeCell ref="M369:M371"/>
    <mergeCell ref="N369:N371"/>
    <mergeCell ref="O369:O371"/>
    <mergeCell ref="P369:P371"/>
    <mergeCell ref="L372:L374"/>
    <mergeCell ref="M372:M374"/>
    <mergeCell ref="N372:N374"/>
    <mergeCell ref="O372:O374"/>
    <mergeCell ref="P372:P374"/>
    <mergeCell ref="L375:L377"/>
    <mergeCell ref="M375:M377"/>
    <mergeCell ref="N375:N377"/>
    <mergeCell ref="O375:O377"/>
    <mergeCell ref="P375:P377"/>
    <mergeCell ref="G354:G398"/>
    <mergeCell ref="I352:J352"/>
    <mergeCell ref="K352:P352"/>
    <mergeCell ref="L390:L392"/>
    <mergeCell ref="M390:M392"/>
    <mergeCell ref="N390:N392"/>
    <mergeCell ref="O390:O392"/>
    <mergeCell ref="P390:P392"/>
    <mergeCell ref="L393:L395"/>
    <mergeCell ref="M393:M395"/>
    <mergeCell ref="N393:N395"/>
    <mergeCell ref="O393:O395"/>
    <mergeCell ref="P393:P395"/>
    <mergeCell ref="L396:L398"/>
    <mergeCell ref="M396:M398"/>
    <mergeCell ref="N396:N398"/>
    <mergeCell ref="O396:O398"/>
    <mergeCell ref="P396:P398"/>
    <mergeCell ref="L378:L380"/>
    <mergeCell ref="M378:M380"/>
    <mergeCell ref="N378:N380"/>
    <mergeCell ref="O378:O380"/>
    <mergeCell ref="P378:P380"/>
    <mergeCell ref="L381:L383"/>
    <mergeCell ref="M381:M383"/>
    <mergeCell ref="N381:N383"/>
    <mergeCell ref="O381:O383"/>
    <mergeCell ref="P381:P383"/>
    <mergeCell ref="L384:L386"/>
    <mergeCell ref="M384:M386"/>
    <mergeCell ref="N384:N386"/>
    <mergeCell ref="O384:O386"/>
  </mergeCells>
  <pageMargins left="0.7" right="0.7" top="0.75" bottom="0.75" header="0.3" footer="0.3"/>
  <pageSetup paperSize="9" orientation="portrait" r:id="rId1"/>
  <ignoredErrors>
    <ignoredError sqref="G8:G11 G37 G40 G43 G46 G49 G64 G67 G70 G73 G76 G79 G82 G85 G94:G98 G321:G326 G252 G258 G285 G288 G291 G294 G297 G300 G303 G306 G58 G61 G309 G88 G15:G26 G55 G102:G124 G130:G150 G196:G207 G209:G246 G52 G312:G315 G261:G283 G331:G345 M32:M39 M6:M29 M346:M347 M350:M351 G346:G349 M310:M345 G153:G192 M41:M308" formula="1"/>
    <ignoredError sqref="J149:J150 J241:J244 J221:J222 J253:J254 P241 J173:J174 J131:J132 J141:J142 J276:J281 J231:J232 J213:J216 J223:J224 J303:J305 P187:P192 J37:J39 J58:J63 J34:J36 J64:J90 J40:J57" evalError="1"/>
  </ignoredErrors>
  <drawing r:id="rId2"/>
  <legacyDrawing r:id="rId3"/>
</worksheet>
</file>

<file path=xl/worksheets/sheet3.xml><?xml version="1.0" encoding="utf-8"?>
<worksheet xmlns="http://schemas.openxmlformats.org/spreadsheetml/2006/main" xmlns:r="http://schemas.openxmlformats.org/officeDocument/2006/relationships">
  <sheetPr>
    <tabColor rgb="FFFFFF00"/>
  </sheetPr>
  <dimension ref="A2:T208"/>
  <sheetViews>
    <sheetView tabSelected="1" zoomScale="80" zoomScaleNormal="80" workbookViewId="0">
      <pane xSplit="2" ySplit="6" topLeftCell="E148" activePane="bottomRight" state="frozen"/>
      <selection pane="topRight" activeCell="C1" sqref="C1"/>
      <selection pane="bottomLeft" activeCell="A7" sqref="A7"/>
      <selection pane="bottomRight" activeCell="B132" sqref="B132:B207"/>
    </sheetView>
  </sheetViews>
  <sheetFormatPr baseColWidth="10" defaultRowHeight="15"/>
  <cols>
    <col min="1" max="1" width="24.7109375" customWidth="1"/>
    <col min="2" max="2" width="25.7109375" customWidth="1"/>
    <col min="3" max="3" width="10.140625" customWidth="1"/>
    <col min="4" max="4" width="8.5703125" bestFit="1" customWidth="1"/>
    <col min="6" max="6" width="18.5703125" customWidth="1"/>
    <col min="7" max="7" width="12" customWidth="1"/>
    <col min="8" max="8" width="14.140625" customWidth="1"/>
    <col min="9" max="9" width="11.85546875" bestFit="1" customWidth="1"/>
    <col min="10" max="10" width="16.85546875" customWidth="1"/>
    <col min="11" max="13" width="11.85546875" customWidth="1"/>
    <col min="15" max="15" width="11.42578125" style="276"/>
    <col min="16" max="16" width="16.140625" customWidth="1"/>
    <col min="17" max="17" width="9.28515625" customWidth="1"/>
    <col min="18" max="18" width="9.85546875" customWidth="1"/>
  </cols>
  <sheetData>
    <row r="2" spans="1:16">
      <c r="B2" s="1056" t="s">
        <v>416</v>
      </c>
      <c r="C2" s="1057"/>
      <c r="D2" s="1057"/>
      <c r="E2" s="1057"/>
      <c r="F2" s="1057"/>
      <c r="G2" s="1057"/>
      <c r="H2" s="1057"/>
      <c r="I2" s="1057"/>
      <c r="J2" s="1057"/>
      <c r="K2" s="1057"/>
      <c r="L2" s="1057"/>
      <c r="M2" s="1057"/>
      <c r="N2" s="1058"/>
    </row>
    <row r="3" spans="1:16" ht="15.75" customHeight="1">
      <c r="A3" s="3"/>
      <c r="B3" s="1059"/>
      <c r="C3" s="1060"/>
      <c r="D3" s="1060"/>
      <c r="E3" s="1060"/>
      <c r="F3" s="1060"/>
      <c r="G3" s="1060"/>
      <c r="H3" s="1060"/>
      <c r="I3" s="1060"/>
      <c r="J3" s="1060"/>
      <c r="K3" s="1060"/>
      <c r="L3" s="1060"/>
      <c r="M3" s="1060"/>
      <c r="N3" s="1061"/>
    </row>
    <row r="4" spans="1:16">
      <c r="A4" s="3"/>
      <c r="B4" s="34"/>
      <c r="C4" s="34"/>
      <c r="D4" s="34"/>
      <c r="E4" s="34"/>
      <c r="F4" s="34"/>
      <c r="G4" s="34"/>
      <c r="H4" s="34"/>
      <c r="I4" s="34"/>
      <c r="J4" s="34"/>
    </row>
    <row r="5" spans="1:16">
      <c r="A5" s="3"/>
      <c r="B5" s="121"/>
      <c r="C5" s="964" t="s">
        <v>199</v>
      </c>
      <c r="D5" s="964"/>
      <c r="E5" s="968" t="s">
        <v>227</v>
      </c>
      <c r="F5" s="955"/>
      <c r="G5" s="955"/>
      <c r="H5" s="968" t="s">
        <v>6</v>
      </c>
      <c r="I5" s="955"/>
      <c r="J5" s="956"/>
      <c r="K5" s="957" t="s">
        <v>324</v>
      </c>
      <c r="L5" s="958"/>
      <c r="M5" s="958"/>
      <c r="N5" s="958"/>
      <c r="O5" s="958"/>
      <c r="P5" s="959"/>
    </row>
    <row r="6" spans="1:16" ht="38.25">
      <c r="A6" s="129" t="s">
        <v>36</v>
      </c>
      <c r="B6" s="705" t="s">
        <v>103</v>
      </c>
      <c r="C6" s="86" t="s">
        <v>197</v>
      </c>
      <c r="D6" s="86" t="s">
        <v>198</v>
      </c>
      <c r="E6" s="83" t="s">
        <v>200</v>
      </c>
      <c r="F6" s="83" t="s">
        <v>201</v>
      </c>
      <c r="G6" s="83" t="s">
        <v>202</v>
      </c>
      <c r="H6" s="87" t="s">
        <v>3</v>
      </c>
      <c r="I6" s="87" t="s">
        <v>4</v>
      </c>
      <c r="J6" s="152" t="s">
        <v>5</v>
      </c>
      <c r="K6" s="494" t="s">
        <v>219</v>
      </c>
      <c r="L6" s="494" t="s">
        <v>201</v>
      </c>
      <c r="M6" s="494" t="s">
        <v>202</v>
      </c>
      <c r="N6" s="493" t="s">
        <v>3</v>
      </c>
      <c r="O6" s="495" t="s">
        <v>4</v>
      </c>
      <c r="P6" s="493" t="s">
        <v>5</v>
      </c>
    </row>
    <row r="7" spans="1:16" ht="15.75" customHeight="1">
      <c r="A7" s="1064" t="s">
        <v>38</v>
      </c>
      <c r="B7" s="1062" t="s">
        <v>71</v>
      </c>
      <c r="C7" s="142">
        <v>42005</v>
      </c>
      <c r="D7" s="143">
        <v>42063</v>
      </c>
      <c r="E7" s="155">
        <v>0.52600000000000002</v>
      </c>
      <c r="F7" s="170"/>
      <c r="G7" s="156">
        <f>E7+F7</f>
        <v>0.52600000000000002</v>
      </c>
      <c r="H7" s="171"/>
      <c r="I7" s="277">
        <f>G7-H7</f>
        <v>0.52600000000000002</v>
      </c>
      <c r="J7" s="702">
        <f>H7/G7</f>
        <v>0</v>
      </c>
      <c r="K7" s="1045">
        <f>E7+E8</f>
        <v>1.054</v>
      </c>
      <c r="L7" s="930">
        <f>F7+F8</f>
        <v>0</v>
      </c>
      <c r="M7" s="930">
        <f>K7+L7</f>
        <v>1.054</v>
      </c>
      <c r="N7" s="930">
        <f>H7+H8</f>
        <v>0.19800000000000001</v>
      </c>
      <c r="O7" s="930">
        <f>M7-N7</f>
        <v>0.85600000000000009</v>
      </c>
      <c r="P7" s="1015">
        <f>N7/M7</f>
        <v>0.18785578747628084</v>
      </c>
    </row>
    <row r="8" spans="1:16" ht="18" customHeight="1">
      <c r="A8" s="1065"/>
      <c r="B8" s="1063"/>
      <c r="C8" s="146">
        <v>42064</v>
      </c>
      <c r="D8" s="147">
        <v>42369</v>
      </c>
      <c r="E8" s="157">
        <v>0.52800000000000002</v>
      </c>
      <c r="F8" s="117"/>
      <c r="G8" s="158">
        <f>E8+F8+I7</f>
        <v>1.054</v>
      </c>
      <c r="H8" s="162">
        <v>0.19800000000000001</v>
      </c>
      <c r="I8" s="278">
        <f t="shared" ref="I8:I16" si="0">G8-H8</f>
        <v>0.85600000000000009</v>
      </c>
      <c r="J8" s="703">
        <f t="shared" ref="J8:J16" si="1">H8/G8</f>
        <v>0.18785578747628084</v>
      </c>
      <c r="K8" s="1046"/>
      <c r="L8" s="931"/>
      <c r="M8" s="931"/>
      <c r="N8" s="931"/>
      <c r="O8" s="931"/>
      <c r="P8" s="1016"/>
    </row>
    <row r="9" spans="1:16" ht="15.75" customHeight="1">
      <c r="A9" s="1065"/>
      <c r="B9" s="1062" t="s">
        <v>70</v>
      </c>
      <c r="C9" s="142">
        <v>42005</v>
      </c>
      <c r="D9" s="143">
        <v>42063</v>
      </c>
      <c r="E9" s="155">
        <v>7.6769999999999996</v>
      </c>
      <c r="F9" s="85"/>
      <c r="G9" s="156">
        <f>E9+F9</f>
        <v>7.6769999999999996</v>
      </c>
      <c r="H9" s="161">
        <v>2.3610000000000002</v>
      </c>
      <c r="I9" s="277">
        <f t="shared" si="0"/>
        <v>5.3159999999999989</v>
      </c>
      <c r="J9" s="702">
        <f t="shared" si="1"/>
        <v>0.30754200859710829</v>
      </c>
      <c r="K9" s="1045">
        <f>E9+E10</f>
        <v>15.372999999999999</v>
      </c>
      <c r="L9" s="930">
        <f t="shared" ref="L9" si="2">F9+F10</f>
        <v>0</v>
      </c>
      <c r="M9" s="930">
        <f t="shared" ref="M9" si="3">K9+L9</f>
        <v>15.372999999999999</v>
      </c>
      <c r="N9" s="930">
        <f>H9+H10</f>
        <v>15.373000000000001</v>
      </c>
      <c r="O9" s="930">
        <f>M9-N9</f>
        <v>0</v>
      </c>
      <c r="P9" s="1028">
        <f>N9/M9</f>
        <v>1.0000000000000002</v>
      </c>
    </row>
    <row r="10" spans="1:16" ht="15.75" customHeight="1">
      <c r="A10" s="1065"/>
      <c r="B10" s="1063"/>
      <c r="C10" s="146">
        <v>42064</v>
      </c>
      <c r="D10" s="147">
        <v>42369</v>
      </c>
      <c r="E10" s="157">
        <v>7.6959999999999997</v>
      </c>
      <c r="F10" s="117"/>
      <c r="G10" s="158">
        <f>E10+F10+I9</f>
        <v>13.011999999999999</v>
      </c>
      <c r="H10" s="162">
        <v>13.012</v>
      </c>
      <c r="I10" s="278">
        <f t="shared" si="0"/>
        <v>0</v>
      </c>
      <c r="J10" s="703">
        <f t="shared" si="1"/>
        <v>1.0000000000000002</v>
      </c>
      <c r="K10" s="1046"/>
      <c r="L10" s="931"/>
      <c r="M10" s="931"/>
      <c r="N10" s="931"/>
      <c r="O10" s="931"/>
      <c r="P10" s="1029"/>
    </row>
    <row r="11" spans="1:16" ht="15.75" customHeight="1">
      <c r="A11" s="1065"/>
      <c r="B11" s="1062" t="s">
        <v>276</v>
      </c>
      <c r="C11" s="142">
        <v>42005</v>
      </c>
      <c r="D11" s="143">
        <v>42063</v>
      </c>
      <c r="E11" s="155">
        <v>144.49199999999999</v>
      </c>
      <c r="F11" s="115"/>
      <c r="G11" s="156">
        <f>E11+F11</f>
        <v>144.49199999999999</v>
      </c>
      <c r="H11" s="161">
        <v>3.1110000000000002</v>
      </c>
      <c r="I11" s="277">
        <f t="shared" si="0"/>
        <v>141.381</v>
      </c>
      <c r="J11" s="702">
        <f t="shared" si="1"/>
        <v>2.1530603770450962E-2</v>
      </c>
      <c r="K11" s="1045">
        <f>E11+E12</f>
        <v>289.33100000000002</v>
      </c>
      <c r="L11" s="930">
        <f t="shared" ref="L11" si="4">F11+F12</f>
        <v>0</v>
      </c>
      <c r="M11" s="930">
        <f t="shared" ref="M11" si="5">K11+L11</f>
        <v>289.33100000000002</v>
      </c>
      <c r="N11" s="930">
        <f>H11+H12</f>
        <v>236.75899999999999</v>
      </c>
      <c r="O11" s="930">
        <f>M11-N11</f>
        <v>52.572000000000031</v>
      </c>
      <c r="P11" s="1019">
        <f t="shared" ref="P11" si="6">N11/M11</f>
        <v>0.81829807383239261</v>
      </c>
    </row>
    <row r="12" spans="1:16" ht="15.75" customHeight="1">
      <c r="A12" s="1065"/>
      <c r="B12" s="1069"/>
      <c r="C12" s="146">
        <v>42064</v>
      </c>
      <c r="D12" s="147">
        <v>42369</v>
      </c>
      <c r="E12" s="157">
        <v>144.839</v>
      </c>
      <c r="F12" s="117"/>
      <c r="G12" s="158">
        <f>E12+F12+I11</f>
        <v>286.22000000000003</v>
      </c>
      <c r="H12" s="162">
        <v>233.648</v>
      </c>
      <c r="I12" s="278">
        <f t="shared" si="0"/>
        <v>52.572000000000031</v>
      </c>
      <c r="J12" s="703">
        <f t="shared" si="1"/>
        <v>0.81632310809866526</v>
      </c>
      <c r="K12" s="1046"/>
      <c r="L12" s="931"/>
      <c r="M12" s="931"/>
      <c r="N12" s="931"/>
      <c r="O12" s="931"/>
      <c r="P12" s="1020"/>
    </row>
    <row r="13" spans="1:16" ht="15.75" customHeight="1">
      <c r="A13" s="1065"/>
      <c r="B13" s="1062" t="s">
        <v>304</v>
      </c>
      <c r="C13" s="142">
        <v>42005</v>
      </c>
      <c r="D13" s="143">
        <v>42063</v>
      </c>
      <c r="E13" s="155">
        <v>12.324999999999999</v>
      </c>
      <c r="F13" s="115"/>
      <c r="G13" s="156">
        <f>E13+F13</f>
        <v>12.324999999999999</v>
      </c>
      <c r="H13" s="161"/>
      <c r="I13" s="277">
        <f t="shared" si="0"/>
        <v>12.324999999999999</v>
      </c>
      <c r="J13" s="702">
        <f t="shared" si="1"/>
        <v>0</v>
      </c>
      <c r="K13" s="1045">
        <f>E13+E14</f>
        <v>24.68</v>
      </c>
      <c r="L13" s="930">
        <f t="shared" ref="L13" si="7">F13+F14</f>
        <v>0</v>
      </c>
      <c r="M13" s="930">
        <f t="shared" ref="M13" si="8">K13+L13</f>
        <v>24.68</v>
      </c>
      <c r="N13" s="930">
        <f>H13+H14</f>
        <v>0</v>
      </c>
      <c r="O13" s="930">
        <f>M13-N13</f>
        <v>24.68</v>
      </c>
      <c r="P13" s="1015">
        <f t="shared" ref="P13" si="9">N13/M13</f>
        <v>0</v>
      </c>
    </row>
    <row r="14" spans="1:16" ht="15.75" customHeight="1">
      <c r="A14" s="1065"/>
      <c r="B14" s="1063"/>
      <c r="C14" s="146">
        <v>42064</v>
      </c>
      <c r="D14" s="147">
        <v>42369</v>
      </c>
      <c r="E14" s="157">
        <v>12.355</v>
      </c>
      <c r="F14" s="117"/>
      <c r="G14" s="158">
        <f>E14+F14+I13</f>
        <v>24.68</v>
      </c>
      <c r="H14" s="162"/>
      <c r="I14" s="278">
        <f t="shared" si="0"/>
        <v>24.68</v>
      </c>
      <c r="J14" s="703">
        <f t="shared" si="1"/>
        <v>0</v>
      </c>
      <c r="K14" s="1046"/>
      <c r="L14" s="931"/>
      <c r="M14" s="931"/>
      <c r="N14" s="931"/>
      <c r="O14" s="931"/>
      <c r="P14" s="1016"/>
    </row>
    <row r="15" spans="1:16" ht="15.75" customHeight="1">
      <c r="A15" s="1065"/>
      <c r="B15" s="1062" t="s">
        <v>22</v>
      </c>
      <c r="C15" s="142">
        <v>42005</v>
      </c>
      <c r="D15" s="143">
        <v>42063</v>
      </c>
      <c r="E15" s="155">
        <v>42.978999999999999</v>
      </c>
      <c r="F15" s="115"/>
      <c r="G15" s="156">
        <f>E15+F15</f>
        <v>42.978999999999999</v>
      </c>
      <c r="H15" s="161">
        <v>0.40699999999999997</v>
      </c>
      <c r="I15" s="277">
        <f t="shared" si="0"/>
        <v>42.572000000000003</v>
      </c>
      <c r="J15" s="702">
        <f t="shared" si="1"/>
        <v>9.4697410363200635E-3</v>
      </c>
      <c r="K15" s="1045">
        <f>E15+E16</f>
        <v>86.061000000000007</v>
      </c>
      <c r="L15" s="930">
        <f t="shared" ref="L15" si="10">F15+F16</f>
        <v>0</v>
      </c>
      <c r="M15" s="930">
        <f t="shared" ref="M15" si="11">K15+L15</f>
        <v>86.061000000000007</v>
      </c>
      <c r="N15" s="930">
        <f>H15+H16</f>
        <v>74.426000000000002</v>
      </c>
      <c r="O15" s="930">
        <f>M15-N15</f>
        <v>11.635000000000005</v>
      </c>
      <c r="P15" s="1019">
        <f t="shared" ref="P15" si="12">N15/M15</f>
        <v>0.86480519631424213</v>
      </c>
    </row>
    <row r="16" spans="1:16" ht="15.75" customHeight="1">
      <c r="A16" s="1066"/>
      <c r="B16" s="1063"/>
      <c r="C16" s="146">
        <v>42064</v>
      </c>
      <c r="D16" s="147">
        <v>42369</v>
      </c>
      <c r="E16" s="157">
        <v>43.082000000000001</v>
      </c>
      <c r="F16" s="117"/>
      <c r="G16" s="158">
        <f>E16+F16+I15</f>
        <v>85.653999999999996</v>
      </c>
      <c r="H16" s="261">
        <v>74.019000000000005</v>
      </c>
      <c r="I16" s="278">
        <f t="shared" si="0"/>
        <v>11.634999999999991</v>
      </c>
      <c r="J16" s="703">
        <f t="shared" si="1"/>
        <v>0.86416279449879763</v>
      </c>
      <c r="K16" s="1046"/>
      <c r="L16" s="931"/>
      <c r="M16" s="931"/>
      <c r="N16" s="931"/>
      <c r="O16" s="931"/>
      <c r="P16" s="1020"/>
    </row>
    <row r="17" spans="1:16">
      <c r="A17" s="81"/>
      <c r="B17" s="21"/>
      <c r="C17" s="21"/>
      <c r="D17" s="148"/>
      <c r="E17" s="113"/>
      <c r="F17" s="21"/>
      <c r="G17" s="113"/>
      <c r="H17" s="94"/>
      <c r="I17" s="280"/>
      <c r="J17" s="21"/>
      <c r="K17" s="437"/>
      <c r="L17" s="437"/>
      <c r="M17" s="437"/>
      <c r="N17" s="437"/>
      <c r="O17" s="437"/>
      <c r="P17" s="21"/>
    </row>
    <row r="18" spans="1:16" ht="18" customHeight="1">
      <c r="A18" s="1067" t="s">
        <v>39</v>
      </c>
      <c r="B18" s="1054" t="s">
        <v>72</v>
      </c>
      <c r="C18" s="142">
        <v>42005</v>
      </c>
      <c r="D18" s="143">
        <v>42063</v>
      </c>
      <c r="E18" s="155">
        <v>20.491</v>
      </c>
      <c r="F18" s="114"/>
      <c r="G18" s="159">
        <f>E18+F18</f>
        <v>20.491</v>
      </c>
      <c r="H18" s="161"/>
      <c r="I18" s="277">
        <f>G18-H18</f>
        <v>20.491</v>
      </c>
      <c r="J18" s="702">
        <f>H18/G18</f>
        <v>0</v>
      </c>
      <c r="K18" s="1023">
        <f>E18+E19</f>
        <v>40.981999999999999</v>
      </c>
      <c r="L18" s="930">
        <f>F18+F19</f>
        <v>0</v>
      </c>
      <c r="M18" s="930">
        <f>K18+L18</f>
        <v>40.981999999999999</v>
      </c>
      <c r="N18" s="930">
        <f>H18+H19</f>
        <v>32.265000000000001</v>
      </c>
      <c r="O18" s="930">
        <f>M18-N18</f>
        <v>8.7169999999999987</v>
      </c>
      <c r="P18" s="1019">
        <f>N18/M18</f>
        <v>0.7872968620369919</v>
      </c>
    </row>
    <row r="19" spans="1:16" ht="18" customHeight="1">
      <c r="A19" s="1067"/>
      <c r="B19" s="1055"/>
      <c r="C19" s="146">
        <v>42064</v>
      </c>
      <c r="D19" s="147">
        <v>42369</v>
      </c>
      <c r="E19" s="157">
        <v>20.491</v>
      </c>
      <c r="F19" s="116"/>
      <c r="G19" s="160">
        <f>E19+F19+I18</f>
        <v>40.981999999999999</v>
      </c>
      <c r="H19" s="162">
        <v>32.265000000000001</v>
      </c>
      <c r="I19" s="278">
        <f t="shared" ref="I19:I27" si="13">G19-H19</f>
        <v>8.7169999999999987</v>
      </c>
      <c r="J19" s="703">
        <f t="shared" ref="J19:J27" si="14">H19/G19</f>
        <v>0.7872968620369919</v>
      </c>
      <c r="K19" s="1024"/>
      <c r="L19" s="931"/>
      <c r="M19" s="931"/>
      <c r="N19" s="931"/>
      <c r="O19" s="931"/>
      <c r="P19" s="1020"/>
    </row>
    <row r="20" spans="1:16" ht="17.25" customHeight="1">
      <c r="A20" s="1067"/>
      <c r="B20" s="1054" t="s">
        <v>70</v>
      </c>
      <c r="C20" s="142">
        <v>42005</v>
      </c>
      <c r="D20" s="143">
        <v>42063</v>
      </c>
      <c r="E20" s="155">
        <v>6.0999999999999999E-2</v>
      </c>
      <c r="F20" s="115"/>
      <c r="G20" s="159">
        <f>E20+F20</f>
        <v>6.0999999999999999E-2</v>
      </c>
      <c r="H20" s="161"/>
      <c r="I20" s="277">
        <f t="shared" si="13"/>
        <v>6.0999999999999999E-2</v>
      </c>
      <c r="J20" s="702">
        <f t="shared" si="14"/>
        <v>0</v>
      </c>
      <c r="K20" s="1023">
        <f>E20+E21</f>
        <v>0.122</v>
      </c>
      <c r="L20" s="930">
        <f t="shared" ref="L20" si="15">F20+F21</f>
        <v>0</v>
      </c>
      <c r="M20" s="930">
        <f t="shared" ref="M20" si="16">K20+L20</f>
        <v>0.122</v>
      </c>
      <c r="N20" s="930">
        <f>H20+H21</f>
        <v>0</v>
      </c>
      <c r="O20" s="930">
        <f>M20-N20</f>
        <v>0.122</v>
      </c>
      <c r="P20" s="1015">
        <f t="shared" ref="P20" si="17">N20/M20</f>
        <v>0</v>
      </c>
    </row>
    <row r="21" spans="1:16" ht="17.25" customHeight="1">
      <c r="A21" s="1067"/>
      <c r="B21" s="1055"/>
      <c r="C21" s="146">
        <v>42064</v>
      </c>
      <c r="D21" s="147">
        <v>42369</v>
      </c>
      <c r="E21" s="157">
        <v>6.0999999999999999E-2</v>
      </c>
      <c r="F21" s="117"/>
      <c r="G21" s="160">
        <f>E21+F21+I20</f>
        <v>0.122</v>
      </c>
      <c r="H21" s="162"/>
      <c r="I21" s="278">
        <f t="shared" si="13"/>
        <v>0.122</v>
      </c>
      <c r="J21" s="703">
        <f t="shared" si="14"/>
        <v>0</v>
      </c>
      <c r="K21" s="1024"/>
      <c r="L21" s="931"/>
      <c r="M21" s="931"/>
      <c r="N21" s="931"/>
      <c r="O21" s="931"/>
      <c r="P21" s="1016"/>
    </row>
    <row r="22" spans="1:16" ht="17.25" customHeight="1">
      <c r="A22" s="1067"/>
      <c r="B22" s="1054" t="s">
        <v>276</v>
      </c>
      <c r="C22" s="142">
        <v>42005</v>
      </c>
      <c r="D22" s="143">
        <v>42063</v>
      </c>
      <c r="E22" s="155">
        <v>70.164000000000001</v>
      </c>
      <c r="F22" s="170"/>
      <c r="G22" s="159">
        <f>E22+F22</f>
        <v>70.164000000000001</v>
      </c>
      <c r="H22" s="161">
        <v>0.16900000000000001</v>
      </c>
      <c r="I22" s="277">
        <f t="shared" si="13"/>
        <v>69.995000000000005</v>
      </c>
      <c r="J22" s="702">
        <f t="shared" si="14"/>
        <v>2.4086426087452256E-3</v>
      </c>
      <c r="K22" s="1023">
        <f>E22+E23</f>
        <v>140.328</v>
      </c>
      <c r="L22" s="930">
        <f t="shared" ref="L22" si="18">F22+F23</f>
        <v>0</v>
      </c>
      <c r="M22" s="930">
        <f t="shared" ref="M22" si="19">K22+L22</f>
        <v>140.328</v>
      </c>
      <c r="N22" s="930">
        <f>H22+H23</f>
        <v>116.01299999999999</v>
      </c>
      <c r="O22" s="930">
        <f>M22-N22</f>
        <v>24.315000000000012</v>
      </c>
      <c r="P22" s="1019">
        <f t="shared" ref="P22" si="20">N22/M22</f>
        <v>0.8267273815631947</v>
      </c>
    </row>
    <row r="23" spans="1:16" ht="17.25" customHeight="1">
      <c r="A23" s="1067"/>
      <c r="B23" s="1055"/>
      <c r="C23" s="146">
        <v>42064</v>
      </c>
      <c r="D23" s="147">
        <v>42369</v>
      </c>
      <c r="E23" s="157">
        <v>70.164000000000001</v>
      </c>
      <c r="F23" s="117"/>
      <c r="G23" s="160">
        <f>E23+F23+I22</f>
        <v>140.15899999999999</v>
      </c>
      <c r="H23" s="162">
        <v>115.84399999999999</v>
      </c>
      <c r="I23" s="278">
        <f t="shared" si="13"/>
        <v>24.314999999999998</v>
      </c>
      <c r="J23" s="703">
        <f t="shared" si="14"/>
        <v>0.8265184540414815</v>
      </c>
      <c r="K23" s="1024"/>
      <c r="L23" s="931"/>
      <c r="M23" s="931"/>
      <c r="N23" s="931"/>
      <c r="O23" s="931"/>
      <c r="P23" s="1020"/>
    </row>
    <row r="24" spans="1:16" ht="17.25" customHeight="1">
      <c r="A24" s="1067"/>
      <c r="B24" s="1070" t="s">
        <v>37</v>
      </c>
      <c r="C24" s="142">
        <v>42005</v>
      </c>
      <c r="D24" s="143">
        <v>42063</v>
      </c>
      <c r="E24" s="155">
        <v>27.254000000000001</v>
      </c>
      <c r="F24" s="85"/>
      <c r="G24" s="159">
        <f>E24+F24</f>
        <v>27.254000000000001</v>
      </c>
      <c r="H24" s="161">
        <v>42.875</v>
      </c>
      <c r="I24" s="277">
        <f t="shared" si="13"/>
        <v>-15.620999999999999</v>
      </c>
      <c r="J24" s="702">
        <f t="shared" si="14"/>
        <v>1.5731635723196595</v>
      </c>
      <c r="K24" s="1023">
        <f>E24+E25</f>
        <v>54.508000000000003</v>
      </c>
      <c r="L24" s="930">
        <f t="shared" ref="L24" si="21">F24+F25</f>
        <v>0</v>
      </c>
      <c r="M24" s="930">
        <f t="shared" ref="M24" si="22">K24+L24</f>
        <v>54.508000000000003</v>
      </c>
      <c r="N24" s="930">
        <f>H24+H25</f>
        <v>54.127000000000002</v>
      </c>
      <c r="O24" s="930">
        <f>M24-N24</f>
        <v>0.38100000000000023</v>
      </c>
      <c r="P24" s="1019">
        <f t="shared" ref="P24" si="23">N24/M24</f>
        <v>0.99301020033756515</v>
      </c>
    </row>
    <row r="25" spans="1:16" ht="17.25" customHeight="1">
      <c r="A25" s="1067"/>
      <c r="B25" s="1071"/>
      <c r="C25" s="146">
        <v>42064</v>
      </c>
      <c r="D25" s="147">
        <v>42369</v>
      </c>
      <c r="E25" s="157">
        <v>27.254000000000001</v>
      </c>
      <c r="F25" s="117"/>
      <c r="G25" s="160">
        <f>E25+F25+I24</f>
        <v>11.633000000000003</v>
      </c>
      <c r="H25" s="162">
        <v>11.252000000000001</v>
      </c>
      <c r="I25" s="278">
        <f t="shared" si="13"/>
        <v>0.381000000000002</v>
      </c>
      <c r="J25" s="703">
        <f t="shared" si="14"/>
        <v>0.96724834522479142</v>
      </c>
      <c r="K25" s="1024"/>
      <c r="L25" s="931"/>
      <c r="M25" s="931"/>
      <c r="N25" s="931"/>
      <c r="O25" s="931"/>
      <c r="P25" s="1020"/>
    </row>
    <row r="26" spans="1:16" ht="17.25" customHeight="1">
      <c r="A26" s="1067"/>
      <c r="B26" s="1054" t="s">
        <v>22</v>
      </c>
      <c r="C26" s="142">
        <v>42005</v>
      </c>
      <c r="D26" s="143">
        <v>42063</v>
      </c>
      <c r="E26" s="155">
        <v>0.03</v>
      </c>
      <c r="F26" s="115"/>
      <c r="G26" s="159">
        <f>E26+F26</f>
        <v>0.03</v>
      </c>
      <c r="H26" s="161"/>
      <c r="I26" s="277">
        <f t="shared" si="13"/>
        <v>0.03</v>
      </c>
      <c r="J26" s="702">
        <f t="shared" si="14"/>
        <v>0</v>
      </c>
      <c r="K26" s="1023">
        <f>E26+E27</f>
        <v>0.06</v>
      </c>
      <c r="L26" s="930">
        <f t="shared" ref="L26" si="24">F26+F27</f>
        <v>0</v>
      </c>
      <c r="M26" s="930">
        <f t="shared" ref="M26" si="25">K26+L26</f>
        <v>0.06</v>
      </c>
      <c r="N26" s="930">
        <f>H26+H27</f>
        <v>0</v>
      </c>
      <c r="O26" s="930">
        <f>M26-N26</f>
        <v>0.06</v>
      </c>
      <c r="P26" s="1015">
        <f t="shared" ref="P26" si="26">N26/M26</f>
        <v>0</v>
      </c>
    </row>
    <row r="27" spans="1:16" ht="17.25" customHeight="1">
      <c r="A27" s="1067"/>
      <c r="B27" s="1055"/>
      <c r="C27" s="146">
        <v>42064</v>
      </c>
      <c r="D27" s="147">
        <v>42369</v>
      </c>
      <c r="E27" s="157">
        <v>0.03</v>
      </c>
      <c r="F27" s="117"/>
      <c r="G27" s="160">
        <f>E27+F27+I26</f>
        <v>0.06</v>
      </c>
      <c r="H27" s="162"/>
      <c r="I27" s="278">
        <f t="shared" si="13"/>
        <v>0.06</v>
      </c>
      <c r="J27" s="703">
        <f t="shared" si="14"/>
        <v>0</v>
      </c>
      <c r="K27" s="1024"/>
      <c r="L27" s="931"/>
      <c r="M27" s="931"/>
      <c r="N27" s="931"/>
      <c r="O27" s="931"/>
      <c r="P27" s="1016"/>
    </row>
    <row r="28" spans="1:16">
      <c r="A28" s="123"/>
      <c r="B28" s="21"/>
      <c r="C28" s="21"/>
      <c r="D28" s="148"/>
      <c r="E28" s="113"/>
      <c r="F28" s="21"/>
      <c r="G28" s="113"/>
      <c r="H28" s="94"/>
      <c r="I28" s="280"/>
      <c r="J28" s="21"/>
      <c r="K28" s="437"/>
      <c r="L28" s="437"/>
      <c r="M28" s="437"/>
      <c r="N28" s="437"/>
      <c r="O28" s="437"/>
      <c r="P28" s="21"/>
    </row>
    <row r="29" spans="1:16" ht="15.75" customHeight="1">
      <c r="A29" s="1078" t="s">
        <v>386</v>
      </c>
      <c r="B29" s="1039" t="s">
        <v>71</v>
      </c>
      <c r="C29" s="142">
        <v>42005</v>
      </c>
      <c r="D29" s="143">
        <v>42035</v>
      </c>
      <c r="E29" s="161">
        <v>174.06100000000001</v>
      </c>
      <c r="F29" s="191">
        <f>253.457</f>
        <v>253.45699999999999</v>
      </c>
      <c r="G29" s="156">
        <f>E29+F29</f>
        <v>427.51800000000003</v>
      </c>
      <c r="H29" s="161"/>
      <c r="I29" s="277">
        <f>G29-H29</f>
        <v>427.51800000000003</v>
      </c>
      <c r="J29" s="702">
        <f>H29/G29</f>
        <v>0</v>
      </c>
      <c r="K29" s="1023">
        <f>E29+E30</f>
        <v>497.06100000000004</v>
      </c>
      <c r="L29" s="1013">
        <f>F29+F30</f>
        <v>535.26600000000008</v>
      </c>
      <c r="M29" s="930">
        <f>K29+L29</f>
        <v>1032.3270000000002</v>
      </c>
      <c r="N29" s="930">
        <f>H29+H30</f>
        <v>1031.673</v>
      </c>
      <c r="O29" s="930">
        <f>M29-N29</f>
        <v>0.65400000000022374</v>
      </c>
      <c r="P29" s="1019">
        <f>N29/M29</f>
        <v>0.99936647980727011</v>
      </c>
    </row>
    <row r="30" spans="1:16" ht="15.75" customHeight="1">
      <c r="A30" s="1079"/>
      <c r="B30" s="1040"/>
      <c r="C30" s="146">
        <v>42036</v>
      </c>
      <c r="D30" s="147">
        <v>42369</v>
      </c>
      <c r="E30" s="162">
        <v>323</v>
      </c>
      <c r="F30" s="264">
        <f>281.809</f>
        <v>281.80900000000003</v>
      </c>
      <c r="G30" s="158">
        <f>E30+F30+I29</f>
        <v>1032.327</v>
      </c>
      <c r="H30" s="162">
        <v>1031.673</v>
      </c>
      <c r="I30" s="278">
        <f t="shared" ref="I30:I38" si="27">G30-H30</f>
        <v>0.65399999999999636</v>
      </c>
      <c r="J30" s="703">
        <f t="shared" ref="J30:J38" si="28">H30/G30</f>
        <v>0.99936647980727034</v>
      </c>
      <c r="K30" s="1024"/>
      <c r="L30" s="1014"/>
      <c r="M30" s="931"/>
      <c r="N30" s="931"/>
      <c r="O30" s="931"/>
      <c r="P30" s="1020"/>
    </row>
    <row r="31" spans="1:16" ht="15.75" customHeight="1">
      <c r="A31" s="1079"/>
      <c r="B31" s="1039" t="s">
        <v>64</v>
      </c>
      <c r="C31" s="142">
        <v>42005</v>
      </c>
      <c r="D31" s="143">
        <v>42035</v>
      </c>
      <c r="E31" s="155">
        <v>40.42</v>
      </c>
      <c r="F31" s="191">
        <f>17.91+387.736+68.671+4.576+20.345+19.926+8.489+215.459+12.732+7.159+18.315+16.555+8.283+18.764+0.031698</f>
        <v>824.95169800000008</v>
      </c>
      <c r="G31" s="156">
        <f>E31+F31</f>
        <v>865.37169800000004</v>
      </c>
      <c r="H31" s="161">
        <v>47.83</v>
      </c>
      <c r="I31" s="277">
        <f t="shared" si="27"/>
        <v>817.541698</v>
      </c>
      <c r="J31" s="702">
        <f t="shared" si="28"/>
        <v>5.5271047239633664E-2</v>
      </c>
      <c r="K31" s="1023">
        <f>E31+E32</f>
        <v>115.426</v>
      </c>
      <c r="L31" s="1013">
        <f t="shared" ref="L31" si="29">F31+F32</f>
        <v>824.95169800000008</v>
      </c>
      <c r="M31" s="930">
        <f t="shared" ref="M31" si="30">K31+L31</f>
        <v>940.37769800000012</v>
      </c>
      <c r="N31" s="930">
        <f>H31+H32</f>
        <v>990.62200000000007</v>
      </c>
      <c r="O31" s="1038">
        <f>M31-N31</f>
        <v>-50.244301999999948</v>
      </c>
      <c r="P31" s="1034">
        <f>N31/M31</f>
        <v>1.0534299166248411</v>
      </c>
    </row>
    <row r="32" spans="1:16" ht="15.75" customHeight="1">
      <c r="A32" s="1079"/>
      <c r="B32" s="1040"/>
      <c r="C32" s="146">
        <v>42036</v>
      </c>
      <c r="D32" s="147">
        <v>42369</v>
      </c>
      <c r="E32" s="157">
        <v>75.006</v>
      </c>
      <c r="F32" s="264"/>
      <c r="G32" s="158">
        <v>887.952</v>
      </c>
      <c r="H32" s="162">
        <v>942.79200000000003</v>
      </c>
      <c r="I32" s="278">
        <f>G32-H32</f>
        <v>-54.840000000000032</v>
      </c>
      <c r="J32" s="703">
        <f t="shared" si="28"/>
        <v>1.0617600951402779</v>
      </c>
      <c r="K32" s="1024"/>
      <c r="L32" s="1014"/>
      <c r="M32" s="931"/>
      <c r="N32" s="931"/>
      <c r="O32" s="1032"/>
      <c r="P32" s="1035"/>
    </row>
    <row r="33" spans="1:16" ht="15.75" customHeight="1">
      <c r="A33" s="1079"/>
      <c r="B33" s="1039" t="s">
        <v>276</v>
      </c>
      <c r="C33" s="142">
        <v>42005</v>
      </c>
      <c r="D33" s="143">
        <v>42035</v>
      </c>
      <c r="E33" s="155">
        <v>632.22900000000004</v>
      </c>
      <c r="F33" s="191">
        <f>70.075+20.904+276.15+600+200</f>
        <v>1167.1289999999999</v>
      </c>
      <c r="G33" s="156">
        <f>E33+F33</f>
        <v>1799.3579999999999</v>
      </c>
      <c r="H33" s="161"/>
      <c r="I33" s="277">
        <f t="shared" si="27"/>
        <v>1799.3579999999999</v>
      </c>
      <c r="J33" s="702">
        <f t="shared" si="28"/>
        <v>0</v>
      </c>
      <c r="K33" s="1023">
        <f>E33+E34</f>
        <v>1805.442</v>
      </c>
      <c r="L33" s="1013">
        <f t="shared" ref="L33" si="31">F33+F34</f>
        <v>1167.1289999999999</v>
      </c>
      <c r="M33" s="930">
        <f t="shared" ref="M33" si="32">K33+L33</f>
        <v>2972.5709999999999</v>
      </c>
      <c r="N33" s="930">
        <f>H33+H34</f>
        <v>2944.326</v>
      </c>
      <c r="O33" s="930">
        <f>M33-N33</f>
        <v>28.244999999999891</v>
      </c>
      <c r="P33" s="1019">
        <f t="shared" ref="P33" si="33">N33/M33</f>
        <v>0.99049812435094065</v>
      </c>
    </row>
    <row r="34" spans="1:16" ht="15.75" customHeight="1">
      <c r="A34" s="1079"/>
      <c r="B34" s="1040"/>
      <c r="C34" s="146">
        <v>42036</v>
      </c>
      <c r="D34" s="147">
        <v>42369</v>
      </c>
      <c r="E34" s="157">
        <v>1173.213</v>
      </c>
      <c r="F34" s="116"/>
      <c r="G34" s="158">
        <f>E34+F34+I33</f>
        <v>2972.5709999999999</v>
      </c>
      <c r="H34" s="162">
        <v>2944.326</v>
      </c>
      <c r="I34" s="278">
        <f t="shared" si="27"/>
        <v>28.244999999999891</v>
      </c>
      <c r="J34" s="703">
        <f t="shared" si="28"/>
        <v>0.99049812435094065</v>
      </c>
      <c r="K34" s="1024"/>
      <c r="L34" s="1014"/>
      <c r="M34" s="931"/>
      <c r="N34" s="931"/>
      <c r="O34" s="931"/>
      <c r="P34" s="1020"/>
    </row>
    <row r="35" spans="1:16" ht="15.75" customHeight="1">
      <c r="A35" s="1079"/>
      <c r="B35" s="1039" t="s">
        <v>40</v>
      </c>
      <c r="C35" s="142">
        <v>42005</v>
      </c>
      <c r="D35" s="143">
        <v>42035</v>
      </c>
      <c r="E35" s="155">
        <v>40.600999999999999</v>
      </c>
      <c r="F35" s="191"/>
      <c r="G35" s="156">
        <f>E35+F35</f>
        <v>40.600999999999999</v>
      </c>
      <c r="H35" s="260"/>
      <c r="I35" s="277">
        <f t="shared" si="27"/>
        <v>40.600999999999999</v>
      </c>
      <c r="J35" s="702">
        <f t="shared" si="28"/>
        <v>0</v>
      </c>
      <c r="K35" s="1023">
        <f>E35+E36</f>
        <v>115.943</v>
      </c>
      <c r="L35" s="930">
        <f t="shared" ref="L35" si="34">F35+F36</f>
        <v>0</v>
      </c>
      <c r="M35" s="930">
        <f t="shared" ref="M35" si="35">K35+L35</f>
        <v>115.943</v>
      </c>
      <c r="N35" s="930">
        <f>H35+H36</f>
        <v>0</v>
      </c>
      <c r="O35" s="930">
        <f>M35-N35</f>
        <v>115.943</v>
      </c>
      <c r="P35" s="1015">
        <f t="shared" ref="P35" si="36">N35/M35</f>
        <v>0</v>
      </c>
    </row>
    <row r="36" spans="1:16" ht="15.75" customHeight="1">
      <c r="A36" s="1079"/>
      <c r="B36" s="1040"/>
      <c r="C36" s="146">
        <v>42036</v>
      </c>
      <c r="D36" s="147">
        <v>42369</v>
      </c>
      <c r="E36" s="157">
        <v>75.341999999999999</v>
      </c>
      <c r="F36" s="264"/>
      <c r="G36" s="158">
        <f>E36+F36+I35</f>
        <v>115.943</v>
      </c>
      <c r="H36" s="261"/>
      <c r="I36" s="278">
        <f t="shared" si="27"/>
        <v>115.943</v>
      </c>
      <c r="J36" s="703">
        <f t="shared" si="28"/>
        <v>0</v>
      </c>
      <c r="K36" s="1024"/>
      <c r="L36" s="931"/>
      <c r="M36" s="931"/>
      <c r="N36" s="931"/>
      <c r="O36" s="931"/>
      <c r="P36" s="1016"/>
    </row>
    <row r="37" spans="1:16" ht="15.75" customHeight="1">
      <c r="A37" s="1079"/>
      <c r="B37" s="1039" t="s">
        <v>73</v>
      </c>
      <c r="C37" s="142">
        <v>42005</v>
      </c>
      <c r="D37" s="143">
        <v>42035</v>
      </c>
      <c r="E37" s="155">
        <v>477.69</v>
      </c>
      <c r="F37" s="194">
        <f>-0.03898</f>
        <v>-3.8980000000000001E-2</v>
      </c>
      <c r="G37" s="156">
        <f>E37+F37</f>
        <v>477.65102000000002</v>
      </c>
      <c r="H37" s="161">
        <v>35.301000000000002</v>
      </c>
      <c r="I37" s="277">
        <f t="shared" si="27"/>
        <v>442.35002000000003</v>
      </c>
      <c r="J37" s="702">
        <f t="shared" si="28"/>
        <v>7.3905421577452085E-2</v>
      </c>
      <c r="K37" s="1023">
        <f>E37+E38</f>
        <v>1364.1289999999999</v>
      </c>
      <c r="L37" s="930">
        <f t="shared" ref="L37" si="37">F37+F38</f>
        <v>-3.8980000000000001E-2</v>
      </c>
      <c r="M37" s="930">
        <f t="shared" ref="M37" si="38">K37+L37</f>
        <v>1364.0900199999999</v>
      </c>
      <c r="N37" s="930">
        <f>H37+H38</f>
        <v>1359.9349999999999</v>
      </c>
      <c r="O37" s="930">
        <f>M37-N37</f>
        <v>4.1550199999999222</v>
      </c>
      <c r="P37" s="1019">
        <f t="shared" ref="P37" si="39">N37/M37</f>
        <v>0.99695399868111345</v>
      </c>
    </row>
    <row r="38" spans="1:16" ht="15.75" customHeight="1">
      <c r="A38" s="1079"/>
      <c r="B38" s="1040"/>
      <c r="C38" s="146">
        <v>42036</v>
      </c>
      <c r="D38" s="147">
        <v>42369</v>
      </c>
      <c r="E38" s="157">
        <v>886.43899999999996</v>
      </c>
      <c r="F38" s="263"/>
      <c r="G38" s="158">
        <f>E38+F38+I37</f>
        <v>1328.7890199999999</v>
      </c>
      <c r="H38" s="162">
        <v>1324.634</v>
      </c>
      <c r="I38" s="278">
        <f t="shared" si="27"/>
        <v>4.1550199999999222</v>
      </c>
      <c r="J38" s="703">
        <f t="shared" si="28"/>
        <v>0.99687307771402267</v>
      </c>
      <c r="K38" s="1024"/>
      <c r="L38" s="931"/>
      <c r="M38" s="931"/>
      <c r="N38" s="931"/>
      <c r="O38" s="931"/>
      <c r="P38" s="1020"/>
    </row>
    <row r="39" spans="1:16" s="682" customFormat="1" ht="15.75" customHeight="1">
      <c r="A39" s="1079"/>
      <c r="B39" s="1076" t="s">
        <v>325</v>
      </c>
      <c r="C39" s="142">
        <v>42005</v>
      </c>
      <c r="D39" s="143">
        <v>42035</v>
      </c>
      <c r="E39" s="155">
        <v>0</v>
      </c>
      <c r="F39" s="191">
        <f>0.03898</f>
        <v>3.8980000000000001E-2</v>
      </c>
      <c r="G39" s="156">
        <f>E39+F39</f>
        <v>3.8980000000000001E-2</v>
      </c>
      <c r="H39" s="161">
        <v>0</v>
      </c>
      <c r="I39" s="277">
        <f t="shared" ref="I39:I40" si="40">G39-H39</f>
        <v>3.8980000000000001E-2</v>
      </c>
      <c r="J39" s="730">
        <f t="shared" ref="J39:J40" si="41">H39/G39</f>
        <v>0</v>
      </c>
      <c r="K39" s="1023">
        <f>E39+E40</f>
        <v>0</v>
      </c>
      <c r="L39" s="930">
        <f t="shared" ref="L39" si="42">F39+F40</f>
        <v>3.8980000000000001E-2</v>
      </c>
      <c r="M39" s="930">
        <f t="shared" ref="M39" si="43">K39+L39</f>
        <v>3.8980000000000001E-2</v>
      </c>
      <c r="N39" s="930">
        <f>H39+H40</f>
        <v>0.13700000000000001</v>
      </c>
      <c r="O39" s="930">
        <f>M39-N39</f>
        <v>-9.802000000000001E-2</v>
      </c>
      <c r="P39" s="1036">
        <f>N39/M39</f>
        <v>3.5146228835300155</v>
      </c>
    </row>
    <row r="40" spans="1:16" s="682" customFormat="1" ht="15.75" customHeight="1">
      <c r="A40" s="1080"/>
      <c r="B40" s="1077"/>
      <c r="C40" s="146">
        <v>42036</v>
      </c>
      <c r="D40" s="147">
        <v>42369</v>
      </c>
      <c r="E40" s="157">
        <v>0</v>
      </c>
      <c r="F40" s="263"/>
      <c r="G40" s="158">
        <f>E40+F40+I39</f>
        <v>3.8980000000000001E-2</v>
      </c>
      <c r="H40" s="162">
        <v>0.13700000000000001</v>
      </c>
      <c r="I40" s="278">
        <f t="shared" si="40"/>
        <v>-9.802000000000001E-2</v>
      </c>
      <c r="J40" s="731">
        <f t="shared" si="41"/>
        <v>3.5146228835300155</v>
      </c>
      <c r="K40" s="1024"/>
      <c r="L40" s="931"/>
      <c r="M40" s="931"/>
      <c r="N40" s="931"/>
      <c r="O40" s="931"/>
      <c r="P40" s="1037"/>
    </row>
    <row r="41" spans="1:16">
      <c r="A41" s="82"/>
      <c r="B41" s="21"/>
      <c r="C41" s="21"/>
      <c r="D41" s="148"/>
      <c r="E41" s="113"/>
      <c r="F41" s="21"/>
      <c r="G41" s="113"/>
      <c r="H41" s="174"/>
      <c r="I41" s="280"/>
      <c r="J41" s="21"/>
      <c r="K41" s="437"/>
      <c r="L41" s="437"/>
      <c r="M41" s="437"/>
      <c r="N41" s="437"/>
      <c r="O41" s="437"/>
      <c r="P41" s="21"/>
    </row>
    <row r="42" spans="1:16" ht="15.75" customHeight="1">
      <c r="A42" s="1068" t="s">
        <v>387</v>
      </c>
      <c r="B42" s="1072" t="s">
        <v>71</v>
      </c>
      <c r="C42" s="142">
        <v>42005</v>
      </c>
      <c r="D42" s="143">
        <v>42035</v>
      </c>
      <c r="E42" s="155">
        <v>253.45699999999999</v>
      </c>
      <c r="F42" s="194">
        <f>-253.457</f>
        <v>-253.45699999999999</v>
      </c>
      <c r="G42" s="114">
        <f>E42+F42</f>
        <v>0</v>
      </c>
      <c r="H42" s="172"/>
      <c r="I42" s="277">
        <f>G42-H42</f>
        <v>0</v>
      </c>
      <c r="J42" s="702" t="e">
        <f>H42/G42</f>
        <v>#DIV/0!</v>
      </c>
      <c r="K42" s="1038">
        <f>E42+E43</f>
        <v>724.62</v>
      </c>
      <c r="L42" s="1038">
        <f>F42+F43</f>
        <v>-535.26600000000008</v>
      </c>
      <c r="M42" s="1038">
        <f>K42+L42</f>
        <v>189.35399999999993</v>
      </c>
      <c r="N42" s="930">
        <f>H42+H43</f>
        <v>98.394000000000005</v>
      </c>
      <c r="O42" s="930">
        <f>M42-N42</f>
        <v>90.959999999999923</v>
      </c>
      <c r="P42" s="1015">
        <f>N42/M42</f>
        <v>0.51962989955321803</v>
      </c>
    </row>
    <row r="43" spans="1:16" ht="15.75" customHeight="1">
      <c r="A43" s="1068"/>
      <c r="B43" s="1073"/>
      <c r="C43" s="146">
        <v>41671</v>
      </c>
      <c r="D43" s="147">
        <v>42369</v>
      </c>
      <c r="E43" s="157">
        <v>471.16300000000001</v>
      </c>
      <c r="F43" s="263">
        <f>-281.809</f>
        <v>-281.80900000000003</v>
      </c>
      <c r="G43" s="116">
        <f>E43+F43+I42</f>
        <v>189.35399999999998</v>
      </c>
      <c r="H43" s="261">
        <v>98.394000000000005</v>
      </c>
      <c r="I43" s="278">
        <f t="shared" ref="I43:I51" si="44">G43-H43</f>
        <v>90.95999999999998</v>
      </c>
      <c r="J43" s="703">
        <f t="shared" ref="J43:J51" si="45">H43/G43</f>
        <v>0.51962989955321781</v>
      </c>
      <c r="K43" s="1032"/>
      <c r="L43" s="1032"/>
      <c r="M43" s="1032"/>
      <c r="N43" s="931"/>
      <c r="O43" s="931"/>
      <c r="P43" s="1016"/>
    </row>
    <row r="44" spans="1:16" ht="15.75" customHeight="1">
      <c r="A44" s="1068"/>
      <c r="B44" s="1072" t="s">
        <v>64</v>
      </c>
      <c r="C44" s="142">
        <v>42005</v>
      </c>
      <c r="D44" s="143">
        <v>42035</v>
      </c>
      <c r="E44" s="155">
        <v>0.49</v>
      </c>
      <c r="F44" s="191">
        <f>35.875</f>
        <v>35.875</v>
      </c>
      <c r="G44" s="114">
        <f>E44+F44</f>
        <v>36.365000000000002</v>
      </c>
      <c r="H44" s="260"/>
      <c r="I44" s="277">
        <f t="shared" si="44"/>
        <v>36.365000000000002</v>
      </c>
      <c r="J44" s="702">
        <f t="shared" si="45"/>
        <v>0</v>
      </c>
      <c r="K44" s="1038">
        <f>E44+E45</f>
        <v>1.4</v>
      </c>
      <c r="L44" s="1038">
        <f t="shared" ref="L44" si="46">F44+F45</f>
        <v>35.875</v>
      </c>
      <c r="M44" s="1038">
        <f t="shared" ref="M44" si="47">K44+L44</f>
        <v>37.274999999999999</v>
      </c>
      <c r="N44" s="930">
        <f>H44+H45</f>
        <v>0</v>
      </c>
      <c r="O44" s="930">
        <f>M44-N44</f>
        <v>37.274999999999999</v>
      </c>
      <c r="P44" s="1015">
        <f t="shared" ref="P44" si="48">N44/M44</f>
        <v>0</v>
      </c>
    </row>
    <row r="45" spans="1:16" ht="15.75" customHeight="1">
      <c r="A45" s="1068"/>
      <c r="B45" s="1073"/>
      <c r="C45" s="146">
        <v>41671</v>
      </c>
      <c r="D45" s="147">
        <v>42369</v>
      </c>
      <c r="E45" s="157">
        <v>0.91</v>
      </c>
      <c r="F45" s="116"/>
      <c r="G45" s="116">
        <f>E45+F45+I44</f>
        <v>37.274999999999999</v>
      </c>
      <c r="H45" s="261"/>
      <c r="I45" s="278">
        <f t="shared" si="44"/>
        <v>37.274999999999999</v>
      </c>
      <c r="J45" s="703">
        <f t="shared" si="45"/>
        <v>0</v>
      </c>
      <c r="K45" s="1032"/>
      <c r="L45" s="1032"/>
      <c r="M45" s="1032"/>
      <c r="N45" s="931"/>
      <c r="O45" s="931"/>
      <c r="P45" s="1016"/>
    </row>
    <row r="46" spans="1:16" ht="15.75" customHeight="1">
      <c r="A46" s="1068"/>
      <c r="B46" s="1072" t="s">
        <v>276</v>
      </c>
      <c r="C46" s="142">
        <v>42005</v>
      </c>
      <c r="D46" s="143">
        <v>42035</v>
      </c>
      <c r="E46" s="161">
        <v>471.697</v>
      </c>
      <c r="F46" s="191">
        <f>824.178-600-200+29.485+0.004576</f>
        <v>53.667575999999997</v>
      </c>
      <c r="G46" s="114">
        <f>E46+F46</f>
        <v>525.36457599999994</v>
      </c>
      <c r="H46" s="260"/>
      <c r="I46" s="277">
        <f t="shared" si="44"/>
        <v>525.36457599999994</v>
      </c>
      <c r="J46" s="702">
        <f t="shared" si="45"/>
        <v>0</v>
      </c>
      <c r="K46" s="1038">
        <f>E46+E47</f>
        <v>1348.557</v>
      </c>
      <c r="L46" s="1038">
        <f t="shared" ref="L46" si="49">F46+F47</f>
        <v>53.667575999999997</v>
      </c>
      <c r="M46" s="1038">
        <f t="shared" ref="M46" si="50">K46+L46</f>
        <v>1402.2245760000001</v>
      </c>
      <c r="N46" s="930">
        <f>H46+H47</f>
        <v>1190.6579999999999</v>
      </c>
      <c r="O46" s="930">
        <f>M46-N46</f>
        <v>211.56657600000017</v>
      </c>
      <c r="P46" s="1019">
        <f t="shared" ref="P46" si="51">N46/M46</f>
        <v>0.84912076166606842</v>
      </c>
    </row>
    <row r="47" spans="1:16" ht="15.75" customHeight="1">
      <c r="A47" s="1068"/>
      <c r="B47" s="1073"/>
      <c r="C47" s="146">
        <v>41671</v>
      </c>
      <c r="D47" s="147">
        <v>42369</v>
      </c>
      <c r="E47" s="162">
        <v>876.86</v>
      </c>
      <c r="F47" s="263"/>
      <c r="G47" s="117">
        <f>E47+F47+I46</f>
        <v>1402.2245760000001</v>
      </c>
      <c r="H47" s="261">
        <v>1190.6579999999999</v>
      </c>
      <c r="I47" s="278">
        <f t="shared" si="44"/>
        <v>211.56657600000017</v>
      </c>
      <c r="J47" s="703">
        <f t="shared" si="45"/>
        <v>0.84912076166606842</v>
      </c>
      <c r="K47" s="1032"/>
      <c r="L47" s="1032"/>
      <c r="M47" s="1032"/>
      <c r="N47" s="931"/>
      <c r="O47" s="931"/>
      <c r="P47" s="1020"/>
    </row>
    <row r="48" spans="1:16" ht="15.75" customHeight="1">
      <c r="A48" s="1068"/>
      <c r="B48" s="1074" t="s">
        <v>40</v>
      </c>
      <c r="C48" s="142">
        <v>42005</v>
      </c>
      <c r="D48" s="143">
        <v>42035</v>
      </c>
      <c r="E48" s="155">
        <v>142.70699999999999</v>
      </c>
      <c r="F48" s="191">
        <f>62.801</f>
        <v>62.801000000000002</v>
      </c>
      <c r="G48" s="114">
        <f>E48+F48</f>
        <v>205.50799999999998</v>
      </c>
      <c r="H48" s="172"/>
      <c r="I48" s="277">
        <f t="shared" si="44"/>
        <v>205.50799999999998</v>
      </c>
      <c r="J48" s="702">
        <f t="shared" si="45"/>
        <v>0</v>
      </c>
      <c r="K48" s="1038">
        <f>E48+E49</f>
        <v>407.99200000000002</v>
      </c>
      <c r="L48" s="1038">
        <f t="shared" ref="L48" si="52">F48+F49</f>
        <v>62.801000000000002</v>
      </c>
      <c r="M48" s="1038">
        <f t="shared" ref="M48" si="53">K48+L48</f>
        <v>470.79300000000001</v>
      </c>
      <c r="N48" s="930">
        <f>H48+H49</f>
        <v>416.97300000000001</v>
      </c>
      <c r="O48" s="930">
        <f>M48-N48</f>
        <v>53.819999999999993</v>
      </c>
      <c r="P48" s="1019">
        <f t="shared" ref="P48" si="54">N48/M48</f>
        <v>0.885682242514226</v>
      </c>
    </row>
    <row r="49" spans="1:16" ht="15.75" customHeight="1">
      <c r="A49" s="1068"/>
      <c r="B49" s="1075"/>
      <c r="C49" s="146">
        <v>41671</v>
      </c>
      <c r="D49" s="147">
        <v>42369</v>
      </c>
      <c r="E49" s="157">
        <v>265.28500000000003</v>
      </c>
      <c r="F49" s="116"/>
      <c r="G49" s="116">
        <f>E49+F49+I48</f>
        <v>470.79300000000001</v>
      </c>
      <c r="H49" s="261">
        <v>416.97300000000001</v>
      </c>
      <c r="I49" s="278">
        <f t="shared" si="44"/>
        <v>53.819999999999993</v>
      </c>
      <c r="J49" s="703">
        <f t="shared" si="45"/>
        <v>0.885682242514226</v>
      </c>
      <c r="K49" s="1032"/>
      <c r="L49" s="1032"/>
      <c r="M49" s="1032"/>
      <c r="N49" s="931"/>
      <c r="O49" s="931"/>
      <c r="P49" s="1020"/>
    </row>
    <row r="50" spans="1:16" ht="15.75" customHeight="1">
      <c r="A50" s="1068"/>
      <c r="B50" s="1072" t="s">
        <v>73</v>
      </c>
      <c r="C50" s="142">
        <v>42005</v>
      </c>
      <c r="D50" s="143">
        <v>42035</v>
      </c>
      <c r="E50" s="155">
        <v>3.6480000000000001</v>
      </c>
      <c r="F50" s="114"/>
      <c r="G50" s="114">
        <f>E50+F50</f>
        <v>3.6480000000000001</v>
      </c>
      <c r="H50" s="172"/>
      <c r="I50" s="277">
        <f t="shared" si="44"/>
        <v>3.6480000000000001</v>
      </c>
      <c r="J50" s="702">
        <f t="shared" si="45"/>
        <v>0</v>
      </c>
      <c r="K50" s="1038">
        <f>E50+E51</f>
        <v>10.43</v>
      </c>
      <c r="L50" s="1038">
        <f t="shared" ref="L50" si="55">F50+F51</f>
        <v>0</v>
      </c>
      <c r="M50" s="1038">
        <f t="shared" ref="M50" si="56">K50+L50</f>
        <v>10.43</v>
      </c>
      <c r="N50" s="930">
        <f>H50+H51</f>
        <v>0</v>
      </c>
      <c r="O50" s="930">
        <f>M50-N50</f>
        <v>10.43</v>
      </c>
      <c r="P50" s="1015">
        <f t="shared" ref="P50" si="57">N50/M50</f>
        <v>0</v>
      </c>
    </row>
    <row r="51" spans="1:16" ht="15.75" customHeight="1">
      <c r="A51" s="1068"/>
      <c r="B51" s="1073"/>
      <c r="C51" s="146">
        <v>41671</v>
      </c>
      <c r="D51" s="147">
        <v>42369</v>
      </c>
      <c r="E51" s="157">
        <v>6.782</v>
      </c>
      <c r="F51" s="116"/>
      <c r="G51" s="116">
        <f>E51+F51+I50</f>
        <v>10.43</v>
      </c>
      <c r="H51" s="261"/>
      <c r="I51" s="278">
        <f t="shared" si="44"/>
        <v>10.43</v>
      </c>
      <c r="J51" s="703">
        <f t="shared" si="45"/>
        <v>0</v>
      </c>
      <c r="K51" s="1032"/>
      <c r="L51" s="1032"/>
      <c r="M51" s="1032"/>
      <c r="N51" s="931"/>
      <c r="O51" s="931"/>
      <c r="P51" s="1016"/>
    </row>
    <row r="52" spans="1:16">
      <c r="A52" s="81"/>
      <c r="B52" s="21"/>
      <c r="C52" s="21"/>
      <c r="D52" s="148"/>
      <c r="E52" s="113"/>
      <c r="F52" s="21"/>
      <c r="G52" s="113"/>
      <c r="H52" s="331"/>
      <c r="I52" s="280"/>
      <c r="J52" s="21"/>
      <c r="K52" s="437"/>
      <c r="L52" s="530"/>
      <c r="M52" s="530"/>
      <c r="N52" s="437"/>
      <c r="O52" s="437"/>
      <c r="P52" s="21"/>
    </row>
    <row r="53" spans="1:16" ht="15.75" customHeight="1">
      <c r="A53" s="1047" t="s">
        <v>41</v>
      </c>
      <c r="B53" s="1043" t="s">
        <v>71</v>
      </c>
      <c r="C53" s="142">
        <v>42005</v>
      </c>
      <c r="D53" s="143">
        <v>42094</v>
      </c>
      <c r="E53" s="155">
        <v>5047.6760000000004</v>
      </c>
      <c r="F53" s="194"/>
      <c r="G53" s="159">
        <f>E53+F53</f>
        <v>5047.6760000000004</v>
      </c>
      <c r="H53" s="172"/>
      <c r="I53" s="277">
        <f>G53-H53</f>
        <v>5047.6760000000004</v>
      </c>
      <c r="J53" s="702">
        <f>H53/G53</f>
        <v>0</v>
      </c>
      <c r="K53" s="1023">
        <f>E53+E54</f>
        <v>13754.376</v>
      </c>
      <c r="L53" s="1031">
        <f>F53+F54</f>
        <v>0</v>
      </c>
      <c r="M53" s="1031">
        <f>K53+L53</f>
        <v>13754.376</v>
      </c>
      <c r="N53" s="930">
        <f>H53+H54</f>
        <v>7109.5559999999996</v>
      </c>
      <c r="O53" s="930">
        <f>M53-N53</f>
        <v>6644.8200000000006</v>
      </c>
      <c r="P53" s="1015">
        <f>N53/M53</f>
        <v>0.51689411428042975</v>
      </c>
    </row>
    <row r="54" spans="1:16" ht="15.75" customHeight="1">
      <c r="A54" s="1048"/>
      <c r="B54" s="1044"/>
      <c r="C54" s="146">
        <v>42095</v>
      </c>
      <c r="D54" s="147">
        <v>42369</v>
      </c>
      <c r="E54" s="157">
        <v>8706.7000000000007</v>
      </c>
      <c r="F54" s="116"/>
      <c r="G54" s="160">
        <f>E54+F54+I53</f>
        <v>13754.376</v>
      </c>
      <c r="H54" s="261">
        <v>7109.5559999999996</v>
      </c>
      <c r="I54" s="278">
        <f t="shared" ref="I54:I60" si="58">G54-H54</f>
        <v>6644.8200000000006</v>
      </c>
      <c r="J54" s="703">
        <f t="shared" ref="J54:J60" si="59">H54/G54</f>
        <v>0.51689411428042975</v>
      </c>
      <c r="K54" s="1024"/>
      <c r="L54" s="1032"/>
      <c r="M54" s="1032"/>
      <c r="N54" s="931"/>
      <c r="O54" s="931"/>
      <c r="P54" s="1016"/>
    </row>
    <row r="55" spans="1:16" ht="15.75" customHeight="1">
      <c r="A55" s="1048"/>
      <c r="B55" s="1043" t="s">
        <v>64</v>
      </c>
      <c r="C55" s="142">
        <v>42005</v>
      </c>
      <c r="D55" s="143">
        <v>42094</v>
      </c>
      <c r="E55" s="155">
        <v>0.14899999999999999</v>
      </c>
      <c r="F55" s="191"/>
      <c r="G55" s="159">
        <f>E55+F55</f>
        <v>0.14899999999999999</v>
      </c>
      <c r="H55" s="172"/>
      <c r="I55" s="277">
        <f t="shared" si="58"/>
        <v>0.14899999999999999</v>
      </c>
      <c r="J55" s="702">
        <f t="shared" si="59"/>
        <v>0</v>
      </c>
      <c r="K55" s="930">
        <f t="shared" ref="K55" si="60">E55+E56</f>
        <v>0.40500000000000003</v>
      </c>
      <c r="L55" s="1031">
        <f t="shared" ref="L55" si="61">F55+F56</f>
        <v>0</v>
      </c>
      <c r="M55" s="1031">
        <f t="shared" ref="M55" si="62">K55+L55</f>
        <v>0.40500000000000003</v>
      </c>
      <c r="N55" s="930">
        <f>H55+H56</f>
        <v>0</v>
      </c>
      <c r="O55" s="930">
        <f>M55-N55</f>
        <v>0.40500000000000003</v>
      </c>
      <c r="P55" s="1015">
        <f t="shared" ref="P55" si="63">N55/M55</f>
        <v>0</v>
      </c>
    </row>
    <row r="56" spans="1:16" ht="15.75" customHeight="1">
      <c r="A56" s="1048"/>
      <c r="B56" s="1044"/>
      <c r="C56" s="146">
        <v>42095</v>
      </c>
      <c r="D56" s="147">
        <v>42369</v>
      </c>
      <c r="E56" s="157">
        <v>0.25600000000000001</v>
      </c>
      <c r="F56" s="164"/>
      <c r="G56" s="160">
        <f>E56+F56+I55</f>
        <v>0.40500000000000003</v>
      </c>
      <c r="H56" s="261"/>
      <c r="I56" s="278">
        <f t="shared" si="58"/>
        <v>0.40500000000000003</v>
      </c>
      <c r="J56" s="703">
        <f t="shared" si="59"/>
        <v>0</v>
      </c>
      <c r="K56" s="931"/>
      <c r="L56" s="1032"/>
      <c r="M56" s="1032"/>
      <c r="N56" s="931"/>
      <c r="O56" s="931"/>
      <c r="P56" s="1016"/>
    </row>
    <row r="57" spans="1:16" ht="15.75" customHeight="1">
      <c r="A57" s="1048"/>
      <c r="B57" s="1043" t="s">
        <v>276</v>
      </c>
      <c r="C57" s="142">
        <v>42005</v>
      </c>
      <c r="D57" s="143">
        <v>42094</v>
      </c>
      <c r="E57" s="155">
        <v>5.1790000000000003</v>
      </c>
      <c r="F57" s="194">
        <f>-0.4</f>
        <v>-0.4</v>
      </c>
      <c r="G57" s="159">
        <f>E57+F57</f>
        <v>4.7789999999999999</v>
      </c>
      <c r="H57" s="260">
        <v>3.5999999999999997E-2</v>
      </c>
      <c r="I57" s="277">
        <f t="shared" si="58"/>
        <v>4.7430000000000003</v>
      </c>
      <c r="J57" s="702">
        <f t="shared" si="59"/>
        <v>7.5329566854990581E-3</v>
      </c>
      <c r="K57" s="930">
        <f t="shared" ref="K57" si="64">E57+E58</f>
        <v>14.112</v>
      </c>
      <c r="L57" s="1031">
        <f t="shared" ref="L57" si="65">F57+F58</f>
        <v>-0.4</v>
      </c>
      <c r="M57" s="1031">
        <f t="shared" ref="M57" si="66">K57+L57</f>
        <v>13.712</v>
      </c>
      <c r="N57" s="930">
        <f>H57+H58</f>
        <v>7.5869999999999997</v>
      </c>
      <c r="O57" s="930">
        <f>M57-N57</f>
        <v>6.125</v>
      </c>
      <c r="P57" s="1015">
        <f t="shared" ref="P57" si="67">N57/M57</f>
        <v>0.55331096849474914</v>
      </c>
    </row>
    <row r="58" spans="1:16" ht="15.75" customHeight="1">
      <c r="A58" s="1048"/>
      <c r="B58" s="1044"/>
      <c r="C58" s="146">
        <v>42095</v>
      </c>
      <c r="D58" s="147">
        <v>42369</v>
      </c>
      <c r="E58" s="157">
        <v>8.9329999999999998</v>
      </c>
      <c r="F58" s="116"/>
      <c r="G58" s="160">
        <f>E58+F58+I57</f>
        <v>13.676</v>
      </c>
      <c r="H58" s="261">
        <v>7.5510000000000002</v>
      </c>
      <c r="I58" s="278">
        <f t="shared" si="58"/>
        <v>6.125</v>
      </c>
      <c r="J58" s="703">
        <f t="shared" si="59"/>
        <v>0.55213512723018432</v>
      </c>
      <c r="K58" s="931"/>
      <c r="L58" s="1032"/>
      <c r="M58" s="1032"/>
      <c r="N58" s="931"/>
      <c r="O58" s="931"/>
      <c r="P58" s="1016"/>
    </row>
    <row r="59" spans="1:16" ht="15.75" customHeight="1">
      <c r="A59" s="1048"/>
      <c r="B59" s="1043" t="s">
        <v>73</v>
      </c>
      <c r="C59" s="142">
        <v>42005</v>
      </c>
      <c r="D59" s="143">
        <v>42094</v>
      </c>
      <c r="E59" s="155">
        <v>0.40600000000000003</v>
      </c>
      <c r="F59" s="191"/>
      <c r="G59" s="159">
        <f>E59+F59</f>
        <v>0.40600000000000003</v>
      </c>
      <c r="H59" s="171"/>
      <c r="I59" s="277">
        <f t="shared" si="58"/>
        <v>0.40600000000000003</v>
      </c>
      <c r="J59" s="702">
        <f t="shared" si="59"/>
        <v>0</v>
      </c>
      <c r="K59" s="930">
        <f t="shared" ref="K59" si="68">E59+E60</f>
        <v>1.107</v>
      </c>
      <c r="L59" s="1031">
        <f t="shared" ref="L59" si="69">F59+F60</f>
        <v>0</v>
      </c>
      <c r="M59" s="1031">
        <f t="shared" ref="M59" si="70">K59+L59</f>
        <v>1.107</v>
      </c>
      <c r="N59" s="930">
        <f>H59+H60</f>
        <v>0</v>
      </c>
      <c r="O59" s="930">
        <f>M59-N59</f>
        <v>1.107</v>
      </c>
      <c r="P59" s="1015">
        <f t="shared" ref="P59" si="71">N59/M59</f>
        <v>0</v>
      </c>
    </row>
    <row r="60" spans="1:16" ht="15.75" customHeight="1">
      <c r="A60" s="1048"/>
      <c r="B60" s="1044"/>
      <c r="C60" s="146">
        <v>42095</v>
      </c>
      <c r="D60" s="147">
        <v>42369</v>
      </c>
      <c r="E60" s="157">
        <v>0.70099999999999996</v>
      </c>
      <c r="F60" s="116"/>
      <c r="G60" s="160">
        <f>E60+F60+I59</f>
        <v>1.107</v>
      </c>
      <c r="H60" s="162"/>
      <c r="I60" s="278">
        <f t="shared" si="58"/>
        <v>1.107</v>
      </c>
      <c r="J60" s="703">
        <f t="shared" si="59"/>
        <v>0</v>
      </c>
      <c r="K60" s="931"/>
      <c r="L60" s="1032"/>
      <c r="M60" s="1032"/>
      <c r="N60" s="931"/>
      <c r="O60" s="931"/>
      <c r="P60" s="1016"/>
    </row>
    <row r="61" spans="1:16" ht="15.75" customHeight="1">
      <c r="A61" s="1048"/>
      <c r="B61" s="1050" t="s">
        <v>40</v>
      </c>
      <c r="C61" s="142">
        <v>42005</v>
      </c>
      <c r="D61" s="143">
        <v>42094</v>
      </c>
      <c r="E61" s="155">
        <v>0</v>
      </c>
      <c r="F61" s="191">
        <f>0.4</f>
        <v>0.4</v>
      </c>
      <c r="G61" s="159">
        <f>E61+F61</f>
        <v>0.4</v>
      </c>
      <c r="H61" s="171"/>
      <c r="I61" s="277">
        <f t="shared" ref="I61:I62" si="72">G61-H61</f>
        <v>0.4</v>
      </c>
      <c r="J61" s="702">
        <f t="shared" ref="J61:J62" si="73">H61/G61</f>
        <v>0</v>
      </c>
      <c r="K61" s="930">
        <f t="shared" ref="K61" si="74">E61+E62</f>
        <v>0</v>
      </c>
      <c r="L61" s="1031">
        <f t="shared" ref="L61" si="75">F61+F62</f>
        <v>0.4</v>
      </c>
      <c r="M61" s="1031">
        <f t="shared" ref="M61" si="76">K61+L61</f>
        <v>0.4</v>
      </c>
      <c r="N61" s="930">
        <f>H61+H62</f>
        <v>0</v>
      </c>
      <c r="O61" s="930">
        <f>M61-N61</f>
        <v>0.4</v>
      </c>
      <c r="P61" s="1015">
        <f t="shared" ref="P61" si="77">N61/M61</f>
        <v>0</v>
      </c>
    </row>
    <row r="62" spans="1:16" ht="15.75" customHeight="1">
      <c r="A62" s="1049"/>
      <c r="B62" s="1051"/>
      <c r="C62" s="146">
        <v>42095</v>
      </c>
      <c r="D62" s="147">
        <v>42369</v>
      </c>
      <c r="E62" s="157">
        <v>0</v>
      </c>
      <c r="F62" s="116"/>
      <c r="G62" s="160">
        <f>E62+F62+I61</f>
        <v>0.4</v>
      </c>
      <c r="H62" s="162"/>
      <c r="I62" s="278">
        <f t="shared" si="72"/>
        <v>0.4</v>
      </c>
      <c r="J62" s="703">
        <f t="shared" si="73"/>
        <v>0</v>
      </c>
      <c r="K62" s="931"/>
      <c r="L62" s="1032"/>
      <c r="M62" s="1032"/>
      <c r="N62" s="931"/>
      <c r="O62" s="931"/>
      <c r="P62" s="1016"/>
    </row>
    <row r="63" spans="1:16">
      <c r="A63" s="81"/>
      <c r="B63" s="21"/>
      <c r="C63" s="21"/>
      <c r="D63" s="148"/>
      <c r="E63" s="113"/>
      <c r="F63" s="21"/>
      <c r="G63" s="113"/>
      <c r="H63" s="174"/>
      <c r="I63" s="280"/>
      <c r="J63" s="21"/>
      <c r="K63" s="437"/>
      <c r="L63" s="531"/>
      <c r="M63" s="531"/>
      <c r="N63" s="437"/>
      <c r="O63" s="437"/>
      <c r="P63" s="21"/>
    </row>
    <row r="64" spans="1:16" ht="15" customHeight="1">
      <c r="A64" s="1052" t="s">
        <v>42</v>
      </c>
      <c r="B64" s="1096" t="s">
        <v>56</v>
      </c>
      <c r="C64" s="142">
        <v>42005</v>
      </c>
      <c r="D64" s="143">
        <v>42094</v>
      </c>
      <c r="E64" s="155">
        <v>1251.5740000000001</v>
      </c>
      <c r="F64" s="194">
        <f>-1251.574</f>
        <v>-1251.5740000000001</v>
      </c>
      <c r="G64" s="159">
        <f>E64+F64</f>
        <v>0</v>
      </c>
      <c r="H64" s="177"/>
      <c r="I64" s="277">
        <f>G64-H64</f>
        <v>0</v>
      </c>
      <c r="J64" s="702" t="e">
        <f>H64/G64</f>
        <v>#DIV/0!</v>
      </c>
      <c r="K64" s="1023">
        <f>E64+E65</f>
        <v>3129</v>
      </c>
      <c r="L64" s="1038">
        <f>F64+F65</f>
        <v>-3128</v>
      </c>
      <c r="M64" s="1038">
        <f>K64+L64</f>
        <v>1</v>
      </c>
      <c r="N64" s="930">
        <f>H64+H65</f>
        <v>0</v>
      </c>
      <c r="O64" s="930">
        <f>M64-N64</f>
        <v>1</v>
      </c>
      <c r="P64" s="1015">
        <f>N64/M64</f>
        <v>0</v>
      </c>
    </row>
    <row r="65" spans="1:16" ht="15" customHeight="1">
      <c r="A65" s="1053"/>
      <c r="B65" s="1097"/>
      <c r="C65" s="146">
        <v>42095</v>
      </c>
      <c r="D65" s="147">
        <v>42369</v>
      </c>
      <c r="E65" s="157">
        <v>1877.4259999999999</v>
      </c>
      <c r="F65" s="263">
        <f>-748.426-1128</f>
        <v>-1876.4259999999999</v>
      </c>
      <c r="G65" s="160">
        <f>E65+F65+I64</f>
        <v>1</v>
      </c>
      <c r="H65" s="178"/>
      <c r="I65" s="278">
        <f t="shared" ref="I65:I100" si="78">G65-H65</f>
        <v>1</v>
      </c>
      <c r="J65" s="703">
        <f t="shared" ref="J65:J101" si="79">H65/G65</f>
        <v>0</v>
      </c>
      <c r="K65" s="1024"/>
      <c r="L65" s="1032"/>
      <c r="M65" s="1032"/>
      <c r="N65" s="931"/>
      <c r="O65" s="931"/>
      <c r="P65" s="1016"/>
    </row>
    <row r="66" spans="1:16" ht="15" customHeight="1">
      <c r="A66" s="1053"/>
      <c r="B66" s="1086" t="s">
        <v>75</v>
      </c>
      <c r="C66" s="142">
        <v>42005</v>
      </c>
      <c r="D66" s="143">
        <v>42094</v>
      </c>
      <c r="E66" s="155">
        <v>902.274</v>
      </c>
      <c r="F66" s="194">
        <f>-0.48206-0.24103+0.24105-901.79196</f>
        <v>-902.274</v>
      </c>
      <c r="G66" s="159">
        <f>E66+F66</f>
        <v>0</v>
      </c>
      <c r="H66" s="179"/>
      <c r="I66" s="277">
        <f t="shared" si="78"/>
        <v>0</v>
      </c>
      <c r="J66" s="702" t="e">
        <f t="shared" si="79"/>
        <v>#DIV/0!</v>
      </c>
      <c r="K66" s="1023">
        <f t="shared" ref="K66" si="80">E66+E67</f>
        <v>2255.732</v>
      </c>
      <c r="L66" s="1038">
        <f t="shared" ref="L66" si="81">F66+F67</f>
        <v>-1494.6088999999999</v>
      </c>
      <c r="M66" s="1038">
        <f t="shared" ref="M66" si="82">K66+L66</f>
        <v>761.12310000000002</v>
      </c>
      <c r="N66" s="930">
        <f>H66+H67</f>
        <v>727.05600000000004</v>
      </c>
      <c r="O66" s="930">
        <f>M66-N66</f>
        <v>34.067099999999982</v>
      </c>
      <c r="P66" s="1019">
        <f t="shared" ref="P66" si="83">N66/M66</f>
        <v>0.95524101160508734</v>
      </c>
    </row>
    <row r="67" spans="1:16" ht="15" customHeight="1">
      <c r="A67" s="1053"/>
      <c r="B67" s="1087"/>
      <c r="C67" s="146">
        <v>42095</v>
      </c>
      <c r="D67" s="147">
        <v>42369</v>
      </c>
      <c r="E67" s="165">
        <v>1353.4580000000001</v>
      </c>
      <c r="F67" s="263">
        <f>-598.4149+6.08</f>
        <v>-592.33489999999995</v>
      </c>
      <c r="G67" s="166">
        <f>E67+F67+I66</f>
        <v>761.12310000000014</v>
      </c>
      <c r="H67" s="180">
        <v>727.05600000000004</v>
      </c>
      <c r="I67" s="280">
        <f t="shared" si="78"/>
        <v>34.067100000000096</v>
      </c>
      <c r="J67" s="704">
        <f t="shared" si="79"/>
        <v>0.95524101160508712</v>
      </c>
      <c r="K67" s="1024"/>
      <c r="L67" s="1032"/>
      <c r="M67" s="1032"/>
      <c r="N67" s="1030"/>
      <c r="O67" s="931"/>
      <c r="P67" s="1020"/>
    </row>
    <row r="68" spans="1:16" ht="15" customHeight="1">
      <c r="A68" s="1053"/>
      <c r="B68" s="1041" t="s">
        <v>10</v>
      </c>
      <c r="C68" s="142">
        <v>42005</v>
      </c>
      <c r="D68" s="143">
        <v>42094</v>
      </c>
      <c r="E68" s="155">
        <v>2164.6309999999999</v>
      </c>
      <c r="F68" s="384">
        <f>-2164.631+0.24105</f>
        <v>-2164.3899499999998</v>
      </c>
      <c r="G68" s="159">
        <f>E68+F68</f>
        <v>0.24105000000008658</v>
      </c>
      <c r="H68" s="177"/>
      <c r="I68" s="277">
        <f t="shared" si="78"/>
        <v>0.24105000000008658</v>
      </c>
      <c r="J68" s="702">
        <f t="shared" si="79"/>
        <v>0</v>
      </c>
      <c r="K68" s="1023">
        <f t="shared" ref="K68" si="84">E68+E69</f>
        <v>5411.6900000000005</v>
      </c>
      <c r="L68" s="1082">
        <f t="shared" ref="L68" si="85">F68+F69</f>
        <v>-5411.2077499999996</v>
      </c>
      <c r="M68" s="1038">
        <f t="shared" ref="M68" si="86">K68+L68</f>
        <v>0.48225000000093132</v>
      </c>
      <c r="N68" s="930">
        <f>H68+H69</f>
        <v>0</v>
      </c>
      <c r="O68" s="930">
        <f>M68-N68</f>
        <v>0.48225000000093132</v>
      </c>
      <c r="P68" s="1015">
        <f t="shared" ref="P68" si="87">N68/M68</f>
        <v>0</v>
      </c>
    </row>
    <row r="69" spans="1:16" ht="15" customHeight="1">
      <c r="A69" s="1053"/>
      <c r="B69" s="1042"/>
      <c r="C69" s="146">
        <v>42095</v>
      </c>
      <c r="D69" s="147">
        <v>42369</v>
      </c>
      <c r="E69" s="157">
        <v>3247.0590000000002</v>
      </c>
      <c r="F69" s="263">
        <f>-3246.8178</f>
        <v>-3246.8177999999998</v>
      </c>
      <c r="G69" s="687">
        <f>E69+F69+I68</f>
        <v>0.48225000000047658</v>
      </c>
      <c r="H69" s="178"/>
      <c r="I69" s="278">
        <f t="shared" si="78"/>
        <v>0.48225000000047658</v>
      </c>
      <c r="J69" s="703">
        <f t="shared" si="79"/>
        <v>0</v>
      </c>
      <c r="K69" s="1024"/>
      <c r="L69" s="1083"/>
      <c r="M69" s="1032"/>
      <c r="N69" s="931"/>
      <c r="O69" s="931"/>
      <c r="P69" s="1016"/>
    </row>
    <row r="70" spans="1:16" ht="15" customHeight="1">
      <c r="A70" s="1053"/>
      <c r="B70" s="1086" t="s">
        <v>305</v>
      </c>
      <c r="C70" s="142">
        <v>42005</v>
      </c>
      <c r="D70" s="143">
        <v>42094</v>
      </c>
      <c r="E70" s="155">
        <v>320</v>
      </c>
      <c r="F70" s="194">
        <f>-320</f>
        <v>-320</v>
      </c>
      <c r="G70" s="159">
        <f>E70+F70</f>
        <v>0</v>
      </c>
      <c r="H70" s="177"/>
      <c r="I70" s="277">
        <f t="shared" si="78"/>
        <v>0</v>
      </c>
      <c r="J70" s="702" t="e">
        <f t="shared" si="79"/>
        <v>#DIV/0!</v>
      </c>
      <c r="K70" s="1023">
        <f t="shared" ref="K70" si="88">E70+E71</f>
        <v>800.01700000000005</v>
      </c>
      <c r="L70" s="1038">
        <f t="shared" ref="L70" si="89">F70+F71</f>
        <v>-800.01700000000005</v>
      </c>
      <c r="M70" s="1038">
        <f t="shared" ref="M70" si="90">K70+L70</f>
        <v>0</v>
      </c>
      <c r="N70" s="930">
        <f>H70+H71</f>
        <v>0</v>
      </c>
      <c r="O70" s="930">
        <f>M70-N70</f>
        <v>0</v>
      </c>
      <c r="P70" s="1015" t="e">
        <f t="shared" ref="P70" si="91">N70/M70</f>
        <v>#DIV/0!</v>
      </c>
    </row>
    <row r="71" spans="1:16" ht="15" customHeight="1">
      <c r="A71" s="1053"/>
      <c r="B71" s="1088"/>
      <c r="C71" s="146">
        <v>42095</v>
      </c>
      <c r="D71" s="147">
        <v>42369</v>
      </c>
      <c r="E71" s="157">
        <v>480.017</v>
      </c>
      <c r="F71" s="263">
        <f>-480.017</f>
        <v>-480.017</v>
      </c>
      <c r="G71" s="160">
        <f>E71+F71+I70</f>
        <v>0</v>
      </c>
      <c r="H71" s="178"/>
      <c r="I71" s="278">
        <f t="shared" si="78"/>
        <v>0</v>
      </c>
      <c r="J71" s="703" t="e">
        <f t="shared" si="79"/>
        <v>#DIV/0!</v>
      </c>
      <c r="K71" s="1024"/>
      <c r="L71" s="1032"/>
      <c r="M71" s="1032"/>
      <c r="N71" s="931"/>
      <c r="O71" s="931"/>
      <c r="P71" s="1016"/>
    </row>
    <row r="72" spans="1:16" ht="15" customHeight="1">
      <c r="A72" s="1053"/>
      <c r="B72" s="1086" t="s">
        <v>58</v>
      </c>
      <c r="C72" s="142">
        <v>42005</v>
      </c>
      <c r="D72" s="143">
        <v>42094</v>
      </c>
      <c r="E72" s="155">
        <v>0.193</v>
      </c>
      <c r="F72" s="194"/>
      <c r="G72" s="461">
        <f>E72+F72</f>
        <v>0.193</v>
      </c>
      <c r="H72" s="177"/>
      <c r="I72" s="277">
        <f t="shared" si="78"/>
        <v>0.193</v>
      </c>
      <c r="J72" s="702">
        <f t="shared" si="79"/>
        <v>0</v>
      </c>
      <c r="K72" s="1023">
        <f t="shared" ref="K72" si="92">E72+E73</f>
        <v>0.48199999999999998</v>
      </c>
      <c r="L72" s="1038">
        <f t="shared" ref="L72" si="93">F72+F73</f>
        <v>0</v>
      </c>
      <c r="M72" s="1038">
        <f t="shared" ref="M72" si="94">K72+L72</f>
        <v>0.48199999999999998</v>
      </c>
      <c r="N72" s="930">
        <f>H72+H73</f>
        <v>0</v>
      </c>
      <c r="O72" s="930">
        <f>M72-N72</f>
        <v>0.48199999999999998</v>
      </c>
      <c r="P72" s="1015">
        <f t="shared" ref="P72" si="95">N72/M72</f>
        <v>0</v>
      </c>
    </row>
    <row r="73" spans="1:16" ht="15" customHeight="1">
      <c r="A73" s="1053"/>
      <c r="B73" s="1088"/>
      <c r="C73" s="146">
        <v>42095</v>
      </c>
      <c r="D73" s="147">
        <v>42369</v>
      </c>
      <c r="E73" s="157">
        <v>0.28899999999999998</v>
      </c>
      <c r="F73" s="263"/>
      <c r="G73" s="462">
        <f>E73+F73+I72</f>
        <v>0.48199999999999998</v>
      </c>
      <c r="H73" s="178"/>
      <c r="I73" s="278">
        <f t="shared" si="78"/>
        <v>0.48199999999999998</v>
      </c>
      <c r="J73" s="703">
        <f t="shared" si="79"/>
        <v>0</v>
      </c>
      <c r="K73" s="1024"/>
      <c r="L73" s="1032"/>
      <c r="M73" s="1032"/>
      <c r="N73" s="931"/>
      <c r="O73" s="931"/>
      <c r="P73" s="1016"/>
    </row>
    <row r="74" spans="1:16" ht="15" customHeight="1">
      <c r="A74" s="1053"/>
      <c r="B74" s="1086" t="s">
        <v>53</v>
      </c>
      <c r="C74" s="142">
        <v>42005</v>
      </c>
      <c r="D74" s="143">
        <v>42094</v>
      </c>
      <c r="E74" s="155">
        <v>52.643000000000001</v>
      </c>
      <c r="F74" s="194">
        <f>-52.643</f>
        <v>-52.643000000000001</v>
      </c>
      <c r="G74" s="461">
        <f>E74+F74</f>
        <v>0</v>
      </c>
      <c r="H74" s="345"/>
      <c r="I74" s="277">
        <f t="shared" si="78"/>
        <v>0</v>
      </c>
      <c r="J74" s="702" t="e">
        <f t="shared" si="79"/>
        <v>#DIV/0!</v>
      </c>
      <c r="K74" s="1023">
        <f t="shared" ref="K74" si="96">E74+E75</f>
        <v>131.61000000000001</v>
      </c>
      <c r="L74" s="1038">
        <f t="shared" ref="L74" si="97">F74+F75</f>
        <v>-131</v>
      </c>
      <c r="M74" s="1038">
        <f t="shared" ref="M74" si="98">K74+L74</f>
        <v>0.61000000000001364</v>
      </c>
      <c r="N74" s="930">
        <f>H74+H75</f>
        <v>0</v>
      </c>
      <c r="O74" s="930">
        <f>M74-N74</f>
        <v>0.61000000000001364</v>
      </c>
      <c r="P74" s="1015">
        <f t="shared" ref="P74" si="99">N74/M74</f>
        <v>0</v>
      </c>
    </row>
    <row r="75" spans="1:16" ht="15" customHeight="1">
      <c r="A75" s="1053"/>
      <c r="B75" s="1088"/>
      <c r="C75" s="146">
        <v>42095</v>
      </c>
      <c r="D75" s="147">
        <v>42369</v>
      </c>
      <c r="E75" s="157">
        <v>78.966999999999999</v>
      </c>
      <c r="F75" s="263">
        <f>-78.357</f>
        <v>-78.356999999999999</v>
      </c>
      <c r="G75" s="462">
        <f>E75+F75+I74</f>
        <v>0.60999999999999943</v>
      </c>
      <c r="H75" s="346"/>
      <c r="I75" s="278">
        <f t="shared" si="78"/>
        <v>0.60999999999999943</v>
      </c>
      <c r="J75" s="703">
        <f t="shared" si="79"/>
        <v>0</v>
      </c>
      <c r="K75" s="1024"/>
      <c r="L75" s="1032"/>
      <c r="M75" s="1032"/>
      <c r="N75" s="931"/>
      <c r="O75" s="931"/>
      <c r="P75" s="1016"/>
    </row>
    <row r="76" spans="1:16" ht="15" customHeight="1">
      <c r="A76" s="1053"/>
      <c r="B76" s="1041" t="s">
        <v>70</v>
      </c>
      <c r="C76" s="142">
        <v>42005</v>
      </c>
      <c r="D76" s="143">
        <v>42094</v>
      </c>
      <c r="E76" s="155">
        <v>536.18299999999999</v>
      </c>
      <c r="F76" s="193">
        <f>320+51.19+24.794</f>
        <v>395.98399999999998</v>
      </c>
      <c r="G76" s="461">
        <f>E76+F76</f>
        <v>932.16699999999992</v>
      </c>
      <c r="H76" s="115">
        <v>1363.0650000000001</v>
      </c>
      <c r="I76" s="277">
        <f t="shared" si="78"/>
        <v>-430.89800000000014</v>
      </c>
      <c r="J76" s="702">
        <f t="shared" si="79"/>
        <v>1.4622540810820381</v>
      </c>
      <c r="K76" s="1023">
        <f t="shared" ref="K76" si="100">E76+E77</f>
        <v>1340.4859999999999</v>
      </c>
      <c r="L76" s="1038">
        <f t="shared" ref="L76" si="101">F76+F77</f>
        <v>697.19799999999987</v>
      </c>
      <c r="M76" s="1038">
        <f t="shared" ref="M76" si="102">K76+L76</f>
        <v>2037.6839999999997</v>
      </c>
      <c r="N76" s="930">
        <f>H76+H77</f>
        <v>2148.0349999999999</v>
      </c>
      <c r="O76" s="930">
        <f>M76-N76</f>
        <v>-110.35100000000011</v>
      </c>
      <c r="P76" s="1034">
        <f t="shared" ref="P76" si="103">N76/M76</f>
        <v>1.0541551094281547</v>
      </c>
    </row>
    <row r="77" spans="1:16" ht="15" customHeight="1">
      <c r="A77" s="1053"/>
      <c r="B77" s="1042"/>
      <c r="C77" s="146">
        <v>42095</v>
      </c>
      <c r="D77" s="147">
        <v>42369</v>
      </c>
      <c r="E77" s="157">
        <v>804.303</v>
      </c>
      <c r="F77" s="264">
        <f>480.017+74.387+37.192+750.104-1040.486</f>
        <v>301.21399999999994</v>
      </c>
      <c r="G77" s="463">
        <f>E77+F77+I76</f>
        <v>674.61899999999969</v>
      </c>
      <c r="H77" s="117">
        <v>784.97</v>
      </c>
      <c r="I77" s="278">
        <f t="shared" si="78"/>
        <v>-110.35100000000034</v>
      </c>
      <c r="J77" s="703">
        <f t="shared" si="79"/>
        <v>1.1635752921278535</v>
      </c>
      <c r="K77" s="1024"/>
      <c r="L77" s="1032"/>
      <c r="M77" s="1032"/>
      <c r="N77" s="931"/>
      <c r="O77" s="931"/>
      <c r="P77" s="1035"/>
    </row>
    <row r="78" spans="1:16" ht="15" customHeight="1">
      <c r="A78" s="1053"/>
      <c r="B78" s="1086" t="s">
        <v>74</v>
      </c>
      <c r="C78" s="142">
        <v>42005</v>
      </c>
      <c r="D78" s="143">
        <v>42094</v>
      </c>
      <c r="E78" s="155">
        <v>2.9129999999999998</v>
      </c>
      <c r="F78" s="194">
        <f xml:space="preserve"> -2.913</f>
        <v>-2.9129999999999998</v>
      </c>
      <c r="G78" s="461">
        <f>E78+F78</f>
        <v>0</v>
      </c>
      <c r="H78" s="345"/>
      <c r="I78" s="277">
        <f t="shared" si="78"/>
        <v>0</v>
      </c>
      <c r="J78" s="702" t="e">
        <f>H78/G78</f>
        <v>#DIV/0!</v>
      </c>
      <c r="K78" s="1023">
        <f t="shared" ref="K78" si="104">E78+E79</f>
        <v>7.282</v>
      </c>
      <c r="L78" s="1038">
        <f t="shared" ref="L78" si="105">F78+F79</f>
        <v>-7.282</v>
      </c>
      <c r="M78" s="1038">
        <f t="shared" ref="M78" si="106">K78+L78</f>
        <v>0</v>
      </c>
      <c r="N78" s="930">
        <f>H78+H79</f>
        <v>0</v>
      </c>
      <c r="O78" s="930">
        <f>M78-N78</f>
        <v>0</v>
      </c>
      <c r="P78" s="1015" t="e">
        <f t="shared" ref="P78" si="107">N78/M78</f>
        <v>#DIV/0!</v>
      </c>
    </row>
    <row r="79" spans="1:16" ht="15" customHeight="1">
      <c r="A79" s="1053"/>
      <c r="B79" s="1088"/>
      <c r="C79" s="146">
        <v>42095</v>
      </c>
      <c r="D79" s="147">
        <v>42369</v>
      </c>
      <c r="E79" s="157">
        <v>4.3689999999999998</v>
      </c>
      <c r="F79" s="263">
        <f xml:space="preserve"> -4.369</f>
        <v>-4.3689999999999998</v>
      </c>
      <c r="G79" s="462">
        <f>E79+F79+I78</f>
        <v>0</v>
      </c>
      <c r="H79" s="346"/>
      <c r="I79" s="278">
        <f t="shared" si="78"/>
        <v>0</v>
      </c>
      <c r="J79" s="703" t="e">
        <f t="shared" si="79"/>
        <v>#DIV/0!</v>
      </c>
      <c r="K79" s="1024"/>
      <c r="L79" s="1032"/>
      <c r="M79" s="1032"/>
      <c r="N79" s="931"/>
      <c r="O79" s="931"/>
      <c r="P79" s="1016"/>
    </row>
    <row r="80" spans="1:16" ht="15" customHeight="1">
      <c r="A80" s="1053"/>
      <c r="B80" s="1086" t="s">
        <v>306</v>
      </c>
      <c r="C80" s="142">
        <v>42005</v>
      </c>
      <c r="D80" s="143">
        <v>42094</v>
      </c>
      <c r="E80" s="155">
        <v>51.19</v>
      </c>
      <c r="F80" s="194">
        <f>-51.19</f>
        <v>-51.19</v>
      </c>
      <c r="G80" s="461">
        <f>E80+F80</f>
        <v>0</v>
      </c>
      <c r="H80" s="345"/>
      <c r="I80" s="277">
        <f t="shared" si="78"/>
        <v>0</v>
      </c>
      <c r="J80" s="702" t="e">
        <f t="shared" si="79"/>
        <v>#DIV/0!</v>
      </c>
      <c r="K80" s="1023">
        <f t="shared" ref="K80" si="108">E80+E81</f>
        <v>127.977</v>
      </c>
      <c r="L80" s="1038">
        <f t="shared" ref="L80" si="109">F80+F81</f>
        <v>-125.577</v>
      </c>
      <c r="M80" s="1038">
        <f t="shared" ref="M80" si="110">K80+L80</f>
        <v>2.4000000000000057</v>
      </c>
      <c r="N80" s="930">
        <f>H80+H81</f>
        <v>0</v>
      </c>
      <c r="O80" s="930">
        <f>M80-N80</f>
        <v>2.4000000000000057</v>
      </c>
      <c r="P80" s="1015">
        <f t="shared" ref="P80" si="111">N80/M80</f>
        <v>0</v>
      </c>
    </row>
    <row r="81" spans="1:16" ht="15" customHeight="1">
      <c r="A81" s="1053"/>
      <c r="B81" s="1087"/>
      <c r="C81" s="146">
        <v>42095</v>
      </c>
      <c r="D81" s="147">
        <v>42369</v>
      </c>
      <c r="E81" s="165">
        <v>76.787000000000006</v>
      </c>
      <c r="F81" s="285">
        <f>-74.387</f>
        <v>-74.387</v>
      </c>
      <c r="G81" s="464">
        <f>E81+F81+I80</f>
        <v>2.4000000000000057</v>
      </c>
      <c r="H81" s="347"/>
      <c r="I81" s="280">
        <f t="shared" si="78"/>
        <v>2.4000000000000057</v>
      </c>
      <c r="J81" s="704">
        <f t="shared" si="79"/>
        <v>0</v>
      </c>
      <c r="K81" s="1024"/>
      <c r="L81" s="1032"/>
      <c r="M81" s="1032"/>
      <c r="N81" s="1030"/>
      <c r="O81" s="931"/>
      <c r="P81" s="1016"/>
    </row>
    <row r="82" spans="1:16" ht="15" customHeight="1">
      <c r="A82" s="1053"/>
      <c r="B82" s="1041" t="s">
        <v>287</v>
      </c>
      <c r="C82" s="142">
        <v>42005</v>
      </c>
      <c r="D82" s="143">
        <v>42094</v>
      </c>
      <c r="E82" s="155">
        <v>0.222</v>
      </c>
      <c r="F82" s="194"/>
      <c r="G82" s="461">
        <f>E82+F82</f>
        <v>0.222</v>
      </c>
      <c r="H82" s="51"/>
      <c r="I82" s="277">
        <f t="shared" si="78"/>
        <v>0.222</v>
      </c>
      <c r="J82" s="702">
        <f t="shared" si="79"/>
        <v>0</v>
      </c>
      <c r="K82" s="1023">
        <f t="shared" ref="K82" si="112">E82+E83</f>
        <v>0.55500000000000005</v>
      </c>
      <c r="L82" s="1038">
        <f t="shared" ref="L82" si="113">F82+F83</f>
        <v>0</v>
      </c>
      <c r="M82" s="1038">
        <f t="shared" ref="M82" si="114">K82+L82</f>
        <v>0.55500000000000005</v>
      </c>
      <c r="N82" s="930">
        <f>H82+H83</f>
        <v>0</v>
      </c>
      <c r="O82" s="930">
        <f>M82-N82</f>
        <v>0.55500000000000005</v>
      </c>
      <c r="P82" s="1015">
        <f t="shared" ref="P82" si="115">N82/M82</f>
        <v>0</v>
      </c>
    </row>
    <row r="83" spans="1:16" ht="15" customHeight="1">
      <c r="A83" s="1053"/>
      <c r="B83" s="1042"/>
      <c r="C83" s="146">
        <v>42095</v>
      </c>
      <c r="D83" s="147">
        <v>42369</v>
      </c>
      <c r="E83" s="157">
        <v>0.33300000000000002</v>
      </c>
      <c r="F83" s="116"/>
      <c r="G83" s="462">
        <f>E83+F83+I82</f>
        <v>0.55500000000000005</v>
      </c>
      <c r="H83" s="92"/>
      <c r="I83" s="278">
        <f t="shared" si="78"/>
        <v>0.55500000000000005</v>
      </c>
      <c r="J83" s="703">
        <f t="shared" si="79"/>
        <v>0</v>
      </c>
      <c r="K83" s="1024"/>
      <c r="L83" s="1032"/>
      <c r="M83" s="1032"/>
      <c r="N83" s="931"/>
      <c r="O83" s="931"/>
      <c r="P83" s="1016"/>
    </row>
    <row r="84" spans="1:16" ht="15" customHeight="1">
      <c r="A84" s="1053"/>
      <c r="B84" s="1041" t="s">
        <v>54</v>
      </c>
      <c r="C84" s="142">
        <v>42005</v>
      </c>
      <c r="D84" s="143">
        <v>42094</v>
      </c>
      <c r="E84" s="155">
        <v>91.23</v>
      </c>
      <c r="F84" s="194">
        <f>-91.23</f>
        <v>-91.23</v>
      </c>
      <c r="G84" s="461">
        <f>E84+F84</f>
        <v>0</v>
      </c>
      <c r="H84" s="345"/>
      <c r="I84" s="277">
        <f t="shared" si="78"/>
        <v>0</v>
      </c>
      <c r="J84" s="702" t="e">
        <f t="shared" si="79"/>
        <v>#DIV/0!</v>
      </c>
      <c r="K84" s="1023">
        <f t="shared" ref="K84" si="116">E84+E85</f>
        <v>228.07999999999998</v>
      </c>
      <c r="L84" s="1038">
        <f t="shared" ref="L84" si="117">F84+F85</f>
        <v>-228</v>
      </c>
      <c r="M84" s="1038">
        <f t="shared" ref="M84" si="118">K84+L84</f>
        <v>7.9999999999984084E-2</v>
      </c>
      <c r="N84" s="930">
        <f>H84+H85</f>
        <v>0</v>
      </c>
      <c r="O84" s="930">
        <f>M84-N84</f>
        <v>7.9999999999984084E-2</v>
      </c>
      <c r="P84" s="1015">
        <f t="shared" ref="P84" si="119">N84/M84</f>
        <v>0</v>
      </c>
    </row>
    <row r="85" spans="1:16" ht="15" customHeight="1">
      <c r="A85" s="1053"/>
      <c r="B85" s="1042"/>
      <c r="C85" s="146">
        <v>42095</v>
      </c>
      <c r="D85" s="147">
        <v>42369</v>
      </c>
      <c r="E85" s="157">
        <v>136.85</v>
      </c>
      <c r="F85" s="263">
        <f>-136.77</f>
        <v>-136.77000000000001</v>
      </c>
      <c r="G85" s="462">
        <f>E85+F85+I84</f>
        <v>7.9999999999984084E-2</v>
      </c>
      <c r="H85" s="346"/>
      <c r="I85" s="278">
        <f t="shared" si="78"/>
        <v>7.9999999999984084E-2</v>
      </c>
      <c r="J85" s="703">
        <f t="shared" si="79"/>
        <v>0</v>
      </c>
      <c r="K85" s="1024"/>
      <c r="L85" s="1032"/>
      <c r="M85" s="1032"/>
      <c r="N85" s="931"/>
      <c r="O85" s="931"/>
      <c r="P85" s="1016"/>
    </row>
    <row r="86" spans="1:16" ht="15" customHeight="1">
      <c r="A86" s="1053"/>
      <c r="B86" s="1041" t="s">
        <v>307</v>
      </c>
      <c r="C86" s="142">
        <v>42005</v>
      </c>
      <c r="D86" s="143">
        <v>42094</v>
      </c>
      <c r="E86" s="155">
        <v>454.82</v>
      </c>
      <c r="F86" s="194">
        <f>-454.82</f>
        <v>-454.82</v>
      </c>
      <c r="G86" s="461">
        <f>E86+F86</f>
        <v>0</v>
      </c>
      <c r="H86" s="345"/>
      <c r="I86" s="277">
        <f t="shared" si="78"/>
        <v>0</v>
      </c>
      <c r="J86" s="702" t="e">
        <f t="shared" si="79"/>
        <v>#DIV/0!</v>
      </c>
      <c r="K86" s="1023">
        <f t="shared" ref="K86" si="120">E86+E87</f>
        <v>1137.0740000000001</v>
      </c>
      <c r="L86" s="1038">
        <f t="shared" ref="L86" si="121">F86+F87</f>
        <v>-1085.7280000000001</v>
      </c>
      <c r="M86" s="1038">
        <f t="shared" ref="M86" si="122">K86+L86</f>
        <v>51.346000000000004</v>
      </c>
      <c r="N86" s="930">
        <f>H86+H87</f>
        <v>0</v>
      </c>
      <c r="O86" s="930">
        <f>M86-N86</f>
        <v>51.346000000000004</v>
      </c>
      <c r="P86" s="1015">
        <f t="shared" ref="P86" si="123">N86/M86</f>
        <v>0</v>
      </c>
    </row>
    <row r="87" spans="1:16" ht="15" customHeight="1">
      <c r="A87" s="1053"/>
      <c r="B87" s="1042"/>
      <c r="C87" s="146">
        <v>42095</v>
      </c>
      <c r="D87" s="147">
        <v>42369</v>
      </c>
      <c r="E87" s="157">
        <v>682.25400000000002</v>
      </c>
      <c r="F87" s="263">
        <f>-630.908</f>
        <v>-630.90800000000002</v>
      </c>
      <c r="G87" s="462">
        <f>E87+F87+I86</f>
        <v>51.346000000000004</v>
      </c>
      <c r="H87" s="346"/>
      <c r="I87" s="278">
        <f t="shared" si="78"/>
        <v>51.346000000000004</v>
      </c>
      <c r="J87" s="703">
        <f t="shared" si="79"/>
        <v>0</v>
      </c>
      <c r="K87" s="1024"/>
      <c r="L87" s="1032"/>
      <c r="M87" s="1032"/>
      <c r="N87" s="931"/>
      <c r="O87" s="931"/>
      <c r="P87" s="1016"/>
    </row>
    <row r="88" spans="1:16" ht="15" customHeight="1">
      <c r="A88" s="1053"/>
      <c r="B88" s="1041" t="s">
        <v>7</v>
      </c>
      <c r="C88" s="142">
        <v>42005</v>
      </c>
      <c r="D88" s="143">
        <v>42094</v>
      </c>
      <c r="E88" s="155">
        <v>284.983</v>
      </c>
      <c r="F88" s="384">
        <f>2.913-284.983-0.24272-0.24272</f>
        <v>-282.55544000000003</v>
      </c>
      <c r="G88" s="461">
        <f>E88+F88</f>
        <v>2.4275599999999713</v>
      </c>
      <c r="H88" s="345"/>
      <c r="I88" s="277">
        <f>G88-H88</f>
        <v>2.4275599999999713</v>
      </c>
      <c r="J88" s="702">
        <f t="shared" si="79"/>
        <v>0</v>
      </c>
      <c r="K88" s="1023">
        <f t="shared" ref="K88" si="124">E88+E89</f>
        <v>712.47199999999998</v>
      </c>
      <c r="L88" s="1038">
        <f t="shared" ref="L88:L104" si="125">F88+F89</f>
        <v>-698.92743999999993</v>
      </c>
      <c r="M88" s="1038">
        <f t="shared" ref="M88" si="126">K88+L88</f>
        <v>13.544560000000047</v>
      </c>
      <c r="N88" s="930">
        <f>H88+H89</f>
        <v>0</v>
      </c>
      <c r="O88" s="930">
        <f>M88-N88</f>
        <v>13.544560000000047</v>
      </c>
      <c r="P88" s="1015">
        <f t="shared" ref="P88" si="127">N88/M88</f>
        <v>0</v>
      </c>
    </row>
    <row r="89" spans="1:16" ht="15" customHeight="1">
      <c r="A89" s="1053"/>
      <c r="B89" s="1042"/>
      <c r="C89" s="146">
        <v>42095</v>
      </c>
      <c r="D89" s="147">
        <v>42369</v>
      </c>
      <c r="E89" s="157">
        <v>427.48899999999998</v>
      </c>
      <c r="F89" s="384">
        <f>4.369-420.741</f>
        <v>-416.37199999999996</v>
      </c>
      <c r="G89" s="462">
        <f>E89+F89+I88</f>
        <v>13.54455999999999</v>
      </c>
      <c r="H89" s="346"/>
      <c r="I89" s="278">
        <f t="shared" si="78"/>
        <v>13.54455999999999</v>
      </c>
      <c r="J89" s="703">
        <f t="shared" si="79"/>
        <v>0</v>
      </c>
      <c r="K89" s="1024"/>
      <c r="L89" s="1032"/>
      <c r="M89" s="1032"/>
      <c r="N89" s="931"/>
      <c r="O89" s="931"/>
      <c r="P89" s="1016"/>
    </row>
    <row r="90" spans="1:16" ht="15" customHeight="1">
      <c r="A90" s="1053"/>
      <c r="B90" s="1041" t="s">
        <v>308</v>
      </c>
      <c r="C90" s="142">
        <v>42005</v>
      </c>
      <c r="D90" s="143">
        <v>42094</v>
      </c>
      <c r="E90" s="155">
        <v>68.84</v>
      </c>
      <c r="F90" s="194">
        <f>-68.84</f>
        <v>-68.84</v>
      </c>
      <c r="G90" s="461">
        <f>E90+F90</f>
        <v>0</v>
      </c>
      <c r="H90" s="345"/>
      <c r="I90" s="277">
        <f t="shared" si="78"/>
        <v>0</v>
      </c>
      <c r="J90" s="702" t="e">
        <f t="shared" si="79"/>
        <v>#DIV/0!</v>
      </c>
      <c r="K90" s="1023">
        <f t="shared" ref="K90" si="128">E90+E91</f>
        <v>172.10300000000001</v>
      </c>
      <c r="L90" s="1038">
        <f t="shared" si="125"/>
        <v>-172</v>
      </c>
      <c r="M90" s="1038">
        <f t="shared" ref="M90" si="129">K90+L90</f>
        <v>0.10300000000000864</v>
      </c>
      <c r="N90" s="930">
        <f>H90+H91</f>
        <v>0</v>
      </c>
      <c r="O90" s="930">
        <f>M90-N90</f>
        <v>0.10300000000000864</v>
      </c>
      <c r="P90" s="1015">
        <f t="shared" ref="P90" si="130">N90/M90</f>
        <v>0</v>
      </c>
    </row>
    <row r="91" spans="1:16" ht="15" customHeight="1">
      <c r="A91" s="1053"/>
      <c r="B91" s="1089"/>
      <c r="C91" s="146">
        <v>42095</v>
      </c>
      <c r="D91" s="147">
        <v>42369</v>
      </c>
      <c r="E91" s="157">
        <v>103.26300000000001</v>
      </c>
      <c r="F91" s="263">
        <f>-103.16</f>
        <v>-103.16</v>
      </c>
      <c r="G91" s="462">
        <f>E91+F91+I90</f>
        <v>0.10300000000000864</v>
      </c>
      <c r="H91" s="346"/>
      <c r="I91" s="278">
        <f t="shared" si="78"/>
        <v>0.10300000000000864</v>
      </c>
      <c r="J91" s="703">
        <f t="shared" si="79"/>
        <v>0</v>
      </c>
      <c r="K91" s="1024"/>
      <c r="L91" s="1032"/>
      <c r="M91" s="1032"/>
      <c r="N91" s="931"/>
      <c r="O91" s="931"/>
      <c r="P91" s="1016"/>
    </row>
    <row r="92" spans="1:16" ht="15" customHeight="1">
      <c r="A92" s="1053"/>
      <c r="B92" s="1081" t="s">
        <v>285</v>
      </c>
      <c r="C92" s="142">
        <v>42005</v>
      </c>
      <c r="D92" s="143">
        <v>42094</v>
      </c>
      <c r="E92" s="165">
        <v>2031.338</v>
      </c>
      <c r="F92" s="285">
        <f>-2031.338</f>
        <v>-2031.338</v>
      </c>
      <c r="G92" s="464">
        <f>E92+F92</f>
        <v>0</v>
      </c>
      <c r="H92" s="347"/>
      <c r="I92" s="280">
        <f t="shared" si="78"/>
        <v>0</v>
      </c>
      <c r="J92" s="704" t="e">
        <f t="shared" si="79"/>
        <v>#DIV/0!</v>
      </c>
      <c r="K92" s="1023">
        <f t="shared" ref="K92" si="131">E92+E93</f>
        <v>5078.451</v>
      </c>
      <c r="L92" s="1038">
        <f t="shared" si="125"/>
        <v>-5000</v>
      </c>
      <c r="M92" s="1038">
        <f t="shared" ref="M92" si="132">K92+L92</f>
        <v>78.451000000000022</v>
      </c>
      <c r="N92" s="1030">
        <f>H92+H93</f>
        <v>0</v>
      </c>
      <c r="O92" s="930">
        <f>M92-N92</f>
        <v>78.451000000000022</v>
      </c>
      <c r="P92" s="1015">
        <f t="shared" ref="P92" si="133">N92/M92</f>
        <v>0</v>
      </c>
    </row>
    <row r="93" spans="1:16" ht="15" customHeight="1">
      <c r="A93" s="1053"/>
      <c r="B93" s="1090"/>
      <c r="C93" s="146">
        <v>42095</v>
      </c>
      <c r="D93" s="147">
        <v>42369</v>
      </c>
      <c r="E93" s="165">
        <v>3047.1129999999998</v>
      </c>
      <c r="F93" s="285">
        <f>-2968.662</f>
        <v>-2968.6619999999998</v>
      </c>
      <c r="G93" s="464">
        <f>E93+F93+I92</f>
        <v>78.451000000000022</v>
      </c>
      <c r="H93" s="347"/>
      <c r="I93" s="280">
        <f t="shared" si="78"/>
        <v>78.451000000000022</v>
      </c>
      <c r="J93" s="704">
        <f t="shared" si="79"/>
        <v>0</v>
      </c>
      <c r="K93" s="1024"/>
      <c r="L93" s="1032"/>
      <c r="M93" s="1032"/>
      <c r="N93" s="1030"/>
      <c r="O93" s="931"/>
      <c r="P93" s="1016"/>
    </row>
    <row r="94" spans="1:16" ht="15" customHeight="1">
      <c r="A94" s="1053"/>
      <c r="B94" s="1041" t="s">
        <v>276</v>
      </c>
      <c r="C94" s="142">
        <v>42005</v>
      </c>
      <c r="D94" s="143">
        <v>42094</v>
      </c>
      <c r="E94" s="155">
        <v>34.887999999999998</v>
      </c>
      <c r="F94" s="194">
        <f>-34.888</f>
        <v>-34.887999999999998</v>
      </c>
      <c r="G94" s="461">
        <f>E94+F94</f>
        <v>0</v>
      </c>
      <c r="H94" s="345"/>
      <c r="I94" s="277">
        <f t="shared" si="78"/>
        <v>0</v>
      </c>
      <c r="J94" s="702" t="e">
        <f t="shared" si="79"/>
        <v>#DIV/0!</v>
      </c>
      <c r="K94" s="1023">
        <f t="shared" ref="K94" si="134">E94+E95</f>
        <v>87.222000000000008</v>
      </c>
      <c r="L94" s="1038">
        <f t="shared" si="125"/>
        <v>-87.222000000000008</v>
      </c>
      <c r="M94" s="1038">
        <f t="shared" ref="M94" si="135">K94+L94</f>
        <v>0</v>
      </c>
      <c r="N94" s="930">
        <f>H94+H95</f>
        <v>0</v>
      </c>
      <c r="O94" s="930">
        <f>M94-N94</f>
        <v>0</v>
      </c>
      <c r="P94" s="1015" t="e">
        <f t="shared" ref="P94:P102" si="136">N94/M94</f>
        <v>#DIV/0!</v>
      </c>
    </row>
    <row r="95" spans="1:16" ht="15" customHeight="1">
      <c r="A95" s="1053"/>
      <c r="B95" s="1081"/>
      <c r="C95" s="146">
        <v>42095</v>
      </c>
      <c r="D95" s="147">
        <v>42369</v>
      </c>
      <c r="E95" s="165">
        <v>52.334000000000003</v>
      </c>
      <c r="F95" s="285">
        <f>-52.334</f>
        <v>-52.334000000000003</v>
      </c>
      <c r="G95" s="464">
        <f>E95+F95+I94</f>
        <v>0</v>
      </c>
      <c r="H95" s="347"/>
      <c r="I95" s="280">
        <f t="shared" si="78"/>
        <v>0</v>
      </c>
      <c r="J95" s="704" t="e">
        <f t="shared" si="79"/>
        <v>#DIV/0!</v>
      </c>
      <c r="K95" s="1024"/>
      <c r="L95" s="1032"/>
      <c r="M95" s="1032"/>
      <c r="N95" s="1030"/>
      <c r="O95" s="931"/>
      <c r="P95" s="1016"/>
    </row>
    <row r="96" spans="1:16" ht="15" customHeight="1">
      <c r="A96" s="1053"/>
      <c r="B96" s="1041" t="s">
        <v>309</v>
      </c>
      <c r="C96" s="142">
        <v>42005</v>
      </c>
      <c r="D96" s="143">
        <v>42094</v>
      </c>
      <c r="E96" s="155">
        <v>24.794</v>
      </c>
      <c r="F96" s="194">
        <f>-24.794</f>
        <v>-24.794</v>
      </c>
      <c r="G96" s="461">
        <f>E96+F96</f>
        <v>0</v>
      </c>
      <c r="H96" s="345"/>
      <c r="I96" s="277">
        <f t="shared" si="78"/>
        <v>0</v>
      </c>
      <c r="J96" s="702" t="e">
        <f t="shared" si="79"/>
        <v>#DIV/0!</v>
      </c>
      <c r="K96" s="1023">
        <f t="shared" ref="K96" si="137">E96+E97</f>
        <v>61.986000000000004</v>
      </c>
      <c r="L96" s="1038">
        <f t="shared" si="125"/>
        <v>-61.986000000000004</v>
      </c>
      <c r="M96" s="1038">
        <f t="shared" ref="M96" si="138">K96+L96</f>
        <v>0</v>
      </c>
      <c r="N96" s="930">
        <f>H96+H97</f>
        <v>0</v>
      </c>
      <c r="O96" s="930">
        <f>M96-N96</f>
        <v>0</v>
      </c>
      <c r="P96" s="1015" t="e">
        <f t="shared" si="136"/>
        <v>#DIV/0!</v>
      </c>
    </row>
    <row r="97" spans="1:16" ht="15" customHeight="1">
      <c r="A97" s="1053"/>
      <c r="B97" s="1042"/>
      <c r="C97" s="146">
        <v>42095</v>
      </c>
      <c r="D97" s="147">
        <v>42369</v>
      </c>
      <c r="E97" s="157">
        <v>37.192</v>
      </c>
      <c r="F97" s="392">
        <f>-37.192</f>
        <v>-37.192</v>
      </c>
      <c r="G97" s="462">
        <f>E97+F97+I96</f>
        <v>0</v>
      </c>
      <c r="H97" s="346"/>
      <c r="I97" s="278">
        <f t="shared" si="78"/>
        <v>0</v>
      </c>
      <c r="J97" s="703" t="e">
        <f t="shared" si="79"/>
        <v>#DIV/0!</v>
      </c>
      <c r="K97" s="1024"/>
      <c r="L97" s="1032"/>
      <c r="M97" s="1032"/>
      <c r="N97" s="931"/>
      <c r="O97" s="931"/>
      <c r="P97" s="1016"/>
    </row>
    <row r="98" spans="1:16" ht="15" customHeight="1">
      <c r="A98" s="1053"/>
      <c r="B98" s="1081" t="s">
        <v>310</v>
      </c>
      <c r="C98" s="142">
        <v>42005</v>
      </c>
      <c r="D98" s="143">
        <v>42094</v>
      </c>
      <c r="E98" s="165">
        <v>25.739000000000001</v>
      </c>
      <c r="F98" s="194">
        <f>-25.739</f>
        <v>-25.739000000000001</v>
      </c>
      <c r="G98" s="464">
        <f>E98+F98</f>
        <v>0</v>
      </c>
      <c r="H98" s="347"/>
      <c r="I98" s="280">
        <f t="shared" si="78"/>
        <v>0</v>
      </c>
      <c r="J98" s="704" t="e">
        <f t="shared" si="79"/>
        <v>#DIV/0!</v>
      </c>
      <c r="K98" s="1023">
        <f t="shared" ref="K98" si="139">E98+E99</f>
        <v>64.347999999999999</v>
      </c>
      <c r="L98" s="1038">
        <f t="shared" si="125"/>
        <v>-64</v>
      </c>
      <c r="M98" s="1038">
        <f t="shared" ref="M98" si="140">K98+L98</f>
        <v>0.34799999999999898</v>
      </c>
      <c r="N98" s="1030">
        <f>H98+H99</f>
        <v>0</v>
      </c>
      <c r="O98" s="930">
        <f>M98-N98</f>
        <v>0.34799999999999898</v>
      </c>
      <c r="P98" s="1015">
        <f t="shared" si="136"/>
        <v>0</v>
      </c>
    </row>
    <row r="99" spans="1:16" ht="15" customHeight="1">
      <c r="A99" s="1053"/>
      <c r="B99" s="1081"/>
      <c r="C99" s="146">
        <v>42095</v>
      </c>
      <c r="D99" s="147">
        <v>42369</v>
      </c>
      <c r="E99" s="165">
        <v>38.609000000000002</v>
      </c>
      <c r="F99" s="285">
        <f>-38.261</f>
        <v>-38.261000000000003</v>
      </c>
      <c r="G99" s="464">
        <f>E99+F99+I98</f>
        <v>0.34799999999999898</v>
      </c>
      <c r="H99" s="347"/>
      <c r="I99" s="280">
        <f t="shared" si="78"/>
        <v>0.34799999999999898</v>
      </c>
      <c r="J99" s="704">
        <f t="shared" si="79"/>
        <v>0</v>
      </c>
      <c r="K99" s="1024"/>
      <c r="L99" s="1032"/>
      <c r="M99" s="1032"/>
      <c r="N99" s="1030"/>
      <c r="O99" s="931"/>
      <c r="P99" s="1016"/>
    </row>
    <row r="100" spans="1:16" ht="15" customHeight="1">
      <c r="A100" s="1053"/>
      <c r="B100" s="1041" t="s">
        <v>22</v>
      </c>
      <c r="C100" s="142">
        <v>42005</v>
      </c>
      <c r="D100" s="143">
        <v>42094</v>
      </c>
      <c r="E100" s="155">
        <v>541.84</v>
      </c>
      <c r="F100" s="193">
        <f>750.104-375</f>
        <v>375.10400000000004</v>
      </c>
      <c r="G100" s="461">
        <f>E100+F100</f>
        <v>916.94400000000007</v>
      </c>
      <c r="H100" s="341">
        <v>1440.8879999999999</v>
      </c>
      <c r="I100" s="277">
        <f t="shared" si="78"/>
        <v>-523.94399999999985</v>
      </c>
      <c r="J100" s="702">
        <f t="shared" si="79"/>
        <v>1.5714023975291838</v>
      </c>
      <c r="K100" s="1023">
        <f t="shared" ref="K100" si="141">E100+E101</f>
        <v>1354.6280000000002</v>
      </c>
      <c r="L100" s="1038">
        <f t="shared" si="125"/>
        <v>1399.3595950000001</v>
      </c>
      <c r="M100" s="1038">
        <f t="shared" ref="M100" si="142">K100+L100</f>
        <v>2753.9875950000005</v>
      </c>
      <c r="N100" s="930">
        <f>H100+H101</f>
        <v>2723.855</v>
      </c>
      <c r="O100" s="930">
        <f>M100-N100</f>
        <v>30.132595000000492</v>
      </c>
      <c r="P100" s="1019">
        <f t="shared" si="136"/>
        <v>0.98905855819586563</v>
      </c>
    </row>
    <row r="101" spans="1:16" ht="15" customHeight="1">
      <c r="A101" s="1053"/>
      <c r="B101" s="1042"/>
      <c r="C101" s="146">
        <v>42095</v>
      </c>
      <c r="D101" s="147">
        <v>42369</v>
      </c>
      <c r="E101" s="157">
        <v>812.78800000000001</v>
      </c>
      <c r="F101" s="392">
        <f>1500.206875-581+105.04872</f>
        <v>1024.2555950000001</v>
      </c>
      <c r="G101" s="463">
        <f>E101+F101+I100</f>
        <v>1313.0995950000001</v>
      </c>
      <c r="H101" s="340">
        <v>1282.9670000000001</v>
      </c>
      <c r="I101" s="278">
        <f>G101-H101</f>
        <v>30.132595000000038</v>
      </c>
      <c r="J101" s="703">
        <f t="shared" si="79"/>
        <v>0.97705231566993211</v>
      </c>
      <c r="K101" s="1024"/>
      <c r="L101" s="1032"/>
      <c r="M101" s="1032"/>
      <c r="N101" s="931"/>
      <c r="O101" s="931"/>
      <c r="P101" s="1033"/>
    </row>
    <row r="102" spans="1:16" ht="15" customHeight="1">
      <c r="A102" s="1053"/>
      <c r="B102" s="1021" t="s">
        <v>8</v>
      </c>
      <c r="C102" s="142">
        <v>42005</v>
      </c>
      <c r="D102" s="143">
        <v>42094</v>
      </c>
      <c r="E102" s="155">
        <v>800.70500000000004</v>
      </c>
      <c r="F102" s="285">
        <f>-750.104-350.225</f>
        <v>-1100.3290000000002</v>
      </c>
      <c r="G102" s="461">
        <f>E102+F102</f>
        <v>-299.62400000000014</v>
      </c>
      <c r="H102" s="341"/>
      <c r="I102" s="277">
        <f>G102-H102</f>
        <v>-299.62400000000014</v>
      </c>
      <c r="J102" s="702">
        <f>H102/G102</f>
        <v>0</v>
      </c>
      <c r="K102" s="1023">
        <f t="shared" ref="K102" si="143">E102+E103</f>
        <v>2001.8040000000001</v>
      </c>
      <c r="L102" s="1038">
        <f t="shared" si="125"/>
        <v>-1850.4330000000002</v>
      </c>
      <c r="M102" s="1038">
        <f>K102+L102</f>
        <v>151.37099999999987</v>
      </c>
      <c r="N102" s="930">
        <f>H102+H103</f>
        <v>0</v>
      </c>
      <c r="O102" s="930">
        <f>M102-N102</f>
        <v>151.37099999999987</v>
      </c>
      <c r="P102" s="1015">
        <f t="shared" si="136"/>
        <v>0</v>
      </c>
    </row>
    <row r="103" spans="1:16" ht="15" customHeight="1">
      <c r="A103" s="1053"/>
      <c r="B103" s="1022"/>
      <c r="C103" s="144">
        <v>42095</v>
      </c>
      <c r="D103" s="145">
        <v>42369</v>
      </c>
      <c r="E103" s="165">
        <v>1201.0989999999999</v>
      </c>
      <c r="F103" s="285">
        <f>-750.104</f>
        <v>-750.10400000000004</v>
      </c>
      <c r="G103" s="166">
        <f>E103+F103+I102</f>
        <v>151.37099999999975</v>
      </c>
      <c r="H103" s="707"/>
      <c r="I103" s="280">
        <f>G103-H103</f>
        <v>151.37099999999975</v>
      </c>
      <c r="J103" s="704">
        <f>H103/G103</f>
        <v>0</v>
      </c>
      <c r="K103" s="1024"/>
      <c r="L103" s="1032"/>
      <c r="M103" s="1032"/>
      <c r="N103" s="931"/>
      <c r="O103" s="931"/>
      <c r="P103" s="1016"/>
    </row>
    <row r="104" spans="1:16" ht="15" customHeight="1">
      <c r="A104" s="1053"/>
      <c r="B104" s="1017" t="s">
        <v>325</v>
      </c>
      <c r="C104" s="142">
        <v>42005</v>
      </c>
      <c r="D104" s="139">
        <v>42094</v>
      </c>
      <c r="E104" s="114">
        <v>0</v>
      </c>
      <c r="F104" s="391">
        <f>5411.44889+0.48206+0.24103-0.24105-0.24105+284.983-0.24105+454.82</f>
        <v>6151.2518300000011</v>
      </c>
      <c r="G104" s="114">
        <f>E104+F104</f>
        <v>6151.2518300000011</v>
      </c>
      <c r="H104" s="341">
        <v>2020.758</v>
      </c>
      <c r="I104" s="277">
        <f t="shared" ref="I104:I109" si="144">G104-H104</f>
        <v>4130.4938300000013</v>
      </c>
      <c r="J104" s="702">
        <f t="shared" ref="J104:J109" si="145">H104/G104</f>
        <v>0.32851166816885136</v>
      </c>
      <c r="K104" s="930">
        <f t="shared" ref="K104" si="146">E104+E105</f>
        <v>0</v>
      </c>
      <c r="L104" s="1082">
        <f t="shared" si="125"/>
        <v>7202.9008300000005</v>
      </c>
      <c r="M104" s="1038">
        <f>K104+L104</f>
        <v>7202.9008300000005</v>
      </c>
      <c r="N104" s="930">
        <f>H104+H105</f>
        <v>6648.1329999999998</v>
      </c>
      <c r="O104" s="930">
        <f>M104-N104</f>
        <v>554.76783000000069</v>
      </c>
      <c r="P104" s="1019">
        <f>N104/M104</f>
        <v>0.92297994334596434</v>
      </c>
    </row>
    <row r="105" spans="1:16" ht="15" customHeight="1">
      <c r="A105" s="1053"/>
      <c r="B105" s="1018"/>
      <c r="C105" s="146">
        <v>42095</v>
      </c>
      <c r="D105" s="141">
        <v>42369</v>
      </c>
      <c r="E105" s="116">
        <v>0</v>
      </c>
      <c r="F105" s="392">
        <f>420.741+630.908</f>
        <v>1051.6489999999999</v>
      </c>
      <c r="G105" s="116">
        <f>E105+F105+I104</f>
        <v>5182.1428300000007</v>
      </c>
      <c r="H105" s="176">
        <v>4627.375</v>
      </c>
      <c r="I105" s="278">
        <f t="shared" si="144"/>
        <v>554.76783000000069</v>
      </c>
      <c r="J105" s="703">
        <f t="shared" si="145"/>
        <v>0.89294624864672045</v>
      </c>
      <c r="K105" s="931"/>
      <c r="L105" s="1083"/>
      <c r="M105" s="1032"/>
      <c r="N105" s="931"/>
      <c r="O105" s="931"/>
      <c r="P105" s="1020"/>
    </row>
    <row r="106" spans="1:16" ht="15" customHeight="1">
      <c r="A106" s="1053"/>
      <c r="B106" s="1021" t="s">
        <v>195</v>
      </c>
      <c r="C106" s="144">
        <v>42005</v>
      </c>
      <c r="D106" s="145">
        <v>42094</v>
      </c>
      <c r="E106" s="113">
        <v>0</v>
      </c>
      <c r="F106" s="384">
        <f>0.24105</f>
        <v>0.24104999999999999</v>
      </c>
      <c r="G106" s="706">
        <f>E106+F106</f>
        <v>0.24104999999999999</v>
      </c>
      <c r="H106" s="342">
        <v>0</v>
      </c>
      <c r="I106" s="280">
        <f t="shared" si="144"/>
        <v>0.24104999999999999</v>
      </c>
      <c r="J106" s="708">
        <f t="shared" si="145"/>
        <v>0</v>
      </c>
      <c r="K106" s="1023">
        <f t="shared" ref="K106" si="147">E106+E107</f>
        <v>0</v>
      </c>
      <c r="L106" s="1082">
        <f t="shared" ref="L106" si="148">F106+F107</f>
        <v>0.24104999999999999</v>
      </c>
      <c r="M106" s="1038">
        <f t="shared" ref="M106" si="149">K106+L106</f>
        <v>0.24104999999999999</v>
      </c>
      <c r="N106" s="930">
        <f>H106+H107</f>
        <v>0</v>
      </c>
      <c r="O106" s="930">
        <f>M106-N106</f>
        <v>0.24104999999999999</v>
      </c>
      <c r="P106" s="1015">
        <f t="shared" ref="P106" si="150">N106/M106</f>
        <v>0</v>
      </c>
    </row>
    <row r="107" spans="1:16" ht="15" customHeight="1">
      <c r="A107" s="1053"/>
      <c r="B107" s="1022"/>
      <c r="C107" s="146">
        <v>42095</v>
      </c>
      <c r="D107" s="147">
        <v>42369</v>
      </c>
      <c r="E107" s="116">
        <v>0</v>
      </c>
      <c r="F107" s="392"/>
      <c r="G107" s="583">
        <f>E107+F107+I106</f>
        <v>0.24104999999999999</v>
      </c>
      <c r="H107" s="176"/>
      <c r="I107" s="278">
        <f t="shared" si="144"/>
        <v>0.24104999999999999</v>
      </c>
      <c r="J107" s="288">
        <f t="shared" si="145"/>
        <v>0</v>
      </c>
      <c r="K107" s="1024"/>
      <c r="L107" s="1083"/>
      <c r="M107" s="1032"/>
      <c r="N107" s="931"/>
      <c r="O107" s="931"/>
      <c r="P107" s="1016"/>
    </row>
    <row r="108" spans="1:16" ht="15" customHeight="1">
      <c r="A108" s="1053"/>
      <c r="B108" s="1025" t="s">
        <v>79</v>
      </c>
      <c r="C108" s="142">
        <v>42005</v>
      </c>
      <c r="D108" s="143">
        <v>42094</v>
      </c>
      <c r="E108" s="155">
        <v>0</v>
      </c>
      <c r="F108" s="391">
        <f>0.24272</f>
        <v>0.24271999999999999</v>
      </c>
      <c r="G108" s="582">
        <f>E108+F108</f>
        <v>0.24271999999999999</v>
      </c>
      <c r="H108" s="341">
        <v>0</v>
      </c>
      <c r="I108" s="277">
        <f t="shared" si="144"/>
        <v>0.24271999999999999</v>
      </c>
      <c r="J108" s="287">
        <f t="shared" si="145"/>
        <v>0</v>
      </c>
      <c r="K108" s="1023">
        <f t="shared" ref="K108" si="151">E108+E109</f>
        <v>0</v>
      </c>
      <c r="L108" s="1082">
        <f t="shared" ref="L108" si="152">F108+F109</f>
        <v>0.24271999999999999</v>
      </c>
      <c r="M108" s="1038">
        <f t="shared" ref="M108" si="153">K108+L108</f>
        <v>0.24271999999999999</v>
      </c>
      <c r="N108" s="930">
        <f t="shared" ref="N108" si="154">H108+H109</f>
        <v>0</v>
      </c>
      <c r="O108" s="930">
        <f>M108-N108</f>
        <v>0.24271999999999999</v>
      </c>
      <c r="P108" s="1015">
        <f t="shared" ref="P108" si="155">N108/M108</f>
        <v>0</v>
      </c>
    </row>
    <row r="109" spans="1:16" ht="15" customHeight="1">
      <c r="A109" s="1053"/>
      <c r="B109" s="1018"/>
      <c r="C109" s="146">
        <v>42095</v>
      </c>
      <c r="D109" s="147">
        <v>42369</v>
      </c>
      <c r="E109" s="157">
        <v>0</v>
      </c>
      <c r="F109" s="392"/>
      <c r="G109" s="583">
        <f>E109+F109+I108</f>
        <v>0.24271999999999999</v>
      </c>
      <c r="H109" s="176"/>
      <c r="I109" s="278">
        <f t="shared" si="144"/>
        <v>0.24271999999999999</v>
      </c>
      <c r="J109" s="288">
        <f t="shared" si="145"/>
        <v>0</v>
      </c>
      <c r="K109" s="1024"/>
      <c r="L109" s="1083"/>
      <c r="M109" s="1032"/>
      <c r="N109" s="931"/>
      <c r="O109" s="931"/>
      <c r="P109" s="1016"/>
    </row>
    <row r="110" spans="1:16" ht="15" customHeight="1">
      <c r="A110" s="1053"/>
      <c r="B110" s="1017" t="s">
        <v>43</v>
      </c>
      <c r="C110" s="142">
        <v>42005</v>
      </c>
      <c r="D110" s="143">
        <v>42094</v>
      </c>
      <c r="E110" s="114">
        <v>0</v>
      </c>
      <c r="F110" s="391">
        <f>0.24272</f>
        <v>0.24271999999999999</v>
      </c>
      <c r="G110" s="582">
        <f>E110+F110</f>
        <v>0.24271999999999999</v>
      </c>
      <c r="H110" s="341"/>
      <c r="I110" s="277">
        <f t="shared" ref="I110:I111" si="156">G110-H110</f>
        <v>0.24271999999999999</v>
      </c>
      <c r="J110" s="580">
        <f t="shared" ref="J110:J111" si="157">H110/G110</f>
        <v>0</v>
      </c>
      <c r="K110" s="1023">
        <f t="shared" ref="K110" si="158">E110+E111</f>
        <v>0</v>
      </c>
      <c r="L110" s="1082">
        <f t="shared" ref="L110" si="159">F110+F111</f>
        <v>0.24271999999999999</v>
      </c>
      <c r="M110" s="1038">
        <f t="shared" ref="M110" si="160">K110+L110</f>
        <v>0.24271999999999999</v>
      </c>
      <c r="N110" s="930">
        <f t="shared" ref="N110" si="161">H110+H111</f>
        <v>0</v>
      </c>
      <c r="O110" s="930">
        <f>M110-N110</f>
        <v>0.24271999999999999</v>
      </c>
      <c r="P110" s="1015">
        <f t="shared" ref="P110" si="162">N110/M110</f>
        <v>0</v>
      </c>
    </row>
    <row r="111" spans="1:16" ht="15" customHeight="1">
      <c r="A111" s="1053"/>
      <c r="B111" s="1018"/>
      <c r="C111" s="146">
        <v>42095</v>
      </c>
      <c r="D111" s="147">
        <v>42369</v>
      </c>
      <c r="E111" s="116">
        <v>0</v>
      </c>
      <c r="F111" s="392"/>
      <c r="G111" s="583">
        <f>E111+F111+I110</f>
        <v>0.24271999999999999</v>
      </c>
      <c r="H111" s="176"/>
      <c r="I111" s="278">
        <f t="shared" si="156"/>
        <v>0.24271999999999999</v>
      </c>
      <c r="J111" s="581">
        <f t="shared" si="157"/>
        <v>0</v>
      </c>
      <c r="K111" s="1024"/>
      <c r="L111" s="1083"/>
      <c r="M111" s="1032"/>
      <c r="N111" s="931"/>
      <c r="O111" s="931"/>
      <c r="P111" s="1016"/>
    </row>
    <row r="112" spans="1:16" ht="15" customHeight="1">
      <c r="A112" s="1053"/>
      <c r="B112" s="1084" t="s">
        <v>71</v>
      </c>
      <c r="C112" s="142">
        <v>42005</v>
      </c>
      <c r="D112" s="143">
        <v>42094</v>
      </c>
      <c r="E112" s="114">
        <v>0</v>
      </c>
      <c r="F112" s="391"/>
      <c r="G112" s="582">
        <f>E112+F112</f>
        <v>0</v>
      </c>
      <c r="H112" s="341"/>
      <c r="I112" s="277">
        <f t="shared" ref="I112:I113" si="163">G112-H112</f>
        <v>0</v>
      </c>
      <c r="J112" s="622" t="e">
        <f t="shared" ref="J112:J113" si="164">H112/G112</f>
        <v>#DIV/0!</v>
      </c>
      <c r="K112" s="1023">
        <f t="shared" ref="K112" si="165">E112+E113</f>
        <v>0</v>
      </c>
      <c r="L112" s="1082">
        <f t="shared" ref="L112" si="166">F112+F113</f>
        <v>0</v>
      </c>
      <c r="M112" s="1038">
        <f t="shared" ref="M112" si="167">K112+L112</f>
        <v>0</v>
      </c>
      <c r="N112" s="930">
        <f t="shared" ref="N112" si="168">H112+H113</f>
        <v>0</v>
      </c>
      <c r="O112" s="930">
        <f>M112-N112</f>
        <v>0</v>
      </c>
      <c r="P112" s="1015" t="e">
        <f t="shared" ref="P112" si="169">N112/M112</f>
        <v>#DIV/0!</v>
      </c>
    </row>
    <row r="113" spans="1:16" ht="15" customHeight="1">
      <c r="A113" s="1053"/>
      <c r="B113" s="1085"/>
      <c r="C113" s="146">
        <v>42095</v>
      </c>
      <c r="D113" s="147">
        <v>42369</v>
      </c>
      <c r="E113" s="116">
        <v>0</v>
      </c>
      <c r="F113" s="392"/>
      <c r="G113" s="583">
        <f>E113+F113+I112</f>
        <v>0</v>
      </c>
      <c r="H113" s="176"/>
      <c r="I113" s="278">
        <f t="shared" si="163"/>
        <v>0</v>
      </c>
      <c r="J113" s="623" t="e">
        <f t="shared" si="164"/>
        <v>#DIV/0!</v>
      </c>
      <c r="K113" s="1024"/>
      <c r="L113" s="1083"/>
      <c r="M113" s="1032"/>
      <c r="N113" s="931"/>
      <c r="O113" s="931"/>
      <c r="P113" s="1016"/>
    </row>
    <row r="114" spans="1:16" ht="26.25" customHeight="1">
      <c r="A114" s="21"/>
      <c r="B114" s="21"/>
      <c r="C114" s="21"/>
      <c r="D114" s="148"/>
      <c r="E114" s="113"/>
      <c r="F114" s="21"/>
      <c r="G114" s="113"/>
      <c r="H114" s="174"/>
      <c r="I114" s="280"/>
      <c r="J114" s="21"/>
      <c r="K114" s="437"/>
      <c r="L114" s="437"/>
      <c r="M114" s="437"/>
      <c r="N114" s="437"/>
      <c r="O114" s="437"/>
      <c r="P114" s="21"/>
    </row>
    <row r="115" spans="1:16">
      <c r="A115" s="1091" t="s">
        <v>184</v>
      </c>
      <c r="B115" s="1099" t="s">
        <v>10</v>
      </c>
      <c r="C115" s="142">
        <v>42005</v>
      </c>
      <c r="D115" s="143">
        <v>42094</v>
      </c>
      <c r="E115" s="114">
        <v>2.4319999999999999</v>
      </c>
      <c r="F115" s="194">
        <f>-2.432</f>
        <v>-2.4319999999999999</v>
      </c>
      <c r="G115" s="114">
        <f>E115+F115</f>
        <v>0</v>
      </c>
      <c r="H115" s="175"/>
      <c r="I115" s="277">
        <f>G115-H115</f>
        <v>0</v>
      </c>
      <c r="J115" s="153" t="e">
        <f>H115/G115</f>
        <v>#DIV/0!</v>
      </c>
      <c r="K115" s="930">
        <f>E115+E116</f>
        <v>6.08</v>
      </c>
      <c r="L115" s="930">
        <f>F115+F116</f>
        <v>-6.08</v>
      </c>
      <c r="M115" s="930">
        <f>K115+L115</f>
        <v>0</v>
      </c>
      <c r="N115" s="930">
        <f>H115+H116</f>
        <v>0</v>
      </c>
      <c r="O115" s="930">
        <f>M115-N115</f>
        <v>0</v>
      </c>
      <c r="P115" s="1015" t="e">
        <f>N115/M115</f>
        <v>#DIV/0!</v>
      </c>
    </row>
    <row r="116" spans="1:16">
      <c r="A116" s="1092"/>
      <c r="B116" s="1100"/>
      <c r="C116" s="146">
        <v>42095</v>
      </c>
      <c r="D116" s="147">
        <v>42369</v>
      </c>
      <c r="E116" s="116">
        <v>3.6480000000000001</v>
      </c>
      <c r="F116" s="263">
        <f>-3.648</f>
        <v>-3.6480000000000001</v>
      </c>
      <c r="G116" s="116">
        <f>E116+F116+I115</f>
        <v>0</v>
      </c>
      <c r="H116" s="176"/>
      <c r="I116" s="278">
        <f t="shared" ref="I116:I124" si="170">G116-H116</f>
        <v>0</v>
      </c>
      <c r="J116" s="154" t="e">
        <f t="shared" ref="J116:J124" si="171">H116/G116</f>
        <v>#DIV/0!</v>
      </c>
      <c r="K116" s="931"/>
      <c r="L116" s="931"/>
      <c r="M116" s="931"/>
      <c r="N116" s="931"/>
      <c r="O116" s="931"/>
      <c r="P116" s="1016"/>
    </row>
    <row r="117" spans="1:16">
      <c r="A117" s="1092"/>
      <c r="B117" s="1084" t="s">
        <v>71</v>
      </c>
      <c r="C117" s="142">
        <v>42005</v>
      </c>
      <c r="D117" s="143">
        <v>42094</v>
      </c>
      <c r="E117" s="114">
        <v>4988.027</v>
      </c>
      <c r="F117" s="191">
        <f>2031.338+2000+350.225</f>
        <v>4381.5630000000001</v>
      </c>
      <c r="G117" s="114">
        <f>E117+F117</f>
        <v>9369.59</v>
      </c>
      <c r="H117" s="341"/>
      <c r="I117" s="277">
        <f t="shared" si="170"/>
        <v>9369.59</v>
      </c>
      <c r="J117" s="153">
        <f t="shared" si="171"/>
        <v>0</v>
      </c>
      <c r="K117" s="930">
        <f t="shared" ref="K117" si="172">E117+E118</f>
        <v>12470.455</v>
      </c>
      <c r="L117" s="1013">
        <f t="shared" ref="L117" si="173">F117+F118</f>
        <v>9073.2250000000004</v>
      </c>
      <c r="M117" s="930">
        <f t="shared" ref="M117" si="174">K117+L117</f>
        <v>21543.68</v>
      </c>
      <c r="N117" s="930">
        <f>H117+H118</f>
        <v>18352.112000000001</v>
      </c>
      <c r="O117" s="930">
        <f>M117-N117</f>
        <v>3191.5679999999993</v>
      </c>
      <c r="P117" s="1019">
        <f t="shared" ref="P117" si="175">N117/M117</f>
        <v>0.8518559503297487</v>
      </c>
    </row>
    <row r="118" spans="1:16">
      <c r="A118" s="1092"/>
      <c r="B118" s="1085"/>
      <c r="C118" s="146">
        <v>42095</v>
      </c>
      <c r="D118" s="147">
        <v>42369</v>
      </c>
      <c r="E118" s="116">
        <v>7482.4279999999999</v>
      </c>
      <c r="F118" s="264">
        <f>2968.662+172+228+131+64+1128</f>
        <v>4691.6620000000003</v>
      </c>
      <c r="G118" s="116">
        <f>E118+F118+I117</f>
        <v>21543.68</v>
      </c>
      <c r="H118" s="176">
        <v>18352.112000000001</v>
      </c>
      <c r="I118" s="278">
        <f t="shared" si="170"/>
        <v>3191.5679999999993</v>
      </c>
      <c r="J118" s="154">
        <f t="shared" si="171"/>
        <v>0.8518559503297487</v>
      </c>
      <c r="K118" s="931"/>
      <c r="L118" s="1014"/>
      <c r="M118" s="931"/>
      <c r="N118" s="931"/>
      <c r="O118" s="931"/>
      <c r="P118" s="1020"/>
    </row>
    <row r="119" spans="1:16">
      <c r="A119" s="1092"/>
      <c r="B119" s="1084" t="s">
        <v>64</v>
      </c>
      <c r="C119" s="142">
        <v>42005</v>
      </c>
      <c r="D119" s="143">
        <v>42094</v>
      </c>
      <c r="E119" s="114">
        <v>38.018000000000001</v>
      </c>
      <c r="F119" s="191"/>
      <c r="G119" s="114">
        <f>E119+F119</f>
        <v>38.018000000000001</v>
      </c>
      <c r="H119" s="172">
        <v>3.4460000000000002</v>
      </c>
      <c r="I119" s="277">
        <f t="shared" si="170"/>
        <v>34.572000000000003</v>
      </c>
      <c r="J119" s="153">
        <f t="shared" si="171"/>
        <v>9.0641275185438477E-2</v>
      </c>
      <c r="K119" s="930">
        <f t="shared" ref="K119" si="176">E119+E120</f>
        <v>95.048000000000002</v>
      </c>
      <c r="L119" s="930">
        <f t="shared" ref="L119" si="177">F119+F120</f>
        <v>1040.4860000000001</v>
      </c>
      <c r="M119" s="930">
        <f t="shared" ref="M119" si="178">K119+L119</f>
        <v>1135.5340000000001</v>
      </c>
      <c r="N119" s="930">
        <f>H119+H120</f>
        <v>1135.4019999999998</v>
      </c>
      <c r="O119" s="930">
        <f>M119-N119</f>
        <v>0.13200000000028922</v>
      </c>
      <c r="P119" s="1019">
        <f>N119/M119</f>
        <v>0.99988375513194649</v>
      </c>
    </row>
    <row r="120" spans="1:16">
      <c r="A120" s="1092"/>
      <c r="B120" s="1085"/>
      <c r="C120" s="146">
        <v>42095</v>
      </c>
      <c r="D120" s="147">
        <v>42369</v>
      </c>
      <c r="E120" s="116">
        <v>57.03</v>
      </c>
      <c r="F120" s="264">
        <f>1040.486</f>
        <v>1040.4860000000001</v>
      </c>
      <c r="G120" s="116">
        <f>E120+F120+I119</f>
        <v>1132.0880000000002</v>
      </c>
      <c r="H120" s="261">
        <v>1131.9559999999999</v>
      </c>
      <c r="I120" s="278">
        <f t="shared" si="170"/>
        <v>0.13200000000028922</v>
      </c>
      <c r="J120" s="154">
        <f t="shared" si="171"/>
        <v>0.9998834012903588</v>
      </c>
      <c r="K120" s="931"/>
      <c r="L120" s="931"/>
      <c r="M120" s="931"/>
      <c r="N120" s="931"/>
      <c r="O120" s="931"/>
      <c r="P120" s="1020"/>
    </row>
    <row r="121" spans="1:16">
      <c r="A121" s="1092"/>
      <c r="B121" s="1084" t="s">
        <v>276</v>
      </c>
      <c r="C121" s="142">
        <v>42005</v>
      </c>
      <c r="D121" s="143">
        <v>42094</v>
      </c>
      <c r="E121" s="114">
        <v>1252.973</v>
      </c>
      <c r="F121" s="194">
        <f>-0.4</f>
        <v>-0.4</v>
      </c>
      <c r="G121" s="114">
        <f>E121+F121</f>
        <v>1252.5729999999999</v>
      </c>
      <c r="H121" s="175">
        <v>8.8999999999999996E-2</v>
      </c>
      <c r="I121" s="277">
        <f t="shared" si="170"/>
        <v>1252.4839999999999</v>
      </c>
      <c r="J121" s="153">
        <f t="shared" si="171"/>
        <v>7.1053742975459312E-5</v>
      </c>
      <c r="K121" s="930">
        <f t="shared" ref="K121" si="179">E121+E122</f>
        <v>3132.5299999999997</v>
      </c>
      <c r="L121" s="930">
        <f t="shared" ref="L121" si="180">F121+F122</f>
        <v>-18.265475800000011</v>
      </c>
      <c r="M121" s="930">
        <f t="shared" ref="M121" si="181">K121+L121</f>
        <v>3114.2645241999999</v>
      </c>
      <c r="N121" s="930">
        <f>H121+H122</f>
        <v>3108.65</v>
      </c>
      <c r="O121" s="930">
        <f>M121-N121</f>
        <v>5.6145241999997779</v>
      </c>
      <c r="P121" s="1028">
        <f t="shared" ref="P121" si="182">N121/M121</f>
        <v>0.99819715886162819</v>
      </c>
    </row>
    <row r="122" spans="1:16">
      <c r="A122" s="1092"/>
      <c r="B122" s="1085"/>
      <c r="C122" s="146">
        <v>42095</v>
      </c>
      <c r="D122" s="147">
        <v>42369</v>
      </c>
      <c r="E122" s="116">
        <v>1879.557</v>
      </c>
      <c r="F122" s="263">
        <f>87.222-105.0874758</f>
        <v>-17.865475800000013</v>
      </c>
      <c r="G122" s="116">
        <f>E122+F122+I121</f>
        <v>3114.1755241999999</v>
      </c>
      <c r="H122" s="176">
        <v>3108.5610000000001</v>
      </c>
      <c r="I122" s="278">
        <f t="shared" si="170"/>
        <v>5.6145241999997779</v>
      </c>
      <c r="J122" s="154">
        <f t="shared" si="171"/>
        <v>0.99819710733824418</v>
      </c>
      <c r="K122" s="931"/>
      <c r="L122" s="931"/>
      <c r="M122" s="931"/>
      <c r="N122" s="931"/>
      <c r="O122" s="931"/>
      <c r="P122" s="1029"/>
    </row>
    <row r="123" spans="1:16">
      <c r="A123" s="1092"/>
      <c r="B123" s="1084" t="s">
        <v>73</v>
      </c>
      <c r="C123" s="142">
        <v>42005</v>
      </c>
      <c r="D123" s="143">
        <v>42094</v>
      </c>
      <c r="E123" s="114">
        <v>145.52099999999999</v>
      </c>
      <c r="F123" s="191">
        <f>375</f>
        <v>375</v>
      </c>
      <c r="G123" s="114">
        <f>E123+F123</f>
        <v>520.52099999999996</v>
      </c>
      <c r="H123" s="341">
        <v>97.143000000000001</v>
      </c>
      <c r="I123" s="277">
        <f t="shared" si="170"/>
        <v>423.37799999999993</v>
      </c>
      <c r="J123" s="153">
        <f t="shared" si="171"/>
        <v>0.18662647616522679</v>
      </c>
      <c r="K123" s="930">
        <f t="shared" ref="K123" si="183">E123+E124</f>
        <v>363.81299999999999</v>
      </c>
      <c r="L123" s="930">
        <f t="shared" ref="L123" si="184">F123+F124</f>
        <v>956.00275579999993</v>
      </c>
      <c r="M123" s="930">
        <f t="shared" ref="M123" si="185">K123+L123</f>
        <v>1319.8157557999998</v>
      </c>
      <c r="N123" s="930">
        <f>H123+H124</f>
        <v>1302.8530000000001</v>
      </c>
      <c r="O123" s="930">
        <f>M123-N123</f>
        <v>16.962755799999741</v>
      </c>
      <c r="P123" s="1028">
        <f t="shared" ref="P123" si="186">N123/M123</f>
        <v>0.98714763350455847</v>
      </c>
    </row>
    <row r="124" spans="1:16">
      <c r="A124" s="1092"/>
      <c r="B124" s="1085"/>
      <c r="C124" s="146">
        <v>42095</v>
      </c>
      <c r="D124" s="147">
        <v>42369</v>
      </c>
      <c r="E124" s="116">
        <v>218.292</v>
      </c>
      <c r="F124" s="264">
        <f>581+105.0874758-105.08472</f>
        <v>581.00275579999993</v>
      </c>
      <c r="G124" s="116">
        <f>E124+F124+I123</f>
        <v>1222.6727557999998</v>
      </c>
      <c r="H124" s="261">
        <v>1205.71</v>
      </c>
      <c r="I124" s="278">
        <f t="shared" si="170"/>
        <v>16.962755799999741</v>
      </c>
      <c r="J124" s="154">
        <f t="shared" si="171"/>
        <v>0.9861264956469068</v>
      </c>
      <c r="K124" s="931"/>
      <c r="L124" s="931"/>
      <c r="M124" s="931"/>
      <c r="N124" s="931"/>
      <c r="O124" s="931"/>
      <c r="P124" s="1029"/>
    </row>
    <row r="125" spans="1:16" ht="15" customHeight="1">
      <c r="A125" s="1092"/>
      <c r="B125" s="1084" t="s">
        <v>40</v>
      </c>
      <c r="C125" s="142">
        <v>42005</v>
      </c>
      <c r="D125" s="143">
        <v>42094</v>
      </c>
      <c r="E125" s="114">
        <v>0</v>
      </c>
      <c r="F125" s="191">
        <f>0.4</f>
        <v>0.4</v>
      </c>
      <c r="G125" s="114">
        <f>E125+F125</f>
        <v>0.4</v>
      </c>
      <c r="H125" s="175"/>
      <c r="I125" s="277">
        <f t="shared" ref="I125:I130" si="187">G125-H125</f>
        <v>0.4</v>
      </c>
      <c r="J125" s="354">
        <f t="shared" ref="J125:J130" si="188">H125/G125</f>
        <v>0</v>
      </c>
      <c r="K125" s="1023">
        <f>E125+E126+F125+F126</f>
        <v>0.4</v>
      </c>
      <c r="L125" s="930">
        <v>0</v>
      </c>
      <c r="M125" s="930">
        <f>K125+L125</f>
        <v>0.4</v>
      </c>
      <c r="N125" s="930">
        <f>H125+H126</f>
        <v>0</v>
      </c>
      <c r="O125" s="930">
        <f>K125-N125</f>
        <v>0.4</v>
      </c>
      <c r="P125" s="1015">
        <f t="shared" ref="P125" si="189">N125/M125</f>
        <v>0</v>
      </c>
    </row>
    <row r="126" spans="1:16" ht="15" customHeight="1">
      <c r="A126" s="1092"/>
      <c r="B126" s="1101"/>
      <c r="C126" s="146">
        <v>42095</v>
      </c>
      <c r="D126" s="147">
        <v>42369</v>
      </c>
      <c r="E126" s="113">
        <v>0</v>
      </c>
      <c r="F126" s="113"/>
      <c r="G126" s="113">
        <f>E126+F126+I125</f>
        <v>0.4</v>
      </c>
      <c r="H126" s="366"/>
      <c r="I126" s="280">
        <f t="shared" si="187"/>
        <v>0.4</v>
      </c>
      <c r="J126" s="365">
        <f t="shared" si="188"/>
        <v>0</v>
      </c>
      <c r="K126" s="1098"/>
      <c r="L126" s="931"/>
      <c r="M126" s="931"/>
      <c r="N126" s="1030"/>
      <c r="O126" s="1030"/>
      <c r="P126" s="1016"/>
    </row>
    <row r="127" spans="1:16" ht="15" customHeight="1">
      <c r="A127" s="1092"/>
      <c r="B127" s="1041" t="s">
        <v>75</v>
      </c>
      <c r="C127" s="142">
        <v>42005</v>
      </c>
      <c r="D127" s="143">
        <v>42094</v>
      </c>
      <c r="E127" s="114">
        <v>0</v>
      </c>
      <c r="F127" s="191"/>
      <c r="G127" s="114">
        <f>E127+F127</f>
        <v>0</v>
      </c>
      <c r="H127" s="175"/>
      <c r="I127" s="277">
        <f t="shared" ref="I127:I128" si="190">G127-H127</f>
        <v>0</v>
      </c>
      <c r="J127" s="362" t="e">
        <f t="shared" ref="J127:J128" si="191">H127/G127</f>
        <v>#DIV/0!</v>
      </c>
      <c r="K127" s="1023">
        <f>E127+E128+F127+F128</f>
        <v>0</v>
      </c>
      <c r="L127" s="525">
        <v>0</v>
      </c>
      <c r="M127" s="525">
        <f>K127+L127</f>
        <v>0</v>
      </c>
      <c r="N127" s="930">
        <f>H127+H128</f>
        <v>0</v>
      </c>
      <c r="O127" s="930">
        <f>K127-N127</f>
        <v>0</v>
      </c>
      <c r="P127" s="1015" t="e">
        <f t="shared" ref="P127" si="192">N127/M127</f>
        <v>#DIV/0!</v>
      </c>
    </row>
    <row r="128" spans="1:16" ht="15" customHeight="1">
      <c r="A128" s="1092"/>
      <c r="B128" s="1081"/>
      <c r="C128" s="146">
        <v>42095</v>
      </c>
      <c r="D128" s="147">
        <v>42369</v>
      </c>
      <c r="E128" s="116">
        <v>0</v>
      </c>
      <c r="F128" s="264">
        <f>6.080104712-6.080104712</f>
        <v>0</v>
      </c>
      <c r="G128" s="434">
        <f>E128+F128+I127</f>
        <v>0</v>
      </c>
      <c r="H128" s="173"/>
      <c r="I128" s="278">
        <f t="shared" si="190"/>
        <v>0</v>
      </c>
      <c r="J128" s="363" t="e">
        <f t="shared" si="191"/>
        <v>#DIV/0!</v>
      </c>
      <c r="K128" s="1024"/>
      <c r="L128" s="526"/>
      <c r="M128" s="526"/>
      <c r="N128" s="931"/>
      <c r="O128" s="931"/>
      <c r="P128" s="1016"/>
    </row>
    <row r="129" spans="1:20" ht="15" customHeight="1">
      <c r="A129" s="1092"/>
      <c r="B129" s="1094"/>
      <c r="C129" s="142">
        <v>42005</v>
      </c>
      <c r="D129" s="143">
        <v>42094</v>
      </c>
      <c r="E129" s="114"/>
      <c r="F129" s="191"/>
      <c r="G129" s="159">
        <f>E129+F129</f>
        <v>0</v>
      </c>
      <c r="H129" s="175"/>
      <c r="I129" s="277">
        <f t="shared" si="187"/>
        <v>0</v>
      </c>
      <c r="J129" s="367" t="e">
        <f t="shared" si="188"/>
        <v>#DIV/0!</v>
      </c>
      <c r="K129" s="1023"/>
      <c r="L129" s="525"/>
      <c r="M129" s="525"/>
      <c r="N129" s="930"/>
      <c r="O129" s="930"/>
      <c r="P129" s="1015" t="e">
        <f t="shared" ref="P129" si="193">N129/M129</f>
        <v>#DIV/0!</v>
      </c>
    </row>
    <row r="130" spans="1:20" ht="15" customHeight="1">
      <c r="A130" s="1093"/>
      <c r="B130" s="1095"/>
      <c r="C130" s="146">
        <v>42095</v>
      </c>
      <c r="D130" s="147">
        <v>42369</v>
      </c>
      <c r="E130" s="116"/>
      <c r="F130" s="264"/>
      <c r="G130" s="160">
        <f>E130+F130+I129</f>
        <v>0</v>
      </c>
      <c r="H130" s="173"/>
      <c r="I130" s="278">
        <f t="shared" si="187"/>
        <v>0</v>
      </c>
      <c r="J130" s="368" t="e">
        <f t="shared" si="188"/>
        <v>#DIV/0!</v>
      </c>
      <c r="K130" s="1024"/>
      <c r="L130" s="526"/>
      <c r="M130" s="526"/>
      <c r="N130" s="931"/>
      <c r="O130" s="931"/>
      <c r="P130" s="1016"/>
    </row>
    <row r="131" spans="1:20" ht="25.5" customHeight="1">
      <c r="A131" s="81"/>
      <c r="B131" s="21"/>
      <c r="C131" s="21"/>
      <c r="D131" s="148"/>
      <c r="E131" s="113"/>
      <c r="F131" s="21"/>
      <c r="G131" s="113"/>
      <c r="H131" s="174"/>
      <c r="I131" s="279"/>
      <c r="J131" s="34"/>
      <c r="K131" s="460"/>
      <c r="L131" s="460"/>
      <c r="M131" s="460"/>
      <c r="N131" s="460"/>
      <c r="O131" s="460"/>
      <c r="P131" s="344"/>
    </row>
    <row r="132" spans="1:20" ht="15" customHeight="1">
      <c r="A132" s="1011" t="s">
        <v>48</v>
      </c>
      <c r="B132" s="1017" t="s">
        <v>56</v>
      </c>
      <c r="C132" s="142">
        <v>42005</v>
      </c>
      <c r="D132" s="143">
        <v>42216</v>
      </c>
      <c r="E132" s="114">
        <v>86.138999999999996</v>
      </c>
      <c r="F132" s="194">
        <f>-86.139</f>
        <v>-86.138999999999996</v>
      </c>
      <c r="G132" s="115">
        <f>E132+F132</f>
        <v>0</v>
      </c>
      <c r="H132" s="161"/>
      <c r="I132" s="265">
        <f>G132-H132</f>
        <v>0</v>
      </c>
      <c r="J132" s="167" t="e">
        <f>H132/G132</f>
        <v>#DIV/0!</v>
      </c>
      <c r="K132" s="930">
        <f>E132+E133</f>
        <v>114.852</v>
      </c>
      <c r="L132" s="930">
        <f>F132+F133</f>
        <v>-113.07499999999999</v>
      </c>
      <c r="M132" s="930">
        <f>K132+L132</f>
        <v>1.7770000000000152</v>
      </c>
      <c r="N132" s="930">
        <f>H132+H133</f>
        <v>0.19600000000000001</v>
      </c>
      <c r="O132" s="930">
        <f>M132-N132</f>
        <v>1.5810000000000153</v>
      </c>
      <c r="P132" s="1015">
        <f>N132/M132</f>
        <v>0.11029825548677452</v>
      </c>
    </row>
    <row r="133" spans="1:20" ht="15" customHeight="1">
      <c r="A133" s="1012"/>
      <c r="B133" s="1018"/>
      <c r="C133" s="146">
        <v>42217</v>
      </c>
      <c r="D133" s="147">
        <v>42369</v>
      </c>
      <c r="E133" s="116">
        <v>28.713000000000001</v>
      </c>
      <c r="F133" s="263">
        <f>-26.936</f>
        <v>-26.936</v>
      </c>
      <c r="G133" s="117">
        <f>E133+F133+I132</f>
        <v>1.777000000000001</v>
      </c>
      <c r="H133" s="162">
        <v>0.19600000000000001</v>
      </c>
      <c r="I133" s="266">
        <f t="shared" ref="I133:I169" si="194">G133-H133</f>
        <v>1.5810000000000011</v>
      </c>
      <c r="J133" s="168">
        <f t="shared" ref="J133:J171" si="195">H133/G133</f>
        <v>0.11029825548677541</v>
      </c>
      <c r="K133" s="931"/>
      <c r="L133" s="931"/>
      <c r="M133" s="931"/>
      <c r="N133" s="931"/>
      <c r="O133" s="931"/>
      <c r="P133" s="1016"/>
    </row>
    <row r="134" spans="1:20" ht="15" customHeight="1">
      <c r="A134" s="1012"/>
      <c r="B134" s="1017" t="s">
        <v>78</v>
      </c>
      <c r="C134" s="142">
        <v>42005</v>
      </c>
      <c r="D134" s="143">
        <v>42216</v>
      </c>
      <c r="E134" s="114">
        <v>17.777000000000001</v>
      </c>
      <c r="F134" s="194">
        <f>-17.777</f>
        <v>-17.777000000000001</v>
      </c>
      <c r="G134" s="115">
        <f>E134+F134</f>
        <v>0</v>
      </c>
      <c r="H134" s="343"/>
      <c r="I134" s="265">
        <f t="shared" si="194"/>
        <v>0</v>
      </c>
      <c r="J134" s="167" t="e">
        <f t="shared" si="195"/>
        <v>#DIV/0!</v>
      </c>
      <c r="K134" s="930">
        <f>E134+E135</f>
        <v>23.703000000000003</v>
      </c>
      <c r="L134" s="930">
        <f t="shared" ref="L134" si="196">F134+F135</f>
        <v>-23.703000000000003</v>
      </c>
      <c r="M134" s="930">
        <f t="shared" ref="M134" si="197">K134+L134</f>
        <v>0</v>
      </c>
      <c r="N134" s="930">
        <f>H134+H135</f>
        <v>0</v>
      </c>
      <c r="O134" s="930">
        <f>M134-N134</f>
        <v>0</v>
      </c>
      <c r="P134" s="1015" t="e">
        <f t="shared" ref="P134" si="198">N134/M134</f>
        <v>#DIV/0!</v>
      </c>
    </row>
    <row r="135" spans="1:20" ht="15" customHeight="1">
      <c r="A135" s="1012"/>
      <c r="B135" s="1018"/>
      <c r="C135" s="146">
        <v>42217</v>
      </c>
      <c r="D135" s="147">
        <v>42369</v>
      </c>
      <c r="E135" s="116">
        <v>5.9260000000000002</v>
      </c>
      <c r="F135" s="263">
        <f>-5.926</f>
        <v>-5.9260000000000002</v>
      </c>
      <c r="G135" s="117">
        <f>E135+F135+I134</f>
        <v>0</v>
      </c>
      <c r="H135" s="343"/>
      <c r="I135" s="266">
        <f t="shared" si="194"/>
        <v>0</v>
      </c>
      <c r="J135" s="168" t="e">
        <f t="shared" si="195"/>
        <v>#DIV/0!</v>
      </c>
      <c r="K135" s="931"/>
      <c r="L135" s="931"/>
      <c r="M135" s="931"/>
      <c r="N135" s="931"/>
      <c r="O135" s="931"/>
      <c r="P135" s="1016"/>
    </row>
    <row r="136" spans="1:20" ht="15" customHeight="1">
      <c r="A136" s="1012"/>
      <c r="B136" s="1017" t="s">
        <v>33</v>
      </c>
      <c r="C136" s="142">
        <v>42005</v>
      </c>
      <c r="D136" s="143">
        <v>42216</v>
      </c>
      <c r="E136" s="114">
        <v>0.75900000000000001</v>
      </c>
      <c r="F136" s="194"/>
      <c r="G136" s="115">
        <f>E136+F136</f>
        <v>0.75900000000000001</v>
      </c>
      <c r="H136" s="161"/>
      <c r="I136" s="265">
        <f t="shared" si="194"/>
        <v>0.75900000000000001</v>
      </c>
      <c r="J136" s="167">
        <f t="shared" si="195"/>
        <v>0</v>
      </c>
      <c r="K136" s="930">
        <f t="shared" ref="K136" si="199">E136+E137</f>
        <v>1.012</v>
      </c>
      <c r="L136" s="930">
        <f t="shared" ref="L136" si="200">F136+F137</f>
        <v>0</v>
      </c>
      <c r="M136" s="930">
        <f t="shared" ref="M136" si="201">K136+L136</f>
        <v>1.012</v>
      </c>
      <c r="N136" s="930">
        <f>H136+H137</f>
        <v>0.19600000000000001</v>
      </c>
      <c r="O136" s="930">
        <f>M136-N136</f>
        <v>0.81600000000000006</v>
      </c>
      <c r="P136" s="1015">
        <f t="shared" ref="P136" si="202">N136/M136</f>
        <v>0.19367588932806323</v>
      </c>
    </row>
    <row r="137" spans="1:20" ht="15" customHeight="1">
      <c r="A137" s="1012"/>
      <c r="B137" s="1018"/>
      <c r="C137" s="146">
        <v>42217</v>
      </c>
      <c r="D137" s="147">
        <v>42369</v>
      </c>
      <c r="E137" s="116">
        <v>0.253</v>
      </c>
      <c r="F137" s="116"/>
      <c r="G137" s="117">
        <f>E137+F137+I136</f>
        <v>1.012</v>
      </c>
      <c r="H137" s="162">
        <v>0.19600000000000001</v>
      </c>
      <c r="I137" s="266">
        <f t="shared" si="194"/>
        <v>0.81600000000000006</v>
      </c>
      <c r="J137" s="168">
        <f t="shared" si="195"/>
        <v>0.19367588932806323</v>
      </c>
      <c r="K137" s="931"/>
      <c r="L137" s="931"/>
      <c r="M137" s="931"/>
      <c r="N137" s="931"/>
      <c r="O137" s="931"/>
      <c r="P137" s="1016"/>
    </row>
    <row r="138" spans="1:20" ht="15" customHeight="1">
      <c r="A138" s="1012"/>
      <c r="B138" s="1025" t="s">
        <v>76</v>
      </c>
      <c r="C138" s="142">
        <v>42005</v>
      </c>
      <c r="D138" s="143">
        <v>42216</v>
      </c>
      <c r="E138" s="155">
        <f>3000.857</f>
        <v>3000.857</v>
      </c>
      <c r="F138" s="372">
        <f xml:space="preserve"> -3000.857+0.13542</f>
        <v>-3000.7215799999999</v>
      </c>
      <c r="G138" s="156">
        <f>E138+F138</f>
        <v>0.13542000000006738</v>
      </c>
      <c r="I138" s="267">
        <f>G138-H138</f>
        <v>0.13542000000006738</v>
      </c>
      <c r="J138" s="169">
        <f>H138/G138</f>
        <v>0</v>
      </c>
      <c r="K138" s="930">
        <f t="shared" ref="K138" si="203">E138+E139</f>
        <v>4001.143</v>
      </c>
      <c r="L138" s="930">
        <f t="shared" ref="L138" si="204">F138+F139</f>
        <v>-3000.8963479999998</v>
      </c>
      <c r="M138" s="930">
        <f t="shared" ref="M138" si="205">K138+L138</f>
        <v>1000.2466520000003</v>
      </c>
      <c r="N138" s="930">
        <f>H138+H139</f>
        <v>297.09100000000001</v>
      </c>
      <c r="O138" s="930">
        <f>M138-N138</f>
        <v>703.15565200000026</v>
      </c>
      <c r="P138" s="1015">
        <f t="shared" ref="P138" si="206">N138/M138</f>
        <v>0.29701773998039827</v>
      </c>
    </row>
    <row r="139" spans="1:20" ht="15" customHeight="1">
      <c r="A139" s="1012"/>
      <c r="B139" s="1018"/>
      <c r="C139" s="146">
        <v>42217</v>
      </c>
      <c r="D139" s="147">
        <v>42369</v>
      </c>
      <c r="E139" s="157">
        <f>1000.286</f>
        <v>1000.2859999999999</v>
      </c>
      <c r="F139" s="375">
        <f>-1000.286+1000.111232</f>
        <v>-0.17476799999997183</v>
      </c>
      <c r="G139" s="158">
        <f>E139+F139+I138</f>
        <v>1000.246652</v>
      </c>
      <c r="H139" s="840">
        <v>297.09100000000001</v>
      </c>
      <c r="I139" s="267">
        <f t="shared" si="194"/>
        <v>703.15565200000003</v>
      </c>
      <c r="J139" s="169">
        <f t="shared" si="195"/>
        <v>0.29701773998039838</v>
      </c>
      <c r="K139" s="931"/>
      <c r="L139" s="931"/>
      <c r="M139" s="931"/>
      <c r="N139" s="931"/>
      <c r="O139" s="931"/>
      <c r="P139" s="1016"/>
    </row>
    <row r="140" spans="1:20" ht="15" customHeight="1">
      <c r="A140" s="1012"/>
      <c r="B140" s="1017" t="s">
        <v>77</v>
      </c>
      <c r="C140" s="142">
        <v>42005</v>
      </c>
      <c r="D140" s="143">
        <v>42216</v>
      </c>
      <c r="E140" s="114">
        <f>3153.049</f>
        <v>3153.049</v>
      </c>
      <c r="F140" s="372">
        <f>-3153.049+0.13542</f>
        <v>-3152.9135799999999</v>
      </c>
      <c r="G140" s="115">
        <f>E140+F140</f>
        <v>0.13542000000006738</v>
      </c>
      <c r="H140" s="161"/>
      <c r="I140" s="265">
        <f t="shared" si="194"/>
        <v>0.13542000000006738</v>
      </c>
      <c r="J140" s="167">
        <f t="shared" si="195"/>
        <v>0</v>
      </c>
      <c r="K140" s="930">
        <f t="shared" ref="K140" si="207">E140+E141</f>
        <v>4204.0650000000005</v>
      </c>
      <c r="L140" s="930">
        <f t="shared" ref="L140" si="208">F140+F141</f>
        <v>-4203.92958</v>
      </c>
      <c r="M140" s="930">
        <f t="shared" ref="M140" si="209">K140+L140</f>
        <v>0.13542000000052212</v>
      </c>
      <c r="N140" s="930">
        <f>H140+H141</f>
        <v>0</v>
      </c>
      <c r="O140" s="930">
        <f>M140-N140</f>
        <v>0.13542000000052212</v>
      </c>
      <c r="P140" s="1015">
        <f t="shared" ref="P140" si="210">N140/M140</f>
        <v>0</v>
      </c>
    </row>
    <row r="141" spans="1:20" ht="15" customHeight="1">
      <c r="A141" s="1012"/>
      <c r="B141" s="1018"/>
      <c r="C141" s="146">
        <v>42217</v>
      </c>
      <c r="D141" s="147">
        <v>42369</v>
      </c>
      <c r="E141" s="116">
        <f>1051.016</f>
        <v>1051.0160000000001</v>
      </c>
      <c r="F141" s="375">
        <f>-1051.016</f>
        <v>-1051.0160000000001</v>
      </c>
      <c r="G141" s="117">
        <f>E141+F141+I140</f>
        <v>0.13542000000006738</v>
      </c>
      <c r="H141" s="162"/>
      <c r="I141" s="266">
        <f>G141-H141</f>
        <v>0.13542000000006738</v>
      </c>
      <c r="J141" s="168">
        <f t="shared" si="195"/>
        <v>0</v>
      </c>
      <c r="K141" s="931"/>
      <c r="L141" s="931"/>
      <c r="M141" s="931"/>
      <c r="N141" s="931"/>
      <c r="O141" s="931"/>
      <c r="P141" s="1016"/>
    </row>
    <row r="142" spans="1:20" ht="15" customHeight="1">
      <c r="A142" s="1012"/>
      <c r="B142" s="1025" t="s">
        <v>195</v>
      </c>
      <c r="C142" s="142">
        <v>42005</v>
      </c>
      <c r="D142" s="143">
        <v>42216</v>
      </c>
      <c r="E142" s="113">
        <v>67.63</v>
      </c>
      <c r="F142" s="195">
        <f>175.427+113.075+17.777</f>
        <v>306.279</v>
      </c>
      <c r="G142" s="94">
        <f>E142+F142</f>
        <v>373.90899999999999</v>
      </c>
      <c r="H142" s="343">
        <v>230.53100000000001</v>
      </c>
      <c r="I142" s="267">
        <f t="shared" si="194"/>
        <v>143.37799999999999</v>
      </c>
      <c r="J142" s="169">
        <f t="shared" si="195"/>
        <v>0.61654306261684</v>
      </c>
      <c r="K142" s="930">
        <f>E142+E143</f>
        <v>90.173000000000002</v>
      </c>
      <c r="L142" s="930">
        <f t="shared" ref="L142" si="211">F142+F143</f>
        <v>370.68</v>
      </c>
      <c r="M142" s="930">
        <f t="shared" ref="M142" si="212">K142+L142</f>
        <v>460.85300000000001</v>
      </c>
      <c r="N142" s="930">
        <f>H142+H143</f>
        <v>456.39</v>
      </c>
      <c r="O142" s="930">
        <f>M142-N142</f>
        <v>4.4630000000000223</v>
      </c>
      <c r="P142" s="1019">
        <f t="shared" ref="P142" si="213">N142/M142</f>
        <v>0.99031578399185849</v>
      </c>
      <c r="R142" s="682">
        <v>196.614</v>
      </c>
      <c r="S142">
        <v>33.917000000000002</v>
      </c>
      <c r="T142">
        <f>SUM(R142:S142)</f>
        <v>230.53100000000001</v>
      </c>
    </row>
    <row r="143" spans="1:20" ht="15" customHeight="1">
      <c r="A143" s="1012"/>
      <c r="B143" s="1018"/>
      <c r="C143" s="146">
        <v>42217</v>
      </c>
      <c r="D143" s="147">
        <v>42369</v>
      </c>
      <c r="E143" s="113">
        <v>22.542999999999999</v>
      </c>
      <c r="F143" s="195">
        <f>49.132+5.926+9.343</f>
        <v>64.400999999999996</v>
      </c>
      <c r="G143" s="94">
        <f>E143+F143+I142</f>
        <v>230.32199999999997</v>
      </c>
      <c r="H143" s="343">
        <v>225.85900000000001</v>
      </c>
      <c r="I143" s="267">
        <f t="shared" si="194"/>
        <v>4.4629999999999654</v>
      </c>
      <c r="J143" s="169">
        <f t="shared" si="195"/>
        <v>0.98062278028151906</v>
      </c>
      <c r="K143" s="931"/>
      <c r="L143" s="931"/>
      <c r="M143" s="931"/>
      <c r="N143" s="931"/>
      <c r="O143" s="931"/>
      <c r="P143" s="1020"/>
      <c r="R143">
        <v>199.96700000000001</v>
      </c>
      <c r="S143">
        <v>25.891999999999999</v>
      </c>
      <c r="T143">
        <f>SUM(R143:S143)</f>
        <v>225.85900000000001</v>
      </c>
    </row>
    <row r="144" spans="1:20" ht="15" customHeight="1">
      <c r="A144" s="1012"/>
      <c r="B144" s="1017" t="s">
        <v>43</v>
      </c>
      <c r="C144" s="142">
        <v>42005</v>
      </c>
      <c r="D144" s="143">
        <v>42216</v>
      </c>
      <c r="E144" s="114">
        <v>85.811000000000007</v>
      </c>
      <c r="F144" s="194">
        <f>-0.271</f>
        <v>-0.27100000000000002</v>
      </c>
      <c r="G144" s="115">
        <f>E144+F144</f>
        <v>85.54</v>
      </c>
      <c r="H144" s="161">
        <v>100.376</v>
      </c>
      <c r="I144" s="265">
        <f>G144-H144</f>
        <v>-14.835999999999999</v>
      </c>
      <c r="J144" s="167">
        <f t="shared" si="195"/>
        <v>1.1734393266308161</v>
      </c>
      <c r="K144" s="930">
        <f t="shared" ref="K144" si="214">E144+E145</f>
        <v>114.41500000000001</v>
      </c>
      <c r="L144" s="930">
        <f t="shared" ref="L144" si="215">F144+F145</f>
        <v>71.721999999999994</v>
      </c>
      <c r="M144" s="930">
        <f t="shared" ref="M144" si="216">K144+L144</f>
        <v>186.137</v>
      </c>
      <c r="N144" s="930">
        <f>H144+H145</f>
        <v>185.16000000000003</v>
      </c>
      <c r="O144" s="930">
        <f>M144-N144</f>
        <v>0.97699999999997544</v>
      </c>
      <c r="P144" s="1028">
        <f t="shared" ref="P144" si="217">N144/M144</f>
        <v>0.99475117789585099</v>
      </c>
    </row>
    <row r="145" spans="1:16" ht="15" customHeight="1">
      <c r="A145" s="1012"/>
      <c r="B145" s="1018"/>
      <c r="C145" s="146">
        <v>42217</v>
      </c>
      <c r="D145" s="147">
        <v>42369</v>
      </c>
      <c r="E145" s="116">
        <v>28.603999999999999</v>
      </c>
      <c r="F145" s="264">
        <f>71.993</f>
        <v>71.992999999999995</v>
      </c>
      <c r="G145" s="117">
        <f>E145+F145+I144</f>
        <v>85.760999999999996</v>
      </c>
      <c r="H145" s="162">
        <v>84.784000000000006</v>
      </c>
      <c r="I145" s="266">
        <f>G145-H145</f>
        <v>0.97699999999998965</v>
      </c>
      <c r="J145" s="168">
        <f t="shared" si="195"/>
        <v>0.98860787537458761</v>
      </c>
      <c r="K145" s="931"/>
      <c r="L145" s="931"/>
      <c r="M145" s="931"/>
      <c r="N145" s="931"/>
      <c r="O145" s="931"/>
      <c r="P145" s="1029"/>
    </row>
    <row r="146" spans="1:16" ht="15" customHeight="1">
      <c r="A146" s="1012"/>
      <c r="B146" s="1025" t="s">
        <v>79</v>
      </c>
      <c r="C146" s="142">
        <v>42005</v>
      </c>
      <c r="D146" s="143">
        <v>42216</v>
      </c>
      <c r="E146" s="113">
        <v>107.22799999999999</v>
      </c>
      <c r="F146" s="195">
        <f>-0.5+17.777+27.476+399+229.771+188.8-3</f>
        <v>859.32400000000007</v>
      </c>
      <c r="G146" s="94">
        <f>E146+F146</f>
        <v>966.55200000000002</v>
      </c>
      <c r="H146" s="343">
        <v>218.93700000000001</v>
      </c>
      <c r="I146" s="267">
        <f t="shared" si="194"/>
        <v>747.61500000000001</v>
      </c>
      <c r="J146" s="169">
        <f t="shared" si="195"/>
        <v>0.22651342090234153</v>
      </c>
      <c r="K146" s="930">
        <f t="shared" ref="K146" si="218">E146+E147</f>
        <v>142.971</v>
      </c>
      <c r="L146" s="930">
        <f t="shared" ref="L146" si="219">F146+F147</f>
        <v>865.25000000000011</v>
      </c>
      <c r="M146" s="930">
        <f t="shared" ref="M146" si="220">K146+L146</f>
        <v>1008.2210000000001</v>
      </c>
      <c r="N146" s="930">
        <f>H146+H147</f>
        <v>1002.057</v>
      </c>
      <c r="O146" s="930">
        <f>M146-N146</f>
        <v>6.164000000000101</v>
      </c>
      <c r="P146" s="1019">
        <f t="shared" ref="P146" si="221">N146/M146</f>
        <v>0.99388626104792488</v>
      </c>
    </row>
    <row r="147" spans="1:16" ht="15" customHeight="1">
      <c r="A147" s="1012"/>
      <c r="B147" s="1018"/>
      <c r="C147" s="146">
        <v>42217</v>
      </c>
      <c r="D147" s="147">
        <v>42369</v>
      </c>
      <c r="E147" s="113">
        <v>35.743000000000002</v>
      </c>
      <c r="F147" s="195">
        <f>5.926</f>
        <v>5.9260000000000002</v>
      </c>
      <c r="G147" s="94">
        <f>E147+F147+I146</f>
        <v>789.28399999999999</v>
      </c>
      <c r="H147" s="343">
        <v>783.12</v>
      </c>
      <c r="I147" s="267">
        <f t="shared" si="194"/>
        <v>6.1639999999999873</v>
      </c>
      <c r="J147" s="169">
        <f t="shared" si="195"/>
        <v>0.99219039027777078</v>
      </c>
      <c r="K147" s="931"/>
      <c r="L147" s="931"/>
      <c r="M147" s="931"/>
      <c r="N147" s="931"/>
      <c r="O147" s="931"/>
      <c r="P147" s="1020"/>
    </row>
    <row r="148" spans="1:16" ht="15" customHeight="1">
      <c r="A148" s="1012"/>
      <c r="B148" s="1017" t="s">
        <v>44</v>
      </c>
      <c r="C148" s="142">
        <v>42005</v>
      </c>
      <c r="D148" s="143">
        <v>42216</v>
      </c>
      <c r="E148" s="114">
        <v>175.42699999999999</v>
      </c>
      <c r="F148" s="194">
        <f>-175.427</f>
        <v>-175.42699999999999</v>
      </c>
      <c r="G148" s="115">
        <f>E148+F148</f>
        <v>0</v>
      </c>
      <c r="H148" s="260"/>
      <c r="I148" s="265">
        <f t="shared" si="194"/>
        <v>0</v>
      </c>
      <c r="J148" s="167" t="e">
        <f t="shared" si="195"/>
        <v>#DIV/0!</v>
      </c>
      <c r="K148" s="930">
        <f t="shared" ref="K148" si="222">E148+E149</f>
        <v>233.90299999999999</v>
      </c>
      <c r="L148" s="930">
        <f t="shared" ref="L148" si="223">F148+F149</f>
        <v>-233.90199999999999</v>
      </c>
      <c r="M148" s="930">
        <f t="shared" ref="M148" si="224">K148+L148</f>
        <v>1.0000000000047748E-3</v>
      </c>
      <c r="N148" s="930">
        <f>H148+H149</f>
        <v>0</v>
      </c>
      <c r="O148" s="930">
        <f>M148-N148</f>
        <v>1.0000000000047748E-3</v>
      </c>
      <c r="P148" s="1015">
        <f t="shared" ref="P148" si="225">N148/M148</f>
        <v>0</v>
      </c>
    </row>
    <row r="149" spans="1:16" ht="15" customHeight="1">
      <c r="A149" s="1012"/>
      <c r="B149" s="1018"/>
      <c r="C149" s="146">
        <v>42217</v>
      </c>
      <c r="D149" s="147">
        <v>42369</v>
      </c>
      <c r="E149" s="116">
        <v>58.475999999999999</v>
      </c>
      <c r="F149" s="263">
        <f>-49.132-9.343</f>
        <v>-58.474999999999994</v>
      </c>
      <c r="G149" s="117">
        <f>E149+F149+I148</f>
        <v>1.0000000000047748E-3</v>
      </c>
      <c r="H149" s="261"/>
      <c r="I149" s="266">
        <f t="shared" si="194"/>
        <v>1.0000000000047748E-3</v>
      </c>
      <c r="J149" s="168">
        <f t="shared" si="195"/>
        <v>0</v>
      </c>
      <c r="K149" s="931"/>
      <c r="L149" s="931"/>
      <c r="M149" s="931"/>
      <c r="N149" s="931"/>
      <c r="O149" s="931"/>
      <c r="P149" s="1016"/>
    </row>
    <row r="150" spans="1:16" ht="15" customHeight="1">
      <c r="A150" s="1012"/>
      <c r="B150" s="1025" t="s">
        <v>185</v>
      </c>
      <c r="C150" s="142">
        <v>42005</v>
      </c>
      <c r="D150" s="143">
        <v>42216</v>
      </c>
      <c r="E150" s="113">
        <v>300.30799999999999</v>
      </c>
      <c r="F150" s="285">
        <f>-399</f>
        <v>-399</v>
      </c>
      <c r="G150" s="94">
        <f>E150+F150</f>
        <v>-98.692000000000007</v>
      </c>
      <c r="H150" s="286"/>
      <c r="I150" s="267">
        <f t="shared" si="194"/>
        <v>-98.692000000000007</v>
      </c>
      <c r="J150" s="169">
        <f t="shared" si="195"/>
        <v>0</v>
      </c>
      <c r="K150" s="930">
        <f t="shared" ref="K150" si="226">E150+E151</f>
        <v>400.411</v>
      </c>
      <c r="L150" s="930">
        <f t="shared" ref="L150" si="227">F150+F151</f>
        <v>-399</v>
      </c>
      <c r="M150" s="930">
        <f t="shared" ref="M150" si="228">K150+L150</f>
        <v>1.4110000000000014</v>
      </c>
      <c r="N150" s="930">
        <f>H150+H151</f>
        <v>0</v>
      </c>
      <c r="O150" s="930">
        <f>M150-N150</f>
        <v>1.4110000000000014</v>
      </c>
      <c r="P150" s="1015">
        <f t="shared" ref="P150" si="229">N150/M150</f>
        <v>0</v>
      </c>
    </row>
    <row r="151" spans="1:16" ht="15" customHeight="1">
      <c r="A151" s="1012"/>
      <c r="B151" s="1018"/>
      <c r="C151" s="146">
        <v>42217</v>
      </c>
      <c r="D151" s="147">
        <v>42369</v>
      </c>
      <c r="E151" s="113">
        <v>100.10299999999999</v>
      </c>
      <c r="F151" s="285"/>
      <c r="G151" s="94">
        <f>E151+F151+I150</f>
        <v>1.4109999999999872</v>
      </c>
      <c r="H151" s="286"/>
      <c r="I151" s="267">
        <f t="shared" si="194"/>
        <v>1.4109999999999872</v>
      </c>
      <c r="J151" s="169">
        <f t="shared" si="195"/>
        <v>0</v>
      </c>
      <c r="K151" s="931"/>
      <c r="L151" s="931"/>
      <c r="M151" s="931"/>
      <c r="N151" s="931"/>
      <c r="O151" s="931"/>
      <c r="P151" s="1016"/>
    </row>
    <row r="152" spans="1:16" ht="15" customHeight="1">
      <c r="A152" s="1012"/>
      <c r="B152" s="1017" t="s">
        <v>64</v>
      </c>
      <c r="C152" s="142">
        <v>42005</v>
      </c>
      <c r="D152" s="139">
        <v>42216</v>
      </c>
      <c r="E152" s="155">
        <v>1735.704</v>
      </c>
      <c r="F152" s="85">
        <f>-10-1000.111232</f>
        <v>-1010.111232</v>
      </c>
      <c r="G152" s="156">
        <f>E152+F152</f>
        <v>725.59276799999998</v>
      </c>
      <c r="H152" s="51">
        <v>1282.365</v>
      </c>
      <c r="I152" s="265">
        <f t="shared" si="194"/>
        <v>-556.77223200000003</v>
      </c>
      <c r="J152" s="167">
        <f t="shared" si="195"/>
        <v>1.7673343183045618</v>
      </c>
      <c r="K152" s="930">
        <f t="shared" ref="K152" si="230">E152+E153</f>
        <v>2314.2719999999999</v>
      </c>
      <c r="L152" s="930">
        <f t="shared" ref="L152" si="231">F152+F153</f>
        <v>-719.96711099999993</v>
      </c>
      <c r="M152" s="930">
        <f t="shared" ref="M152" si="232">K152+L152</f>
        <v>1594.304889</v>
      </c>
      <c r="N152" s="930">
        <f>H152+H153</f>
        <v>1282.365</v>
      </c>
      <c r="O152" s="930">
        <f>M152-N152</f>
        <v>311.93988899999999</v>
      </c>
      <c r="P152" s="1019">
        <f t="shared" ref="P152" si="233">N152/M152</f>
        <v>0.8043411325197285</v>
      </c>
    </row>
    <row r="153" spans="1:16" ht="15" customHeight="1">
      <c r="A153" s="1012"/>
      <c r="B153" s="1018"/>
      <c r="C153" s="146">
        <v>42217</v>
      </c>
      <c r="D153" s="141">
        <v>42369</v>
      </c>
      <c r="E153" s="157">
        <v>578.56799999999998</v>
      </c>
      <c r="F153" s="264">
        <f>220.1130222+70.0310988</f>
        <v>290.14412099999998</v>
      </c>
      <c r="G153" s="158">
        <f>E153+F153+I152</f>
        <v>311.93988899999999</v>
      </c>
      <c r="H153" s="92"/>
      <c r="I153" s="266">
        <f t="shared" si="194"/>
        <v>311.93988899999999</v>
      </c>
      <c r="J153" s="168">
        <f t="shared" si="195"/>
        <v>0</v>
      </c>
      <c r="K153" s="931"/>
      <c r="L153" s="931"/>
      <c r="M153" s="931"/>
      <c r="N153" s="931"/>
      <c r="O153" s="931"/>
      <c r="P153" s="1020"/>
    </row>
    <row r="154" spans="1:16" ht="15" customHeight="1">
      <c r="A154" s="1012"/>
      <c r="B154" s="1025" t="s">
        <v>45</v>
      </c>
      <c r="C154" s="142">
        <v>42005</v>
      </c>
      <c r="D154" s="143">
        <v>42216</v>
      </c>
      <c r="E154" s="113">
        <v>17.777000000000001</v>
      </c>
      <c r="F154" s="285">
        <f>-17.777</f>
        <v>-17.777000000000001</v>
      </c>
      <c r="G154" s="94">
        <f>E154+F154</f>
        <v>0</v>
      </c>
      <c r="H154" s="343"/>
      <c r="I154" s="267">
        <f t="shared" si="194"/>
        <v>0</v>
      </c>
      <c r="J154" s="169" t="e">
        <f t="shared" si="195"/>
        <v>#DIV/0!</v>
      </c>
      <c r="K154" s="930">
        <f t="shared" ref="K154" si="234">E154+E155</f>
        <v>23.703000000000003</v>
      </c>
      <c r="L154" s="930">
        <f t="shared" ref="L154" si="235">F154+F155</f>
        <v>-23.703000000000003</v>
      </c>
      <c r="M154" s="930">
        <f t="shared" ref="M154" si="236">K154+L154</f>
        <v>0</v>
      </c>
      <c r="N154" s="930">
        <f>H154+H155</f>
        <v>0</v>
      </c>
      <c r="O154" s="930">
        <f>M154-N154</f>
        <v>0</v>
      </c>
      <c r="P154" s="1015" t="e">
        <f t="shared" ref="P154" si="237">N154/M154</f>
        <v>#DIV/0!</v>
      </c>
    </row>
    <row r="155" spans="1:16" ht="15" customHeight="1">
      <c r="A155" s="1012"/>
      <c r="B155" s="1025"/>
      <c r="C155" s="146">
        <v>42217</v>
      </c>
      <c r="D155" s="147">
        <v>42369</v>
      </c>
      <c r="E155" s="113">
        <v>5.9260000000000002</v>
      </c>
      <c r="F155" s="285">
        <f>-5.926</f>
        <v>-5.9260000000000002</v>
      </c>
      <c r="G155" s="94">
        <f>E155+F155+I154</f>
        <v>0</v>
      </c>
      <c r="H155" s="343"/>
      <c r="I155" s="267">
        <f t="shared" si="194"/>
        <v>0</v>
      </c>
      <c r="J155" s="169" t="e">
        <f t="shared" si="195"/>
        <v>#DIV/0!</v>
      </c>
      <c r="K155" s="931"/>
      <c r="L155" s="931"/>
      <c r="M155" s="931"/>
      <c r="N155" s="931"/>
      <c r="O155" s="931"/>
      <c r="P155" s="1016"/>
    </row>
    <row r="156" spans="1:16" ht="15" customHeight="1">
      <c r="A156" s="1012"/>
      <c r="B156" s="1017" t="s">
        <v>17</v>
      </c>
      <c r="C156" s="142">
        <v>42005</v>
      </c>
      <c r="D156" s="143">
        <v>42216</v>
      </c>
      <c r="E156" s="114">
        <v>2.8330000000000002</v>
      </c>
      <c r="F156" s="191">
        <f>-0.1354+0.271</f>
        <v>0.13560000000000003</v>
      </c>
      <c r="G156" s="115">
        <f>E156+F156</f>
        <v>2.9686000000000003</v>
      </c>
      <c r="H156" s="161">
        <v>0.95799999999999996</v>
      </c>
      <c r="I156" s="265">
        <f t="shared" si="194"/>
        <v>2.0106000000000002</v>
      </c>
      <c r="J156" s="167">
        <f t="shared" si="195"/>
        <v>0.32271104224213432</v>
      </c>
      <c r="K156" s="930">
        <f t="shared" ref="K156" si="238">E156+E157</f>
        <v>3.7770000000000001</v>
      </c>
      <c r="L156" s="930">
        <f t="shared" ref="L156" si="239">F156+F157</f>
        <v>0.13560000000000003</v>
      </c>
      <c r="M156" s="930">
        <f t="shared" ref="M156" si="240">K156+L156</f>
        <v>3.9126000000000003</v>
      </c>
      <c r="N156" s="930">
        <f>H156+H157</f>
        <v>1.206</v>
      </c>
      <c r="O156" s="930">
        <f>M156-N156</f>
        <v>2.7066000000000003</v>
      </c>
      <c r="P156" s="1015">
        <f t="shared" ref="P156" si="241">N156/M156</f>
        <v>0.30823493329243978</v>
      </c>
    </row>
    <row r="157" spans="1:16" ht="15" customHeight="1">
      <c r="A157" s="1012"/>
      <c r="B157" s="1018"/>
      <c r="C157" s="146">
        <v>42217</v>
      </c>
      <c r="D157" s="147">
        <v>42369</v>
      </c>
      <c r="E157" s="116">
        <v>0.94399999999999995</v>
      </c>
      <c r="F157" s="116"/>
      <c r="G157" s="117">
        <f>E157+F157+I156</f>
        <v>2.9546000000000001</v>
      </c>
      <c r="H157" s="162">
        <v>0.248</v>
      </c>
      <c r="I157" s="266">
        <f t="shared" si="194"/>
        <v>2.7065999999999999</v>
      </c>
      <c r="J157" s="168">
        <f t="shared" si="195"/>
        <v>8.3936911933933517E-2</v>
      </c>
      <c r="K157" s="931"/>
      <c r="L157" s="931"/>
      <c r="M157" s="931"/>
      <c r="N157" s="931"/>
      <c r="O157" s="931"/>
      <c r="P157" s="1016"/>
    </row>
    <row r="158" spans="1:16" ht="15" customHeight="1">
      <c r="A158" s="1012"/>
      <c r="B158" s="1017" t="s">
        <v>12</v>
      </c>
      <c r="C158" s="142">
        <v>42005</v>
      </c>
      <c r="D158" s="143">
        <v>42216</v>
      </c>
      <c r="E158" s="114">
        <v>686.69600000000003</v>
      </c>
      <c r="F158" s="85"/>
      <c r="G158" s="115">
        <f>E158+F158</f>
        <v>686.69600000000003</v>
      </c>
      <c r="H158" s="161"/>
      <c r="I158" s="265">
        <f t="shared" si="194"/>
        <v>686.69600000000003</v>
      </c>
      <c r="J158" s="167">
        <f t="shared" si="195"/>
        <v>0</v>
      </c>
      <c r="K158" s="930">
        <f t="shared" ref="K158" si="242">E158+E159</f>
        <v>915.59500000000003</v>
      </c>
      <c r="L158" s="930">
        <f t="shared" ref="L158" si="243">F158+F159</f>
        <v>0</v>
      </c>
      <c r="M158" s="930">
        <f t="shared" ref="M158" si="244">K158+L158</f>
        <v>915.59500000000003</v>
      </c>
      <c r="N158" s="930">
        <f>H158+H159</f>
        <v>815.67399999999998</v>
      </c>
      <c r="O158" s="930">
        <f>M158-N158</f>
        <v>99.921000000000049</v>
      </c>
      <c r="P158" s="1019">
        <f t="shared" ref="P158" si="245">N158/M158</f>
        <v>0.89086768713241116</v>
      </c>
    </row>
    <row r="159" spans="1:16" ht="15" customHeight="1">
      <c r="A159" s="1012"/>
      <c r="B159" s="1018"/>
      <c r="C159" s="146">
        <v>42217</v>
      </c>
      <c r="D159" s="147">
        <v>42369</v>
      </c>
      <c r="E159" s="116">
        <v>228.899</v>
      </c>
      <c r="F159" s="91"/>
      <c r="G159" s="117">
        <f>E159+F159+I158</f>
        <v>915.59500000000003</v>
      </c>
      <c r="H159" s="841">
        <v>815.67399999999998</v>
      </c>
      <c r="I159" s="266">
        <f t="shared" si="194"/>
        <v>99.921000000000049</v>
      </c>
      <c r="J159" s="168">
        <f t="shared" si="195"/>
        <v>0.89086768713241116</v>
      </c>
      <c r="K159" s="931"/>
      <c r="L159" s="931"/>
      <c r="M159" s="931"/>
      <c r="N159" s="931"/>
      <c r="O159" s="931"/>
      <c r="P159" s="1020"/>
    </row>
    <row r="160" spans="1:16" ht="15" customHeight="1">
      <c r="A160" s="1012"/>
      <c r="B160" s="1025" t="s">
        <v>46</v>
      </c>
      <c r="C160" s="142">
        <v>42005</v>
      </c>
      <c r="D160" s="143">
        <v>42216</v>
      </c>
      <c r="E160" s="113">
        <v>172.328</v>
      </c>
      <c r="F160" s="285">
        <f>-229.771</f>
        <v>-229.77099999999999</v>
      </c>
      <c r="G160" s="94">
        <f>E160+F160</f>
        <v>-57.442999999999984</v>
      </c>
      <c r="H160" s="342"/>
      <c r="I160" s="267">
        <f t="shared" si="194"/>
        <v>-57.442999999999984</v>
      </c>
      <c r="J160" s="169">
        <f t="shared" si="195"/>
        <v>0</v>
      </c>
      <c r="K160" s="930">
        <f t="shared" ref="K160" si="246">E160+E161</f>
        <v>229.77100000000002</v>
      </c>
      <c r="L160" s="930">
        <f t="shared" ref="L160" si="247">F160+F161</f>
        <v>-229.77099999999999</v>
      </c>
      <c r="M160" s="930">
        <f t="shared" ref="M160" si="248">K160+L160</f>
        <v>0</v>
      </c>
      <c r="N160" s="930">
        <f>H160+H161</f>
        <v>0</v>
      </c>
      <c r="O160" s="930">
        <f>M160-N160</f>
        <v>0</v>
      </c>
      <c r="P160" s="1015" t="e">
        <f t="shared" ref="P160" si="249">N160/M160</f>
        <v>#DIV/0!</v>
      </c>
    </row>
    <row r="161" spans="1:16" ht="15" customHeight="1">
      <c r="A161" s="1012"/>
      <c r="B161" s="1025"/>
      <c r="C161" s="146">
        <v>42217</v>
      </c>
      <c r="D161" s="147">
        <v>42369</v>
      </c>
      <c r="E161" s="113">
        <v>57.442999999999998</v>
      </c>
      <c r="F161" s="285"/>
      <c r="G161" s="94">
        <f>E161+F161+I160</f>
        <v>0</v>
      </c>
      <c r="H161" s="342"/>
      <c r="I161" s="267">
        <f t="shared" si="194"/>
        <v>0</v>
      </c>
      <c r="J161" s="169" t="e">
        <f t="shared" si="195"/>
        <v>#DIV/0!</v>
      </c>
      <c r="K161" s="931"/>
      <c r="L161" s="931"/>
      <c r="M161" s="931"/>
      <c r="N161" s="931"/>
      <c r="O161" s="931"/>
      <c r="P161" s="1016"/>
    </row>
    <row r="162" spans="1:16" ht="15" customHeight="1">
      <c r="A162" s="1012"/>
      <c r="B162" s="1017" t="s">
        <v>20</v>
      </c>
      <c r="C162" s="142">
        <v>42005</v>
      </c>
      <c r="D162" s="143">
        <v>42216</v>
      </c>
      <c r="E162" s="114">
        <v>53.994999999999997</v>
      </c>
      <c r="F162" s="194">
        <f>-53.995</f>
        <v>-53.994999999999997</v>
      </c>
      <c r="G162" s="115">
        <f>E162+F162</f>
        <v>0</v>
      </c>
      <c r="H162" s="161"/>
      <c r="I162" s="265">
        <f t="shared" si="194"/>
        <v>0</v>
      </c>
      <c r="J162" s="167" t="e">
        <f t="shared" si="195"/>
        <v>#DIV/0!</v>
      </c>
      <c r="K162" s="930">
        <f t="shared" ref="K162:L196" si="250">E162+E163</f>
        <v>71.992999999999995</v>
      </c>
      <c r="L162" s="930">
        <f t="shared" ref="L162" si="251">F162+F163</f>
        <v>-71.992999999999995</v>
      </c>
      <c r="M162" s="930">
        <f t="shared" ref="M162:M190" si="252">K162+L162</f>
        <v>0</v>
      </c>
      <c r="N162" s="930">
        <f>H162+H163</f>
        <v>0</v>
      </c>
      <c r="O162" s="930">
        <f>M162-N162</f>
        <v>0</v>
      </c>
      <c r="P162" s="1015" t="e">
        <f t="shared" ref="P162" si="253">N162/M162</f>
        <v>#DIV/0!</v>
      </c>
    </row>
    <row r="163" spans="1:16" ht="15" customHeight="1">
      <c r="A163" s="1012"/>
      <c r="B163" s="1018"/>
      <c r="C163" s="146">
        <v>42217</v>
      </c>
      <c r="D163" s="147">
        <v>42369</v>
      </c>
      <c r="E163" s="116">
        <v>17.998000000000001</v>
      </c>
      <c r="F163" s="263">
        <f>-17.998</f>
        <v>-17.998000000000001</v>
      </c>
      <c r="G163" s="117">
        <f>E163+F163+I162</f>
        <v>0</v>
      </c>
      <c r="H163" s="162"/>
      <c r="I163" s="266">
        <f t="shared" si="194"/>
        <v>0</v>
      </c>
      <c r="J163" s="168" t="e">
        <f t="shared" si="195"/>
        <v>#DIV/0!</v>
      </c>
      <c r="K163" s="931"/>
      <c r="L163" s="931"/>
      <c r="M163" s="931"/>
      <c r="N163" s="931"/>
      <c r="O163" s="931"/>
      <c r="P163" s="1016"/>
    </row>
    <row r="164" spans="1:16" ht="15" customHeight="1">
      <c r="A164" s="1012"/>
      <c r="B164" s="1025" t="s">
        <v>13</v>
      </c>
      <c r="C164" s="142">
        <v>42005</v>
      </c>
      <c r="D164" s="143">
        <v>42216</v>
      </c>
      <c r="E164" s="113">
        <v>124.337</v>
      </c>
      <c r="F164" s="192"/>
      <c r="G164" s="94">
        <f>E164+F164</f>
        <v>124.337</v>
      </c>
      <c r="H164" s="342"/>
      <c r="I164" s="267">
        <f t="shared" si="194"/>
        <v>124.337</v>
      </c>
      <c r="J164" s="169">
        <f t="shared" si="195"/>
        <v>0</v>
      </c>
      <c r="K164" s="930">
        <f t="shared" si="250"/>
        <v>165.78300000000002</v>
      </c>
      <c r="L164" s="930">
        <f t="shared" si="250"/>
        <v>0</v>
      </c>
      <c r="M164" s="930">
        <f t="shared" ref="M164" si="254">K164+L164</f>
        <v>165.78300000000002</v>
      </c>
      <c r="N164" s="930">
        <f>H164+H165</f>
        <v>0</v>
      </c>
      <c r="O164" s="930">
        <f>M164-N164</f>
        <v>165.78300000000002</v>
      </c>
      <c r="P164" s="1015">
        <f t="shared" ref="P164" si="255">N164/M164</f>
        <v>0</v>
      </c>
    </row>
    <row r="165" spans="1:16" ht="15" customHeight="1">
      <c r="A165" s="1012"/>
      <c r="B165" s="1025"/>
      <c r="C165" s="146">
        <v>42217</v>
      </c>
      <c r="D165" s="147">
        <v>42369</v>
      </c>
      <c r="E165" s="113">
        <v>41.445999999999998</v>
      </c>
      <c r="F165" s="192"/>
      <c r="G165" s="94">
        <f>E165+F165+I164</f>
        <v>165.78300000000002</v>
      </c>
      <c r="H165" s="342"/>
      <c r="I165" s="267">
        <f t="shared" si="194"/>
        <v>165.78300000000002</v>
      </c>
      <c r="J165" s="169">
        <f t="shared" si="195"/>
        <v>0</v>
      </c>
      <c r="K165" s="931"/>
      <c r="L165" s="931"/>
      <c r="M165" s="931"/>
      <c r="N165" s="931"/>
      <c r="O165" s="931"/>
      <c r="P165" s="1016"/>
    </row>
    <row r="166" spans="1:16" ht="15" customHeight="1">
      <c r="A166" s="1012"/>
      <c r="B166" s="1017" t="s">
        <v>276</v>
      </c>
      <c r="C166" s="142">
        <v>42005</v>
      </c>
      <c r="D166" s="143">
        <v>42216</v>
      </c>
      <c r="E166" s="114">
        <v>58.314</v>
      </c>
      <c r="F166" s="194">
        <f>-58.314</f>
        <v>-58.314</v>
      </c>
      <c r="G166" s="115">
        <f>E166+F166</f>
        <v>0</v>
      </c>
      <c r="H166" s="341"/>
      <c r="I166" s="265">
        <f t="shared" si="194"/>
        <v>0</v>
      </c>
      <c r="J166" s="167" t="e">
        <f t="shared" si="195"/>
        <v>#DIV/0!</v>
      </c>
      <c r="K166" s="930">
        <f t="shared" si="250"/>
        <v>77.751999999999995</v>
      </c>
      <c r="L166" s="930">
        <f t="shared" si="250"/>
        <v>-70.031098</v>
      </c>
      <c r="M166" s="930">
        <f t="shared" ref="M166:M194" si="256">K166+L166</f>
        <v>7.7209019999999953</v>
      </c>
      <c r="N166" s="930">
        <f>H166+H167</f>
        <v>6.0000000000000001E-3</v>
      </c>
      <c r="O166" s="930">
        <f>M166-N166</f>
        <v>7.714901999999995</v>
      </c>
      <c r="P166" s="1015">
        <f t="shared" ref="P166" si="257">N166/M166</f>
        <v>7.7711127534062783E-4</v>
      </c>
    </row>
    <row r="167" spans="1:16" ht="15" customHeight="1">
      <c r="A167" s="1012"/>
      <c r="B167" s="1018"/>
      <c r="C167" s="146">
        <v>42217</v>
      </c>
      <c r="D167" s="147">
        <v>42369</v>
      </c>
      <c r="E167" s="116">
        <v>19.437999999999999</v>
      </c>
      <c r="F167" s="263">
        <f>-11.717098</f>
        <v>-11.717098</v>
      </c>
      <c r="G167" s="117">
        <f>E167+F167+I166</f>
        <v>7.7209019999999988</v>
      </c>
      <c r="H167" s="340">
        <v>6.0000000000000001E-3</v>
      </c>
      <c r="I167" s="266">
        <f t="shared" si="194"/>
        <v>7.7149019999999986</v>
      </c>
      <c r="J167" s="168">
        <f t="shared" si="195"/>
        <v>7.7711127534062739E-4</v>
      </c>
      <c r="K167" s="931"/>
      <c r="L167" s="931"/>
      <c r="M167" s="931"/>
      <c r="N167" s="931"/>
      <c r="O167" s="931"/>
      <c r="P167" s="1016"/>
    </row>
    <row r="168" spans="1:16" ht="15" customHeight="1">
      <c r="A168" s="1012"/>
      <c r="B168" s="1025" t="s">
        <v>47</v>
      </c>
      <c r="C168" s="142">
        <v>42005</v>
      </c>
      <c r="D168" s="143">
        <v>42216</v>
      </c>
      <c r="E168" s="113">
        <v>141.6</v>
      </c>
      <c r="F168" s="285">
        <f>-141.6</f>
        <v>-141.6</v>
      </c>
      <c r="G168" s="94">
        <f>E168+F168</f>
        <v>0</v>
      </c>
      <c r="H168" s="342"/>
      <c r="I168" s="267">
        <f t="shared" si="194"/>
        <v>0</v>
      </c>
      <c r="J168" s="169" t="e">
        <f t="shared" si="195"/>
        <v>#DIV/0!</v>
      </c>
      <c r="K168" s="930">
        <f t="shared" si="250"/>
        <v>188.8</v>
      </c>
      <c r="L168" s="930">
        <f t="shared" si="250"/>
        <v>-188.8</v>
      </c>
      <c r="M168" s="930">
        <f t="shared" ref="M168:M196" si="258">K168+L168</f>
        <v>0</v>
      </c>
      <c r="N168" s="930">
        <f>H168+H169</f>
        <v>0</v>
      </c>
      <c r="O168" s="930">
        <f>M168-N168</f>
        <v>0</v>
      </c>
      <c r="P168" s="1015" t="e">
        <f t="shared" ref="P168" si="259">N168/M168</f>
        <v>#DIV/0!</v>
      </c>
    </row>
    <row r="169" spans="1:16" ht="15" customHeight="1">
      <c r="A169" s="1012"/>
      <c r="B169" s="1025"/>
      <c r="C169" s="146">
        <v>42217</v>
      </c>
      <c r="D169" s="147">
        <v>42369</v>
      </c>
      <c r="E169" s="113">
        <v>47.2</v>
      </c>
      <c r="F169" s="263">
        <f>-47.2</f>
        <v>-47.2</v>
      </c>
      <c r="G169" s="94">
        <f>E169+F169+I168</f>
        <v>0</v>
      </c>
      <c r="H169" s="342"/>
      <c r="I169" s="267">
        <f t="shared" si="194"/>
        <v>0</v>
      </c>
      <c r="J169" s="169" t="e">
        <f t="shared" si="195"/>
        <v>#DIV/0!</v>
      </c>
      <c r="K169" s="931"/>
      <c r="L169" s="931"/>
      <c r="M169" s="931"/>
      <c r="N169" s="931"/>
      <c r="O169" s="931"/>
      <c r="P169" s="1016"/>
    </row>
    <row r="170" spans="1:16" ht="15" customHeight="1">
      <c r="A170" s="1012"/>
      <c r="B170" s="1017" t="s">
        <v>80</v>
      </c>
      <c r="C170" s="142">
        <v>42005</v>
      </c>
      <c r="D170" s="143">
        <v>42216</v>
      </c>
      <c r="E170" s="114">
        <v>167.93</v>
      </c>
      <c r="F170" s="285">
        <f>-167.93</f>
        <v>-167.93</v>
      </c>
      <c r="G170" s="115">
        <f>E170+F170</f>
        <v>0</v>
      </c>
      <c r="H170" s="341"/>
      <c r="I170" s="265">
        <f>G170-H170</f>
        <v>0</v>
      </c>
      <c r="J170" s="167" t="e">
        <f>H170/G170</f>
        <v>#DIV/0!</v>
      </c>
      <c r="K170" s="930">
        <f t="shared" si="250"/>
        <v>223.90700000000001</v>
      </c>
      <c r="L170" s="930">
        <f t="shared" si="250"/>
        <v>-220.11322000000001</v>
      </c>
      <c r="M170" s="930">
        <f t="shared" ref="M170" si="260">K170+L170</f>
        <v>3.7937799999999982</v>
      </c>
      <c r="N170" s="930">
        <f>H170+H171</f>
        <v>0</v>
      </c>
      <c r="O170" s="930">
        <f>M170-N170</f>
        <v>3.7937799999999982</v>
      </c>
      <c r="P170" s="1015">
        <f t="shared" ref="P170" si="261">N170/M170</f>
        <v>0</v>
      </c>
    </row>
    <row r="171" spans="1:16" ht="17.25" customHeight="1">
      <c r="A171" s="1012"/>
      <c r="B171" s="1018"/>
      <c r="C171" s="146">
        <v>42217</v>
      </c>
      <c r="D171" s="147">
        <v>42369</v>
      </c>
      <c r="E171" s="116">
        <v>55.976999999999997</v>
      </c>
      <c r="F171" s="285">
        <f>-52.18322</f>
        <v>-52.183219999999999</v>
      </c>
      <c r="G171" s="117">
        <f>E171+F171+I170</f>
        <v>3.7937799999999982</v>
      </c>
      <c r="H171" s="340"/>
      <c r="I171" s="266">
        <f>G171-H171</f>
        <v>3.7937799999999982</v>
      </c>
      <c r="J171" s="169">
        <f t="shared" si="195"/>
        <v>0</v>
      </c>
      <c r="K171" s="931"/>
      <c r="L171" s="931"/>
      <c r="M171" s="931"/>
      <c r="N171" s="931"/>
      <c r="O171" s="931"/>
      <c r="P171" s="1016"/>
    </row>
    <row r="172" spans="1:16" ht="15" customHeight="1">
      <c r="A172" s="1012"/>
      <c r="B172" s="1026" t="s">
        <v>157</v>
      </c>
      <c r="C172" s="142">
        <v>42005</v>
      </c>
      <c r="D172" s="143">
        <v>42216</v>
      </c>
      <c r="E172" s="114">
        <v>0</v>
      </c>
      <c r="F172" s="170">
        <f>0.5</f>
        <v>0.5</v>
      </c>
      <c r="G172" s="115">
        <f>E172+F172</f>
        <v>0.5</v>
      </c>
      <c r="H172" s="341"/>
      <c r="I172" s="268">
        <f t="shared" ref="I172:I177" si="262">G172-H172</f>
        <v>0.5</v>
      </c>
      <c r="J172" s="202">
        <f t="shared" ref="J172:J181" si="263">H172/G172</f>
        <v>0</v>
      </c>
      <c r="K172" s="930">
        <f>E172+E173</f>
        <v>0</v>
      </c>
      <c r="L172" s="1013">
        <f>F172+F173</f>
        <v>0.36458000000000002</v>
      </c>
      <c r="M172" s="930">
        <f>K172+L172</f>
        <v>0.36458000000000002</v>
      </c>
      <c r="N172" s="930">
        <f>H172+H173</f>
        <v>0</v>
      </c>
      <c r="O172" s="930">
        <f>M172-N172</f>
        <v>0.36458000000000002</v>
      </c>
      <c r="P172" s="1015">
        <f t="shared" ref="P172" si="264">N172/M172</f>
        <v>0</v>
      </c>
    </row>
    <row r="173" spans="1:16">
      <c r="A173" s="1012"/>
      <c r="B173" s="1027"/>
      <c r="C173" s="146">
        <v>42217</v>
      </c>
      <c r="D173" s="147">
        <v>42369</v>
      </c>
      <c r="E173" s="116">
        <v>0</v>
      </c>
      <c r="F173" s="285">
        <f>-0.13542</f>
        <v>-0.13542000000000001</v>
      </c>
      <c r="G173" s="117">
        <f>E173+F173+I172</f>
        <v>0.36458000000000002</v>
      </c>
      <c r="H173" s="340"/>
      <c r="I173" s="269">
        <f t="shared" si="262"/>
        <v>0.36458000000000002</v>
      </c>
      <c r="J173" s="203">
        <f t="shared" si="263"/>
        <v>0</v>
      </c>
      <c r="K173" s="931"/>
      <c r="L173" s="1014"/>
      <c r="M173" s="931"/>
      <c r="N173" s="931"/>
      <c r="O173" s="931"/>
      <c r="P173" s="1016"/>
    </row>
    <row r="174" spans="1:16" ht="15" hidden="1" customHeight="1">
      <c r="A174" s="1012"/>
      <c r="B174" s="1021"/>
      <c r="C174" s="142">
        <v>42005</v>
      </c>
      <c r="D174" s="143">
        <v>42216</v>
      </c>
      <c r="E174" s="196"/>
      <c r="F174" s="197"/>
      <c r="G174" s="345">
        <f>E174+F174</f>
        <v>0</v>
      </c>
      <c r="H174" s="339"/>
      <c r="I174" s="270">
        <f t="shared" si="262"/>
        <v>0</v>
      </c>
      <c r="J174" s="202" t="e">
        <f t="shared" si="263"/>
        <v>#DIV/0!</v>
      </c>
      <c r="K174" s="930">
        <f t="shared" si="250"/>
        <v>0</v>
      </c>
      <c r="L174" s="1013">
        <f t="shared" si="250"/>
        <v>0</v>
      </c>
      <c r="M174" s="930">
        <f t="shared" ref="M174" si="265">K174+L174</f>
        <v>0</v>
      </c>
      <c r="N174" s="930">
        <f>H174+H175</f>
        <v>0</v>
      </c>
      <c r="O174" s="930">
        <f t="shared" ref="O174" si="266">M174-N174</f>
        <v>0</v>
      </c>
      <c r="P174" s="1015" t="e">
        <f t="shared" ref="P174" si="267">N174/M174</f>
        <v>#DIV/0!</v>
      </c>
    </row>
    <row r="175" spans="1:16" ht="15" hidden="1" customHeight="1">
      <c r="A175" s="1012"/>
      <c r="B175" s="1022"/>
      <c r="C175" s="146">
        <v>42217</v>
      </c>
      <c r="D175" s="147">
        <v>42369</v>
      </c>
      <c r="E175" s="199"/>
      <c r="F175" s="200"/>
      <c r="G175" s="346">
        <f>E175+F175+I174</f>
        <v>0</v>
      </c>
      <c r="H175" s="338"/>
      <c r="I175" s="271">
        <f t="shared" si="262"/>
        <v>0</v>
      </c>
      <c r="J175" s="203" t="e">
        <f t="shared" si="263"/>
        <v>#DIV/0!</v>
      </c>
      <c r="K175" s="931"/>
      <c r="L175" s="1014"/>
      <c r="M175" s="931"/>
      <c r="N175" s="931"/>
      <c r="O175" s="931"/>
      <c r="P175" s="1016"/>
    </row>
    <row r="176" spans="1:16" ht="15" hidden="1" customHeight="1">
      <c r="A176" s="1012"/>
      <c r="B176" s="1021"/>
      <c r="C176" s="142">
        <v>42005</v>
      </c>
      <c r="D176" s="143">
        <v>42216</v>
      </c>
      <c r="E176" s="196"/>
      <c r="F176" s="197"/>
      <c r="G176" s="345">
        <f>E176+F176</f>
        <v>0</v>
      </c>
      <c r="H176" s="341"/>
      <c r="I176" s="272">
        <f t="shared" si="262"/>
        <v>0</v>
      </c>
      <c r="J176" s="202" t="e">
        <f t="shared" si="263"/>
        <v>#DIV/0!</v>
      </c>
      <c r="K176" s="930">
        <f t="shared" si="250"/>
        <v>0</v>
      </c>
      <c r="L176" s="1013">
        <f t="shared" si="250"/>
        <v>0</v>
      </c>
      <c r="M176" s="930">
        <f t="shared" ref="M176" si="268">K176+L176</f>
        <v>0</v>
      </c>
      <c r="N176" s="930">
        <f>H176+H177</f>
        <v>0</v>
      </c>
      <c r="O176" s="930">
        <f t="shared" ref="O176" si="269">M176-N176</f>
        <v>0</v>
      </c>
      <c r="P176" s="1015" t="e">
        <f t="shared" ref="P176" si="270">N176/M176</f>
        <v>#DIV/0!</v>
      </c>
    </row>
    <row r="177" spans="1:16" ht="15" hidden="1" customHeight="1">
      <c r="A177" s="1012"/>
      <c r="B177" s="1022"/>
      <c r="C177" s="146">
        <v>42217</v>
      </c>
      <c r="D177" s="147">
        <v>42369</v>
      </c>
      <c r="E177" s="199"/>
      <c r="F177" s="201"/>
      <c r="G177" s="346">
        <f>E177+F177+I176</f>
        <v>0</v>
      </c>
      <c r="H177" s="338"/>
      <c r="I177" s="273">
        <f t="shared" si="262"/>
        <v>0</v>
      </c>
      <c r="J177" s="262" t="e">
        <f t="shared" si="263"/>
        <v>#DIV/0!</v>
      </c>
      <c r="K177" s="931"/>
      <c r="L177" s="1014"/>
      <c r="M177" s="931"/>
      <c r="N177" s="931"/>
      <c r="O177" s="931"/>
      <c r="P177" s="1016"/>
    </row>
    <row r="178" spans="1:16" ht="15" hidden="1" customHeight="1">
      <c r="A178" s="1012"/>
      <c r="B178" s="1021"/>
      <c r="C178" s="142">
        <v>42005</v>
      </c>
      <c r="D178" s="143">
        <v>42216</v>
      </c>
      <c r="E178" s="196"/>
      <c r="F178" s="197"/>
      <c r="G178" s="345">
        <f>E178+F178</f>
        <v>0</v>
      </c>
      <c r="H178" s="339"/>
      <c r="I178" s="274">
        <f t="shared" ref="I178:I183" si="271">G178-H178</f>
        <v>0</v>
      </c>
      <c r="J178" s="202" t="e">
        <f t="shared" si="263"/>
        <v>#DIV/0!</v>
      </c>
      <c r="K178" s="930">
        <f t="shared" si="250"/>
        <v>0</v>
      </c>
      <c r="L178" s="1013">
        <f t="shared" si="250"/>
        <v>0</v>
      </c>
      <c r="M178" s="930">
        <f t="shared" ref="M178" si="272">K178+L178</f>
        <v>0</v>
      </c>
      <c r="N178" s="930">
        <f>H178+H179</f>
        <v>0</v>
      </c>
      <c r="O178" s="930">
        <f t="shared" ref="O178" si="273">M178-N178</f>
        <v>0</v>
      </c>
      <c r="P178" s="1015" t="e">
        <f t="shared" ref="P178" si="274">N178/M178</f>
        <v>#DIV/0!</v>
      </c>
    </row>
    <row r="179" spans="1:16" ht="15" hidden="1" customHeight="1">
      <c r="A179" s="1012"/>
      <c r="B179" s="1022"/>
      <c r="C179" s="146">
        <v>42217</v>
      </c>
      <c r="D179" s="147">
        <v>42369</v>
      </c>
      <c r="E179" s="199"/>
      <c r="F179" s="201"/>
      <c r="G179" s="346">
        <f>E179+F179+I178</f>
        <v>0</v>
      </c>
      <c r="H179" s="338"/>
      <c r="I179" s="275">
        <f t="shared" si="271"/>
        <v>0</v>
      </c>
      <c r="J179" s="203" t="e">
        <f t="shared" si="263"/>
        <v>#DIV/0!</v>
      </c>
      <c r="K179" s="931"/>
      <c r="L179" s="1014"/>
      <c r="M179" s="931"/>
      <c r="N179" s="931"/>
      <c r="O179" s="931"/>
      <c r="P179" s="1016"/>
    </row>
    <row r="180" spans="1:16" ht="15" hidden="1" customHeight="1">
      <c r="A180" s="1012"/>
      <c r="B180" s="1021"/>
      <c r="C180" s="142">
        <v>42005</v>
      </c>
      <c r="D180" s="143">
        <v>42216</v>
      </c>
      <c r="E180" s="196"/>
      <c r="F180" s="198"/>
      <c r="G180" s="345">
        <f>E180+F180</f>
        <v>0</v>
      </c>
      <c r="H180" s="339"/>
      <c r="I180" s="272">
        <f t="shared" si="271"/>
        <v>0</v>
      </c>
      <c r="J180" s="202" t="e">
        <f t="shared" si="263"/>
        <v>#DIV/0!</v>
      </c>
      <c r="K180" s="930">
        <f t="shared" si="250"/>
        <v>0</v>
      </c>
      <c r="L180" s="1013">
        <f t="shared" si="250"/>
        <v>0</v>
      </c>
      <c r="M180" s="930">
        <f t="shared" ref="M180" si="275">K180+L180</f>
        <v>0</v>
      </c>
      <c r="N180" s="930">
        <f>H180+H181</f>
        <v>0</v>
      </c>
      <c r="O180" s="930">
        <f t="shared" ref="O180" si="276">M180-N180</f>
        <v>0</v>
      </c>
      <c r="P180" s="1015" t="e">
        <f t="shared" ref="P180" si="277">N180/M180</f>
        <v>#DIV/0!</v>
      </c>
    </row>
    <row r="181" spans="1:16" ht="15" hidden="1" customHeight="1">
      <c r="A181" s="1012"/>
      <c r="B181" s="1022"/>
      <c r="C181" s="146">
        <v>42217</v>
      </c>
      <c r="D181" s="147">
        <v>42369</v>
      </c>
      <c r="E181" s="199"/>
      <c r="F181" s="201"/>
      <c r="G181" s="346">
        <f>E181+F181+I180</f>
        <v>0</v>
      </c>
      <c r="H181" s="338"/>
      <c r="I181" s="273">
        <f t="shared" si="271"/>
        <v>0</v>
      </c>
      <c r="J181" s="203" t="e">
        <f t="shared" si="263"/>
        <v>#DIV/0!</v>
      </c>
      <c r="K181" s="931"/>
      <c r="L181" s="1014"/>
      <c r="M181" s="931"/>
      <c r="N181" s="931"/>
      <c r="O181" s="931"/>
      <c r="P181" s="1016"/>
    </row>
    <row r="182" spans="1:16" ht="15" hidden="1" customHeight="1">
      <c r="A182" s="1012"/>
      <c r="B182" s="1021"/>
      <c r="C182" s="142">
        <v>42005</v>
      </c>
      <c r="D182" s="143">
        <v>42216</v>
      </c>
      <c r="E182" s="196"/>
      <c r="F182" s="348"/>
      <c r="G182" s="345">
        <f>E182+F182</f>
        <v>0</v>
      </c>
      <c r="H182" s="341"/>
      <c r="I182" s="274">
        <f t="shared" si="271"/>
        <v>0</v>
      </c>
      <c r="J182" s="202" t="e">
        <f t="shared" ref="J182:J189" si="278">H182/G182</f>
        <v>#DIV/0!</v>
      </c>
      <c r="K182" s="930">
        <f t="shared" si="250"/>
        <v>0</v>
      </c>
      <c r="L182" s="1013">
        <f t="shared" si="250"/>
        <v>0</v>
      </c>
      <c r="M182" s="930">
        <f t="shared" ref="M182" si="279">K182+L182</f>
        <v>0</v>
      </c>
      <c r="N182" s="930">
        <f>H182+H183</f>
        <v>0</v>
      </c>
      <c r="O182" s="930">
        <f t="shared" ref="O182" si="280">M182-N182</f>
        <v>0</v>
      </c>
      <c r="P182" s="1015" t="e">
        <f t="shared" ref="P182" si="281">N182/M182</f>
        <v>#DIV/0!</v>
      </c>
    </row>
    <row r="183" spans="1:16" ht="15" hidden="1" customHeight="1">
      <c r="A183" s="1012"/>
      <c r="B183" s="1022"/>
      <c r="C183" s="146">
        <v>42217</v>
      </c>
      <c r="D183" s="147">
        <v>42369</v>
      </c>
      <c r="E183" s="199"/>
      <c r="F183" s="281"/>
      <c r="G183" s="346">
        <f>E183+F183+I182</f>
        <v>0</v>
      </c>
      <c r="H183" s="340"/>
      <c r="I183" s="275">
        <f t="shared" si="271"/>
        <v>0</v>
      </c>
      <c r="J183" s="203" t="e">
        <f t="shared" si="278"/>
        <v>#DIV/0!</v>
      </c>
      <c r="K183" s="931"/>
      <c r="L183" s="1014"/>
      <c r="M183" s="931"/>
      <c r="N183" s="931"/>
      <c r="O183" s="931"/>
      <c r="P183" s="1016"/>
    </row>
    <row r="184" spans="1:16" ht="15" hidden="1" customHeight="1">
      <c r="A184" s="1012"/>
      <c r="B184" s="1021"/>
      <c r="C184" s="142">
        <v>42005</v>
      </c>
      <c r="D184" s="143">
        <v>42216</v>
      </c>
      <c r="E184" s="196"/>
      <c r="F184" s="197"/>
      <c r="G184" s="345">
        <f>E184+F184</f>
        <v>0</v>
      </c>
      <c r="H184" s="341"/>
      <c r="I184" s="274">
        <f t="shared" ref="I184:I189" si="282">G184-H184</f>
        <v>0</v>
      </c>
      <c r="J184" s="202" t="e">
        <f t="shared" si="278"/>
        <v>#DIV/0!</v>
      </c>
      <c r="K184" s="930">
        <f t="shared" si="250"/>
        <v>0</v>
      </c>
      <c r="L184" s="1013">
        <f t="shared" si="250"/>
        <v>0</v>
      </c>
      <c r="M184" s="930">
        <f t="shared" ref="M184" si="283">K184+L184</f>
        <v>0</v>
      </c>
      <c r="N184" s="930">
        <f>H184+H185</f>
        <v>0</v>
      </c>
      <c r="O184" s="930">
        <f t="shared" ref="O184" si="284">M184-N184</f>
        <v>0</v>
      </c>
      <c r="P184" s="1015" t="e">
        <f t="shared" ref="P184" si="285">N184/M184</f>
        <v>#DIV/0!</v>
      </c>
    </row>
    <row r="185" spans="1:16" ht="15" hidden="1" customHeight="1">
      <c r="A185" s="1012"/>
      <c r="B185" s="1022"/>
      <c r="C185" s="146">
        <v>42217</v>
      </c>
      <c r="D185" s="147">
        <v>42369</v>
      </c>
      <c r="E185" s="199"/>
      <c r="F185" s="281"/>
      <c r="G185" s="346">
        <f>E185+F185+I184</f>
        <v>0</v>
      </c>
      <c r="H185" s="340"/>
      <c r="I185" s="275">
        <f t="shared" si="282"/>
        <v>0</v>
      </c>
      <c r="J185" s="203" t="e">
        <f t="shared" si="278"/>
        <v>#DIV/0!</v>
      </c>
      <c r="K185" s="931"/>
      <c r="L185" s="1014"/>
      <c r="M185" s="931"/>
      <c r="N185" s="931"/>
      <c r="O185" s="931"/>
      <c r="P185" s="1016"/>
    </row>
    <row r="186" spans="1:16" ht="15" hidden="1" customHeight="1">
      <c r="A186" s="1012"/>
      <c r="B186" s="1021"/>
      <c r="C186" s="142">
        <v>42005</v>
      </c>
      <c r="D186" s="143">
        <v>42216</v>
      </c>
      <c r="E186" s="155"/>
      <c r="F186" s="197"/>
      <c r="G186" s="345">
        <f>E186+F186</f>
        <v>0</v>
      </c>
      <c r="H186" s="341"/>
      <c r="I186" s="274">
        <f t="shared" si="282"/>
        <v>0</v>
      </c>
      <c r="J186" s="202" t="e">
        <f t="shared" si="278"/>
        <v>#DIV/0!</v>
      </c>
      <c r="K186" s="930">
        <f t="shared" si="250"/>
        <v>0</v>
      </c>
      <c r="L186" s="1013">
        <f t="shared" si="250"/>
        <v>0</v>
      </c>
      <c r="M186" s="930">
        <f t="shared" ref="M186" si="286">K186+L186</f>
        <v>0</v>
      </c>
      <c r="N186" s="930">
        <f>H186+H187</f>
        <v>0</v>
      </c>
      <c r="O186" s="930">
        <f t="shared" ref="O186" si="287">M186-N186</f>
        <v>0</v>
      </c>
      <c r="P186" s="1015" t="e">
        <f t="shared" ref="P186" si="288">N186/M186</f>
        <v>#DIV/0!</v>
      </c>
    </row>
    <row r="187" spans="1:16" ht="15" hidden="1" customHeight="1">
      <c r="A187" s="1012"/>
      <c r="B187" s="1022"/>
      <c r="C187" s="146">
        <v>42217</v>
      </c>
      <c r="D187" s="147">
        <v>42369</v>
      </c>
      <c r="E187" s="157"/>
      <c r="F187" s="281"/>
      <c r="G187" s="346">
        <f>E187+F187+I186</f>
        <v>0</v>
      </c>
      <c r="H187" s="338"/>
      <c r="I187" s="275">
        <f t="shared" si="282"/>
        <v>0</v>
      </c>
      <c r="J187" s="203" t="e">
        <f t="shared" si="278"/>
        <v>#DIV/0!</v>
      </c>
      <c r="K187" s="931"/>
      <c r="L187" s="1014"/>
      <c r="M187" s="931"/>
      <c r="N187" s="931"/>
      <c r="O187" s="931"/>
      <c r="P187" s="1016"/>
    </row>
    <row r="188" spans="1:16" ht="15" hidden="1" customHeight="1">
      <c r="A188" s="1012"/>
      <c r="B188" s="1021"/>
      <c r="C188" s="142">
        <v>42005</v>
      </c>
      <c r="D188" s="143">
        <v>42216</v>
      </c>
      <c r="E188" s="155"/>
      <c r="F188" s="197"/>
      <c r="G188" s="345">
        <f>E188+F188</f>
        <v>0</v>
      </c>
      <c r="H188" s="341"/>
      <c r="I188" s="274">
        <f t="shared" si="282"/>
        <v>0</v>
      </c>
      <c r="J188" s="202" t="e">
        <f t="shared" si="278"/>
        <v>#DIV/0!</v>
      </c>
      <c r="K188" s="930">
        <f t="shared" si="250"/>
        <v>0</v>
      </c>
      <c r="L188" s="1013">
        <f t="shared" si="250"/>
        <v>0</v>
      </c>
      <c r="M188" s="930">
        <f t="shared" ref="M188" si="289">K188+L188</f>
        <v>0</v>
      </c>
      <c r="N188" s="930">
        <f>H188+H189</f>
        <v>0</v>
      </c>
      <c r="O188" s="930">
        <f t="shared" ref="O188" si="290">M188-N188</f>
        <v>0</v>
      </c>
      <c r="P188" s="1015" t="e">
        <f t="shared" ref="P188" si="291">N188/M188</f>
        <v>#DIV/0!</v>
      </c>
    </row>
    <row r="189" spans="1:16" ht="15" hidden="1" customHeight="1">
      <c r="A189" s="1012"/>
      <c r="B189" s="1022"/>
      <c r="C189" s="146">
        <v>42217</v>
      </c>
      <c r="D189" s="147">
        <v>42369</v>
      </c>
      <c r="E189" s="157"/>
      <c r="F189" s="281"/>
      <c r="G189" s="346">
        <f>E189+F189+I188</f>
        <v>0</v>
      </c>
      <c r="H189" s="338"/>
      <c r="I189" s="275">
        <f t="shared" si="282"/>
        <v>0</v>
      </c>
      <c r="J189" s="203" t="e">
        <f t="shared" si="278"/>
        <v>#DIV/0!</v>
      </c>
      <c r="K189" s="931"/>
      <c r="L189" s="1014"/>
      <c r="M189" s="931"/>
      <c r="N189" s="931"/>
      <c r="O189" s="931"/>
      <c r="P189" s="1016"/>
    </row>
    <row r="190" spans="1:16" ht="15" hidden="1" customHeight="1">
      <c r="A190" s="1012"/>
      <c r="B190" s="1021"/>
      <c r="C190" s="142">
        <v>42005</v>
      </c>
      <c r="D190" s="143">
        <v>42216</v>
      </c>
      <c r="E190" s="155"/>
      <c r="F190" s="197"/>
      <c r="G190" s="345">
        <f>E190+F190</f>
        <v>0</v>
      </c>
      <c r="H190" s="341"/>
      <c r="I190" s="274">
        <f t="shared" ref="I190:I195" si="292">G190-H190</f>
        <v>0</v>
      </c>
      <c r="J190" s="202" t="e">
        <f t="shared" ref="J190:J195" si="293">H190/G190</f>
        <v>#DIV/0!</v>
      </c>
      <c r="K190" s="930">
        <f t="shared" si="250"/>
        <v>0</v>
      </c>
      <c r="L190" s="1013">
        <f t="shared" si="250"/>
        <v>0</v>
      </c>
      <c r="M190" s="930">
        <f t="shared" si="252"/>
        <v>0</v>
      </c>
      <c r="N190" s="930">
        <f>H190+H191</f>
        <v>0</v>
      </c>
      <c r="O190" s="930">
        <f t="shared" ref="O190" si="294">M190-N190</f>
        <v>0</v>
      </c>
      <c r="P190" s="1015" t="e">
        <f t="shared" ref="P190" si="295">N190/M190</f>
        <v>#DIV/0!</v>
      </c>
    </row>
    <row r="191" spans="1:16" ht="15" hidden="1" customHeight="1">
      <c r="A191" s="1012"/>
      <c r="B191" s="1022"/>
      <c r="C191" s="146">
        <v>42217</v>
      </c>
      <c r="D191" s="147">
        <v>42369</v>
      </c>
      <c r="E191" s="157"/>
      <c r="F191" s="281"/>
      <c r="G191" s="346">
        <f>E191+F191+I190</f>
        <v>0</v>
      </c>
      <c r="H191" s="338"/>
      <c r="I191" s="275">
        <f t="shared" si="292"/>
        <v>0</v>
      </c>
      <c r="J191" s="203" t="e">
        <f t="shared" si="293"/>
        <v>#DIV/0!</v>
      </c>
      <c r="K191" s="931"/>
      <c r="L191" s="1014"/>
      <c r="M191" s="931"/>
      <c r="N191" s="931"/>
      <c r="O191" s="931"/>
      <c r="P191" s="1016"/>
    </row>
    <row r="192" spans="1:16" ht="15" customHeight="1">
      <c r="A192" s="1012"/>
      <c r="B192" s="1017" t="s">
        <v>326</v>
      </c>
      <c r="C192" s="142">
        <v>42005</v>
      </c>
      <c r="D192" s="143">
        <v>42216</v>
      </c>
      <c r="E192" s="155">
        <v>0</v>
      </c>
      <c r="F192" s="391">
        <f>3153.049+3000.857-0.13542-0.13542-0.135425-0.135425-0.135425</f>
        <v>6153.2288849999995</v>
      </c>
      <c r="G192" s="115">
        <f>E192+F192</f>
        <v>6153.2288849999995</v>
      </c>
      <c r="H192" s="343">
        <v>6251.5060000000003</v>
      </c>
      <c r="I192" s="265">
        <f t="shared" si="292"/>
        <v>-98.277115000000776</v>
      </c>
      <c r="J192" s="167">
        <f t="shared" si="293"/>
        <v>1.0159716332411386</v>
      </c>
      <c r="K192" s="930">
        <f t="shared" si="250"/>
        <v>0</v>
      </c>
      <c r="L192" s="1013">
        <f t="shared" ref="L192" si="296">F192+F193</f>
        <v>8204.5308850000001</v>
      </c>
      <c r="M192" s="930">
        <f>K192+L192</f>
        <v>8204.5308850000001</v>
      </c>
      <c r="N192" s="930">
        <f>H192+H193</f>
        <v>7810.7240000000002</v>
      </c>
      <c r="O192" s="930">
        <f>M192-N192</f>
        <v>393.80688499999997</v>
      </c>
      <c r="P192" s="1019">
        <f>N192/M192</f>
        <v>0.95200129166190595</v>
      </c>
    </row>
    <row r="193" spans="1:16" ht="15" customHeight="1">
      <c r="A193" s="1012"/>
      <c r="B193" s="1018"/>
      <c r="C193" s="146">
        <v>42217</v>
      </c>
      <c r="D193" s="147">
        <v>42369</v>
      </c>
      <c r="E193" s="157">
        <v>0</v>
      </c>
      <c r="F193" s="392">
        <f>1051.016+1000.286</f>
        <v>2051.3020000000001</v>
      </c>
      <c r="G193" s="117">
        <f>E193+F193+I192</f>
        <v>1953.0248849999994</v>
      </c>
      <c r="H193" s="340">
        <v>1559.2180000000001</v>
      </c>
      <c r="I193" s="266">
        <f t="shared" si="292"/>
        <v>393.80688499999928</v>
      </c>
      <c r="J193" s="168">
        <f t="shared" si="293"/>
        <v>0.79836053906706905</v>
      </c>
      <c r="K193" s="931"/>
      <c r="L193" s="1014"/>
      <c r="M193" s="931"/>
      <c r="N193" s="931"/>
      <c r="O193" s="931"/>
      <c r="P193" s="1020"/>
    </row>
    <row r="194" spans="1:16" ht="15" customHeight="1">
      <c r="A194" s="1012"/>
      <c r="B194" s="1017" t="s">
        <v>154</v>
      </c>
      <c r="C194" s="142">
        <v>42005</v>
      </c>
      <c r="D194" s="143">
        <v>42216</v>
      </c>
      <c r="E194" s="155">
        <v>0</v>
      </c>
      <c r="F194" s="391">
        <f>10</f>
        <v>10</v>
      </c>
      <c r="G194" s="115">
        <f>E194+F194</f>
        <v>10</v>
      </c>
      <c r="H194" s="343">
        <v>2.8000000000000001E-2</v>
      </c>
      <c r="I194" s="265">
        <f t="shared" si="292"/>
        <v>9.9719999999999995</v>
      </c>
      <c r="J194" s="167">
        <f t="shared" si="293"/>
        <v>2.8E-3</v>
      </c>
      <c r="K194" s="930">
        <f t="shared" si="250"/>
        <v>0</v>
      </c>
      <c r="L194" s="1013">
        <f>F194+F195</f>
        <v>10</v>
      </c>
      <c r="M194" s="930">
        <f t="shared" si="256"/>
        <v>10</v>
      </c>
      <c r="N194" s="930">
        <f>H194+H195</f>
        <v>5.1000000000000004E-2</v>
      </c>
      <c r="O194" s="930">
        <f>M194-N194</f>
        <v>9.9489999999999998</v>
      </c>
      <c r="P194" s="1015">
        <f t="shared" ref="P194" si="297">N194/M194</f>
        <v>5.1000000000000004E-3</v>
      </c>
    </row>
    <row r="195" spans="1:16" ht="15" customHeight="1">
      <c r="A195" s="1012"/>
      <c r="B195" s="1018"/>
      <c r="C195" s="146">
        <v>42217</v>
      </c>
      <c r="D195" s="147">
        <v>42369</v>
      </c>
      <c r="E195" s="157">
        <v>0</v>
      </c>
      <c r="F195" s="392"/>
      <c r="G195" s="117">
        <f>E195+F195+I194</f>
        <v>9.9719999999999995</v>
      </c>
      <c r="H195" s="340">
        <v>2.3E-2</v>
      </c>
      <c r="I195" s="266">
        <f t="shared" si="292"/>
        <v>9.9489999999999998</v>
      </c>
      <c r="J195" s="168">
        <f t="shared" si="293"/>
        <v>2.3064580826313678E-3</v>
      </c>
      <c r="K195" s="931"/>
      <c r="L195" s="1014"/>
      <c r="M195" s="931"/>
      <c r="N195" s="931"/>
      <c r="O195" s="931"/>
      <c r="P195" s="1016"/>
    </row>
    <row r="196" spans="1:16">
      <c r="A196" s="1012"/>
      <c r="B196" s="1017" t="s">
        <v>331</v>
      </c>
      <c r="C196" s="142">
        <v>42005</v>
      </c>
      <c r="D196" s="143">
        <v>42216</v>
      </c>
      <c r="E196" s="165">
        <v>0</v>
      </c>
      <c r="F196" s="391">
        <f>0.1354</f>
        <v>0.13539999999999999</v>
      </c>
      <c r="G196" s="115">
        <f>E196+F196</f>
        <v>0.13539999999999999</v>
      </c>
      <c r="H196" s="343"/>
      <c r="I196" s="265">
        <f>G196-H196</f>
        <v>0.13539999999999999</v>
      </c>
      <c r="J196" s="167">
        <f>H196/G196</f>
        <v>0</v>
      </c>
      <c r="K196" s="930">
        <f t="shared" si="250"/>
        <v>0</v>
      </c>
      <c r="L196" s="1013">
        <f t="shared" si="250"/>
        <v>0.13539999999999999</v>
      </c>
      <c r="M196" s="930">
        <f t="shared" si="258"/>
        <v>0.13539999999999999</v>
      </c>
      <c r="N196" s="930">
        <f>H196+H197</f>
        <v>0</v>
      </c>
      <c r="O196" s="930">
        <f>M196-N196</f>
        <v>0.13539999999999999</v>
      </c>
      <c r="P196" s="1015">
        <f t="shared" ref="P196" si="298">N196/M196</f>
        <v>0</v>
      </c>
    </row>
    <row r="197" spans="1:16">
      <c r="A197" s="1012"/>
      <c r="B197" s="1018"/>
      <c r="C197" s="146">
        <v>42217</v>
      </c>
      <c r="D197" s="147">
        <v>42369</v>
      </c>
      <c r="E197" s="157">
        <v>0</v>
      </c>
      <c r="F197" s="392"/>
      <c r="G197" s="117">
        <f>E197+F197+I196</f>
        <v>0.13539999999999999</v>
      </c>
      <c r="H197" s="340"/>
      <c r="I197" s="266">
        <f>G197-H197</f>
        <v>0.13539999999999999</v>
      </c>
      <c r="J197" s="168">
        <f>H197/G197</f>
        <v>0</v>
      </c>
      <c r="K197" s="931"/>
      <c r="L197" s="1014"/>
      <c r="M197" s="931"/>
      <c r="N197" s="931"/>
      <c r="O197" s="931"/>
      <c r="P197" s="1016"/>
    </row>
    <row r="198" spans="1:16">
      <c r="A198" s="1012"/>
      <c r="B198" s="1017" t="s">
        <v>359</v>
      </c>
      <c r="C198" s="142">
        <v>42005</v>
      </c>
      <c r="D198" s="143">
        <v>42216</v>
      </c>
      <c r="E198" s="165">
        <v>0</v>
      </c>
      <c r="F198" s="391">
        <f>0.135425</f>
        <v>0.13542499999999999</v>
      </c>
      <c r="G198" s="115">
        <f t="shared" ref="G198" si="299">E198+F198</f>
        <v>0.13542499999999999</v>
      </c>
      <c r="H198" s="343"/>
      <c r="I198" s="265">
        <f t="shared" ref="I198:I201" si="300">G198-H198</f>
        <v>0.13542499999999999</v>
      </c>
      <c r="J198" s="167">
        <f t="shared" ref="J198:J201" si="301">H198/G198</f>
        <v>0</v>
      </c>
      <c r="K198" s="930">
        <f t="shared" ref="K198" si="302">E198+E199</f>
        <v>0</v>
      </c>
      <c r="L198" s="1013">
        <f t="shared" ref="L198" si="303">F198+F199</f>
        <v>0.13542499999999999</v>
      </c>
      <c r="M198" s="930">
        <f t="shared" ref="M198" si="304">K198+L198</f>
        <v>0.13542499999999999</v>
      </c>
      <c r="N198" s="930">
        <f t="shared" ref="N198" si="305">H198+H199</f>
        <v>0</v>
      </c>
      <c r="O198" s="930">
        <f t="shared" ref="O198" si="306">M198-N198</f>
        <v>0.13542499999999999</v>
      </c>
      <c r="P198" s="1015">
        <f t="shared" ref="P198" si="307">N198/M198</f>
        <v>0</v>
      </c>
    </row>
    <row r="199" spans="1:16">
      <c r="A199" s="1012"/>
      <c r="B199" s="1018"/>
      <c r="C199" s="146">
        <v>42217</v>
      </c>
      <c r="D199" s="147">
        <v>42369</v>
      </c>
      <c r="E199" s="157">
        <v>0</v>
      </c>
      <c r="F199" s="392"/>
      <c r="G199" s="117">
        <f t="shared" ref="G199" si="308">E199+F199+I198</f>
        <v>0.13542499999999999</v>
      </c>
      <c r="H199" s="340"/>
      <c r="I199" s="266">
        <f t="shared" si="300"/>
        <v>0.13542499999999999</v>
      </c>
      <c r="J199" s="168">
        <f t="shared" si="301"/>
        <v>0</v>
      </c>
      <c r="K199" s="931"/>
      <c r="L199" s="1014"/>
      <c r="M199" s="931"/>
      <c r="N199" s="931"/>
      <c r="O199" s="931"/>
      <c r="P199" s="1016"/>
    </row>
    <row r="200" spans="1:16">
      <c r="A200" s="1012"/>
      <c r="B200" s="1017" t="s">
        <v>360</v>
      </c>
      <c r="C200" s="142">
        <v>42005</v>
      </c>
      <c r="D200" s="143">
        <v>42216</v>
      </c>
      <c r="E200" s="165">
        <v>0</v>
      </c>
      <c r="F200" s="391">
        <v>0.13542499999999999</v>
      </c>
      <c r="G200" s="115">
        <f t="shared" ref="G200" si="309">E200+F200</f>
        <v>0.13542499999999999</v>
      </c>
      <c r="H200" s="343"/>
      <c r="I200" s="265">
        <f t="shared" si="300"/>
        <v>0.13542499999999999</v>
      </c>
      <c r="J200" s="167">
        <f t="shared" si="301"/>
        <v>0</v>
      </c>
      <c r="K200" s="930">
        <f t="shared" ref="K200" si="310">E200+E201</f>
        <v>0</v>
      </c>
      <c r="L200" s="1013">
        <f t="shared" ref="L200" si="311">F200+F201</f>
        <v>0.13542499999999999</v>
      </c>
      <c r="M200" s="930">
        <f t="shared" ref="M200" si="312">K200+L200</f>
        <v>0.13542499999999999</v>
      </c>
      <c r="N200" s="930">
        <f t="shared" ref="N200" si="313">H200+H201</f>
        <v>0</v>
      </c>
      <c r="O200" s="930">
        <f t="shared" ref="O200" si="314">M200-N200</f>
        <v>0.13542499999999999</v>
      </c>
      <c r="P200" s="1015">
        <f t="shared" ref="P200" si="315">N200/M200</f>
        <v>0</v>
      </c>
    </row>
    <row r="201" spans="1:16">
      <c r="A201" s="1012"/>
      <c r="B201" s="1018"/>
      <c r="C201" s="146">
        <v>42217</v>
      </c>
      <c r="D201" s="147">
        <v>42369</v>
      </c>
      <c r="E201" s="157">
        <v>0</v>
      </c>
      <c r="F201" s="392"/>
      <c r="G201" s="117">
        <f t="shared" ref="G201" si="316">E201+F201+I200</f>
        <v>0.13542499999999999</v>
      </c>
      <c r="H201" s="340"/>
      <c r="I201" s="266">
        <f t="shared" si="300"/>
        <v>0.13542499999999999</v>
      </c>
      <c r="J201" s="168">
        <f t="shared" si="301"/>
        <v>0</v>
      </c>
      <c r="K201" s="931"/>
      <c r="L201" s="1014"/>
      <c r="M201" s="931"/>
      <c r="N201" s="931"/>
      <c r="O201" s="931"/>
      <c r="P201" s="1016"/>
    </row>
    <row r="202" spans="1:16">
      <c r="A202" s="1012"/>
      <c r="B202" s="1017" t="s">
        <v>361</v>
      </c>
      <c r="C202" s="142">
        <v>42005</v>
      </c>
      <c r="D202" s="143">
        <v>42216</v>
      </c>
      <c r="E202" s="165">
        <v>0</v>
      </c>
      <c r="F202" s="391">
        <f>0.135425+3</f>
        <v>3.1354250000000001</v>
      </c>
      <c r="G202" s="115">
        <f>E202+F202</f>
        <v>3.1354250000000001</v>
      </c>
      <c r="H202" s="343">
        <v>1.504</v>
      </c>
      <c r="I202" s="265">
        <f t="shared" ref="I202:I203" si="317">G202-H202</f>
        <v>1.6314250000000001</v>
      </c>
      <c r="J202" s="167">
        <f t="shared" ref="J202:J203" si="318">H202/G202</f>
        <v>0.47967978822647644</v>
      </c>
      <c r="K202" s="930">
        <f t="shared" ref="K202" si="319">E202+E203</f>
        <v>0</v>
      </c>
      <c r="L202" s="1013">
        <f t="shared" ref="L202" si="320">F202+F203</f>
        <v>3.1354250000000001</v>
      </c>
      <c r="M202" s="930">
        <f t="shared" ref="M202" si="321">K202+L202</f>
        <v>3.1354250000000001</v>
      </c>
      <c r="N202" s="930">
        <f t="shared" ref="N202" si="322">H202+H203</f>
        <v>2.0659999999999998</v>
      </c>
      <c r="O202" s="930">
        <f t="shared" ref="O202" si="323">M202-N202</f>
        <v>1.0694250000000003</v>
      </c>
      <c r="P202" s="1019">
        <f t="shared" ref="P202" si="324">N202/M202</f>
        <v>0.6589218367525933</v>
      </c>
    </row>
    <row r="203" spans="1:16">
      <c r="A203" s="1012"/>
      <c r="B203" s="1018"/>
      <c r="C203" s="146">
        <v>42217</v>
      </c>
      <c r="D203" s="147">
        <v>42369</v>
      </c>
      <c r="E203" s="157">
        <v>0</v>
      </c>
      <c r="F203" s="392"/>
      <c r="G203" s="117">
        <f t="shared" ref="G203" si="325">E203+F203+I202</f>
        <v>1.6314250000000001</v>
      </c>
      <c r="H203" s="340">
        <v>0.56200000000000006</v>
      </c>
      <c r="I203" s="266">
        <f t="shared" si="317"/>
        <v>1.0694250000000001</v>
      </c>
      <c r="J203" s="168">
        <f t="shared" si="318"/>
        <v>0.34448411664649004</v>
      </c>
      <c r="K203" s="931"/>
      <c r="L203" s="1014"/>
      <c r="M203" s="931"/>
      <c r="N203" s="931"/>
      <c r="O203" s="931"/>
      <c r="P203" s="1020"/>
    </row>
    <row r="204" spans="1:16" s="682" customFormat="1">
      <c r="A204" s="1012"/>
      <c r="B204" s="1017" t="s">
        <v>409</v>
      </c>
      <c r="C204" s="142">
        <v>42005</v>
      </c>
      <c r="D204" s="143">
        <v>42216</v>
      </c>
      <c r="E204" s="165">
        <v>0</v>
      </c>
      <c r="F204" s="391">
        <f>17.777-17.777</f>
        <v>0</v>
      </c>
      <c r="G204" s="115">
        <f>E204+F204</f>
        <v>0</v>
      </c>
      <c r="H204" s="343"/>
      <c r="I204" s="265">
        <f>G204-H204</f>
        <v>0</v>
      </c>
      <c r="J204" s="167" t="e">
        <f>H204/G204</f>
        <v>#DIV/0!</v>
      </c>
      <c r="K204" s="930">
        <f>E204+E205</f>
        <v>0</v>
      </c>
      <c r="L204" s="1013">
        <f>F204+F205</f>
        <v>0</v>
      </c>
      <c r="M204" s="930">
        <f>K204+L204</f>
        <v>0</v>
      </c>
      <c r="N204" s="930">
        <f>H204+H205</f>
        <v>0</v>
      </c>
      <c r="O204" s="930">
        <f>M204-N204</f>
        <v>0</v>
      </c>
      <c r="P204" s="1015" t="e">
        <f>N204/M204</f>
        <v>#DIV/0!</v>
      </c>
    </row>
    <row r="205" spans="1:16" s="682" customFormat="1">
      <c r="A205" s="1012"/>
      <c r="B205" s="1018"/>
      <c r="C205" s="146">
        <v>42217</v>
      </c>
      <c r="D205" s="147">
        <v>42369</v>
      </c>
      <c r="E205" s="157">
        <v>0</v>
      </c>
      <c r="F205" s="392">
        <f>5.926-5.926</f>
        <v>0</v>
      </c>
      <c r="G205" s="117">
        <f>E205+F205+I204</f>
        <v>0</v>
      </c>
      <c r="H205" s="340"/>
      <c r="I205" s="266">
        <f>G205-H205</f>
        <v>0</v>
      </c>
      <c r="J205" s="168" t="e">
        <f>H205/G205</f>
        <v>#DIV/0!</v>
      </c>
      <c r="K205" s="931"/>
      <c r="L205" s="1014"/>
      <c r="M205" s="931"/>
      <c r="N205" s="931"/>
      <c r="O205" s="931"/>
      <c r="P205" s="1016"/>
    </row>
    <row r="206" spans="1:16">
      <c r="A206" s="1012"/>
      <c r="B206" s="1009" t="s">
        <v>31</v>
      </c>
      <c r="C206" s="142">
        <v>42005</v>
      </c>
      <c r="D206" s="143">
        <v>42216</v>
      </c>
      <c r="E206" s="165">
        <v>0</v>
      </c>
      <c r="F206" s="391">
        <f>0.13542</f>
        <v>0.13542000000000001</v>
      </c>
      <c r="G206" s="115">
        <f>E206+F206</f>
        <v>0.13542000000000001</v>
      </c>
      <c r="H206" s="343"/>
      <c r="I206" s="265">
        <f>G206-H206</f>
        <v>0.13542000000000001</v>
      </c>
      <c r="J206" s="167">
        <f>H206/G206</f>
        <v>0</v>
      </c>
      <c r="K206" s="930">
        <f>E206+E207</f>
        <v>0</v>
      </c>
      <c r="L206" s="1013">
        <f>F206+F207</f>
        <v>0.13542000000000001</v>
      </c>
      <c r="M206" s="930">
        <f>K206+L206</f>
        <v>0.13542000000000001</v>
      </c>
      <c r="N206" s="930">
        <f>H206+H207</f>
        <v>0</v>
      </c>
      <c r="O206" s="930">
        <f>M206-N206</f>
        <v>0.13542000000000001</v>
      </c>
      <c r="P206" s="1015">
        <f>N206/M206</f>
        <v>0</v>
      </c>
    </row>
    <row r="207" spans="1:16">
      <c r="A207" s="1012"/>
      <c r="B207" s="1010"/>
      <c r="C207" s="146">
        <v>42217</v>
      </c>
      <c r="D207" s="147">
        <v>42369</v>
      </c>
      <c r="E207" s="157">
        <v>0</v>
      </c>
      <c r="F207" s="392"/>
      <c r="G207" s="117">
        <f>E207+F207+I206</f>
        <v>0.13542000000000001</v>
      </c>
      <c r="H207" s="340"/>
      <c r="I207" s="266">
        <f>G207-H207</f>
        <v>0.13542000000000001</v>
      </c>
      <c r="J207" s="168">
        <f>H207/G207</f>
        <v>0</v>
      </c>
      <c r="K207" s="931"/>
      <c r="L207" s="1014"/>
      <c r="M207" s="931"/>
      <c r="N207" s="931"/>
      <c r="O207" s="931"/>
      <c r="P207" s="1016"/>
    </row>
    <row r="208" spans="1:16">
      <c r="E208">
        <f>SUM(E132:E207)</f>
        <v>13542.000999999997</v>
      </c>
      <c r="M208" s="460">
        <f>SUM(M132:M207)</f>
        <v>13569.476803000003</v>
      </c>
      <c r="N208" s="460">
        <f>SUM(N132:N207)</f>
        <v>11853.182000000001</v>
      </c>
    </row>
  </sheetData>
  <mergeCells count="688">
    <mergeCell ref="N204:N205"/>
    <mergeCell ref="O204:O205"/>
    <mergeCell ref="P204:P205"/>
    <mergeCell ref="M125:M126"/>
    <mergeCell ref="M172:M173"/>
    <mergeCell ref="L125:L126"/>
    <mergeCell ref="M140:M141"/>
    <mergeCell ref="L156:L157"/>
    <mergeCell ref="L138:L139"/>
    <mergeCell ref="L140:L141"/>
    <mergeCell ref="M156:M157"/>
    <mergeCell ref="L158:L159"/>
    <mergeCell ref="M158:M159"/>
    <mergeCell ref="L148:L149"/>
    <mergeCell ref="M148:M149"/>
    <mergeCell ref="L150:L151"/>
    <mergeCell ref="L154:L155"/>
    <mergeCell ref="M154:M155"/>
    <mergeCell ref="M150:M151"/>
    <mergeCell ref="M188:M189"/>
    <mergeCell ref="L178:L179"/>
    <mergeCell ref="M178:M179"/>
    <mergeCell ref="L180:L181"/>
    <mergeCell ref="M180:M181"/>
    <mergeCell ref="L182:L183"/>
    <mergeCell ref="M182:M183"/>
    <mergeCell ref="B204:B205"/>
    <mergeCell ref="K204:K205"/>
    <mergeCell ref="L204:L205"/>
    <mergeCell ref="M204:M205"/>
    <mergeCell ref="M72:M73"/>
    <mergeCell ref="M78:M79"/>
    <mergeCell ref="L152:L153"/>
    <mergeCell ref="M152:M153"/>
    <mergeCell ref="M136:M137"/>
    <mergeCell ref="M132:M133"/>
    <mergeCell ref="L134:L135"/>
    <mergeCell ref="M134:M135"/>
    <mergeCell ref="L146:L147"/>
    <mergeCell ref="L144:L145"/>
    <mergeCell ref="M90:M91"/>
    <mergeCell ref="M98:M99"/>
    <mergeCell ref="L100:L101"/>
    <mergeCell ref="M100:M101"/>
    <mergeCell ref="L98:L99"/>
    <mergeCell ref="L104:L105"/>
    <mergeCell ref="M104:M105"/>
    <mergeCell ref="L110:L111"/>
    <mergeCell ref="L123:L124"/>
    <mergeCell ref="L119:L120"/>
    <mergeCell ref="L31:L32"/>
    <mergeCell ref="M31:M32"/>
    <mergeCell ref="M29:M30"/>
    <mergeCell ref="L42:L43"/>
    <mergeCell ref="M59:M60"/>
    <mergeCell ref="L55:L56"/>
    <mergeCell ref="M55:M56"/>
    <mergeCell ref="L57:L58"/>
    <mergeCell ref="M57:M58"/>
    <mergeCell ref="L48:L49"/>
    <mergeCell ref="M48:M49"/>
    <mergeCell ref="L50:L51"/>
    <mergeCell ref="M50:M51"/>
    <mergeCell ref="L53:L54"/>
    <mergeCell ref="M53:M54"/>
    <mergeCell ref="L29:L30"/>
    <mergeCell ref="L59:L60"/>
    <mergeCell ref="L46:L47"/>
    <mergeCell ref="M35:M36"/>
    <mergeCell ref="L37:L38"/>
    <mergeCell ref="M37:M38"/>
    <mergeCell ref="L44:L45"/>
    <mergeCell ref="M44:M45"/>
    <mergeCell ref="L35:L36"/>
    <mergeCell ref="K123:K124"/>
    <mergeCell ref="K162:K163"/>
    <mergeCell ref="K125:K126"/>
    <mergeCell ref="K154:K155"/>
    <mergeCell ref="K166:K167"/>
    <mergeCell ref="B148:B149"/>
    <mergeCell ref="B115:B116"/>
    <mergeCell ref="B117:B118"/>
    <mergeCell ref="B119:B120"/>
    <mergeCell ref="B121:B122"/>
    <mergeCell ref="B123:B124"/>
    <mergeCell ref="B125:B126"/>
    <mergeCell ref="K158:K159"/>
    <mergeCell ref="K160:K161"/>
    <mergeCell ref="B164:B165"/>
    <mergeCell ref="M46:M47"/>
    <mergeCell ref="M123:M124"/>
    <mergeCell ref="B140:B141"/>
    <mergeCell ref="B127:B128"/>
    <mergeCell ref="M108:M109"/>
    <mergeCell ref="L92:L93"/>
    <mergeCell ref="L121:L122"/>
    <mergeCell ref="A115:A130"/>
    <mergeCell ref="B129:B130"/>
    <mergeCell ref="K129:K130"/>
    <mergeCell ref="M64:M65"/>
    <mergeCell ref="L80:L81"/>
    <mergeCell ref="M80:M81"/>
    <mergeCell ref="L82:L83"/>
    <mergeCell ref="M82:M83"/>
    <mergeCell ref="L84:L85"/>
    <mergeCell ref="M84:M85"/>
    <mergeCell ref="L74:L75"/>
    <mergeCell ref="L66:L67"/>
    <mergeCell ref="M74:M75"/>
    <mergeCell ref="L76:L77"/>
    <mergeCell ref="M76:M77"/>
    <mergeCell ref="L78:L79"/>
    <mergeCell ref="L68:L69"/>
    <mergeCell ref="M68:M69"/>
    <mergeCell ref="K121:K122"/>
    <mergeCell ref="K66:K67"/>
    <mergeCell ref="K68:K69"/>
    <mergeCell ref="L64:L65"/>
    <mergeCell ref="B64:B65"/>
    <mergeCell ref="M121:M122"/>
    <mergeCell ref="L196:L197"/>
    <mergeCell ref="M196:M197"/>
    <mergeCell ref="L190:L191"/>
    <mergeCell ref="M190:M191"/>
    <mergeCell ref="L15:L16"/>
    <mergeCell ref="M15:M16"/>
    <mergeCell ref="L18:L19"/>
    <mergeCell ref="M18:M19"/>
    <mergeCell ref="B196:B197"/>
    <mergeCell ref="K196:K197"/>
    <mergeCell ref="B104:B105"/>
    <mergeCell ref="K104:K105"/>
    <mergeCell ref="L33:L34"/>
    <mergeCell ref="M33:M34"/>
    <mergeCell ref="B188:B189"/>
    <mergeCell ref="L20:L21"/>
    <mergeCell ref="M20:M21"/>
    <mergeCell ref="L22:L23"/>
    <mergeCell ref="M22:M23"/>
    <mergeCell ref="L24:L25"/>
    <mergeCell ref="M24:M25"/>
    <mergeCell ref="L26:L27"/>
    <mergeCell ref="M26:M27"/>
    <mergeCell ref="M42:M43"/>
    <mergeCell ref="P190:P191"/>
    <mergeCell ref="B190:B191"/>
    <mergeCell ref="B192:B193"/>
    <mergeCell ref="K192:K193"/>
    <mergeCell ref="N192:N193"/>
    <mergeCell ref="O192:O193"/>
    <mergeCell ref="P192:P193"/>
    <mergeCell ref="M194:M195"/>
    <mergeCell ref="M192:M193"/>
    <mergeCell ref="L192:L193"/>
    <mergeCell ref="L194:L195"/>
    <mergeCell ref="B194:B195"/>
    <mergeCell ref="P154:P155"/>
    <mergeCell ref="O164:O165"/>
    <mergeCell ref="O156:O157"/>
    <mergeCell ref="N156:N157"/>
    <mergeCell ref="O154:O155"/>
    <mergeCell ref="N164:N165"/>
    <mergeCell ref="P158:P159"/>
    <mergeCell ref="P160:P161"/>
    <mergeCell ref="N158:N159"/>
    <mergeCell ref="K127:K128"/>
    <mergeCell ref="P168:P169"/>
    <mergeCell ref="L176:L177"/>
    <mergeCell ref="M174:M175"/>
    <mergeCell ref="K176:K177"/>
    <mergeCell ref="N176:N177"/>
    <mergeCell ref="O176:O177"/>
    <mergeCell ref="L160:L161"/>
    <mergeCell ref="M160:M161"/>
    <mergeCell ref="L162:L163"/>
    <mergeCell ref="M162:M163"/>
    <mergeCell ref="L164:L165"/>
    <mergeCell ref="M164:M165"/>
    <mergeCell ref="K164:K165"/>
    <mergeCell ref="O170:O171"/>
    <mergeCell ref="N172:N173"/>
    <mergeCell ref="M168:M169"/>
    <mergeCell ref="L170:L171"/>
    <mergeCell ref="N160:N161"/>
    <mergeCell ref="O160:O161"/>
    <mergeCell ref="N162:N163"/>
    <mergeCell ref="O162:O163"/>
    <mergeCell ref="P152:P153"/>
    <mergeCell ref="P127:P128"/>
    <mergeCell ref="M119:M120"/>
    <mergeCell ref="N98:N99"/>
    <mergeCell ref="N106:N107"/>
    <mergeCell ref="N115:N116"/>
    <mergeCell ref="N125:N126"/>
    <mergeCell ref="B152:B153"/>
    <mergeCell ref="B154:B155"/>
    <mergeCell ref="B146:B147"/>
    <mergeCell ref="B158:B159"/>
    <mergeCell ref="M146:M147"/>
    <mergeCell ref="L136:L137"/>
    <mergeCell ref="K138:K139"/>
    <mergeCell ref="K142:K143"/>
    <mergeCell ref="L142:L143"/>
    <mergeCell ref="M142:M143"/>
    <mergeCell ref="K144:K145"/>
    <mergeCell ref="K146:K147"/>
    <mergeCell ref="K150:K151"/>
    <mergeCell ref="K152:K153"/>
    <mergeCell ref="M144:M145"/>
    <mergeCell ref="B142:B143"/>
    <mergeCell ref="K148:K149"/>
    <mergeCell ref="K156:K157"/>
    <mergeCell ref="L115:L116"/>
    <mergeCell ref="B132:B133"/>
    <mergeCell ref="B134:B135"/>
    <mergeCell ref="L132:L133"/>
    <mergeCell ref="K132:K133"/>
    <mergeCell ref="K134:K135"/>
    <mergeCell ref="K136:K137"/>
    <mergeCell ref="K140:K141"/>
    <mergeCell ref="B66:B67"/>
    <mergeCell ref="B74:B75"/>
    <mergeCell ref="B76:B77"/>
    <mergeCell ref="B78:B79"/>
    <mergeCell ref="B80:B81"/>
    <mergeCell ref="B90:B91"/>
    <mergeCell ref="B92:B93"/>
    <mergeCell ref="B88:B89"/>
    <mergeCell ref="B82:B83"/>
    <mergeCell ref="B84:B85"/>
    <mergeCell ref="B86:B87"/>
    <mergeCell ref="B70:B71"/>
    <mergeCell ref="B72:B73"/>
    <mergeCell ref="L94:L95"/>
    <mergeCell ref="L96:L97"/>
    <mergeCell ref="L102:L103"/>
    <mergeCell ref="B102:B103"/>
    <mergeCell ref="N108:N109"/>
    <mergeCell ref="N104:N105"/>
    <mergeCell ref="N119:N120"/>
    <mergeCell ref="N110:N111"/>
    <mergeCell ref="B96:B97"/>
    <mergeCell ref="B98:B99"/>
    <mergeCell ref="K96:K97"/>
    <mergeCell ref="K98:K99"/>
    <mergeCell ref="K100:K101"/>
    <mergeCell ref="K119:K120"/>
    <mergeCell ref="N102:N103"/>
    <mergeCell ref="K110:K111"/>
    <mergeCell ref="B112:B113"/>
    <mergeCell ref="K112:K113"/>
    <mergeCell ref="L112:L113"/>
    <mergeCell ref="M112:M113"/>
    <mergeCell ref="N112:N113"/>
    <mergeCell ref="N117:N118"/>
    <mergeCell ref="K115:K116"/>
    <mergeCell ref="M102:M103"/>
    <mergeCell ref="L117:L118"/>
    <mergeCell ref="M117:M118"/>
    <mergeCell ref="B110:B111"/>
    <mergeCell ref="B106:B107"/>
    <mergeCell ref="K102:K103"/>
    <mergeCell ref="B94:B95"/>
    <mergeCell ref="B100:B101"/>
    <mergeCell ref="K117:K118"/>
    <mergeCell ref="B108:B109"/>
    <mergeCell ref="K108:K109"/>
    <mergeCell ref="L108:L109"/>
    <mergeCell ref="M96:M97"/>
    <mergeCell ref="K106:K107"/>
    <mergeCell ref="L106:L107"/>
    <mergeCell ref="M106:M107"/>
    <mergeCell ref="M115:M116"/>
    <mergeCell ref="M110:M111"/>
    <mergeCell ref="M66:M67"/>
    <mergeCell ref="K70:K71"/>
    <mergeCell ref="K72:K73"/>
    <mergeCell ref="K74:K75"/>
    <mergeCell ref="K76:K77"/>
    <mergeCell ref="K78:K79"/>
    <mergeCell ref="K80:K81"/>
    <mergeCell ref="K94:K95"/>
    <mergeCell ref="K82:K83"/>
    <mergeCell ref="K84:K85"/>
    <mergeCell ref="K86:K87"/>
    <mergeCell ref="K88:K89"/>
    <mergeCell ref="K90:K91"/>
    <mergeCell ref="K92:K93"/>
    <mergeCell ref="L86:L87"/>
    <mergeCell ref="M86:M87"/>
    <mergeCell ref="L88:L89"/>
    <mergeCell ref="M88:M89"/>
    <mergeCell ref="L90:L91"/>
    <mergeCell ref="M92:M93"/>
    <mergeCell ref="M94:M95"/>
    <mergeCell ref="L70:L71"/>
    <mergeCell ref="M70:M71"/>
    <mergeCell ref="L72:L73"/>
    <mergeCell ref="A7:A16"/>
    <mergeCell ref="A18:A27"/>
    <mergeCell ref="A42:A51"/>
    <mergeCell ref="B11:B12"/>
    <mergeCell ref="B15:B16"/>
    <mergeCell ref="B20:B21"/>
    <mergeCell ref="B22:B23"/>
    <mergeCell ref="B24:B25"/>
    <mergeCell ref="B26:B27"/>
    <mergeCell ref="B33:B34"/>
    <mergeCell ref="B35:B36"/>
    <mergeCell ref="B37:B38"/>
    <mergeCell ref="B42:B43"/>
    <mergeCell ref="B44:B45"/>
    <mergeCell ref="B46:B47"/>
    <mergeCell ref="B48:B49"/>
    <mergeCell ref="B50:B51"/>
    <mergeCell ref="B13:B14"/>
    <mergeCell ref="B39:B40"/>
    <mergeCell ref="A29:A40"/>
    <mergeCell ref="A53:A62"/>
    <mergeCell ref="B61:B62"/>
    <mergeCell ref="A64:A113"/>
    <mergeCell ref="K15:K16"/>
    <mergeCell ref="B18:B19"/>
    <mergeCell ref="K18:K19"/>
    <mergeCell ref="K20:K21"/>
    <mergeCell ref="K22:K23"/>
    <mergeCell ref="B2:N3"/>
    <mergeCell ref="C5:D5"/>
    <mergeCell ref="E5:G5"/>
    <mergeCell ref="B7:B8"/>
    <mergeCell ref="B9:B10"/>
    <mergeCell ref="H5:J5"/>
    <mergeCell ref="K5:P5"/>
    <mergeCell ref="N7:N8"/>
    <mergeCell ref="O7:O8"/>
    <mergeCell ref="P7:P8"/>
    <mergeCell ref="N9:N10"/>
    <mergeCell ref="O9:O10"/>
    <mergeCell ref="P9:P10"/>
    <mergeCell ref="L7:L8"/>
    <mergeCell ref="M7:M8"/>
    <mergeCell ref="L9:L10"/>
    <mergeCell ref="M9:M10"/>
    <mergeCell ref="N11:N12"/>
    <mergeCell ref="O11:O12"/>
    <mergeCell ref="P11:P12"/>
    <mergeCell ref="N13:N14"/>
    <mergeCell ref="O13:O14"/>
    <mergeCell ref="P13:P14"/>
    <mergeCell ref="K7:K8"/>
    <mergeCell ref="K9:K10"/>
    <mergeCell ref="K11:K12"/>
    <mergeCell ref="K13:K14"/>
    <mergeCell ref="L13:L14"/>
    <mergeCell ref="M13:M14"/>
    <mergeCell ref="L11:L12"/>
    <mergeCell ref="M11:M12"/>
    <mergeCell ref="K24:K25"/>
    <mergeCell ref="K26:K27"/>
    <mergeCell ref="B29:B30"/>
    <mergeCell ref="B31:B32"/>
    <mergeCell ref="K29:K30"/>
    <mergeCell ref="K31:K32"/>
    <mergeCell ref="B68:B69"/>
    <mergeCell ref="B53:B54"/>
    <mergeCell ref="B55:B56"/>
    <mergeCell ref="B57:B58"/>
    <mergeCell ref="B59:B60"/>
    <mergeCell ref="K53:K54"/>
    <mergeCell ref="K55:K56"/>
    <mergeCell ref="K57:K58"/>
    <mergeCell ref="K59:K60"/>
    <mergeCell ref="K50:K51"/>
    <mergeCell ref="K33:K34"/>
    <mergeCell ref="K35:K36"/>
    <mergeCell ref="K37:K38"/>
    <mergeCell ref="K42:K43"/>
    <mergeCell ref="K44:K45"/>
    <mergeCell ref="K46:K47"/>
    <mergeCell ref="K48:K49"/>
    <mergeCell ref="K64:K65"/>
    <mergeCell ref="N15:N16"/>
    <mergeCell ref="O15:O16"/>
    <mergeCell ref="P15:P16"/>
    <mergeCell ref="N18:N19"/>
    <mergeCell ref="O18:O19"/>
    <mergeCell ref="P18:P19"/>
    <mergeCell ref="N20:N21"/>
    <mergeCell ref="O20:O21"/>
    <mergeCell ref="P20:P21"/>
    <mergeCell ref="N22:N23"/>
    <mergeCell ref="O22:O23"/>
    <mergeCell ref="P22:P23"/>
    <mergeCell ref="N24:N25"/>
    <mergeCell ref="O24:O25"/>
    <mergeCell ref="P24:P25"/>
    <mergeCell ref="N26:N27"/>
    <mergeCell ref="O26:O27"/>
    <mergeCell ref="P26:P27"/>
    <mergeCell ref="N29:N30"/>
    <mergeCell ref="O29:O30"/>
    <mergeCell ref="P29:P30"/>
    <mergeCell ref="N31:N32"/>
    <mergeCell ref="O31:O32"/>
    <mergeCell ref="P31:P32"/>
    <mergeCell ref="N33:N34"/>
    <mergeCell ref="O33:O34"/>
    <mergeCell ref="P33:P34"/>
    <mergeCell ref="N35:N36"/>
    <mergeCell ref="O35:O36"/>
    <mergeCell ref="P35:P36"/>
    <mergeCell ref="N37:N38"/>
    <mergeCell ref="O37:O38"/>
    <mergeCell ref="P37:P38"/>
    <mergeCell ref="N42:N43"/>
    <mergeCell ref="O42:O43"/>
    <mergeCell ref="P42:P43"/>
    <mergeCell ref="P39:P40"/>
    <mergeCell ref="N44:N45"/>
    <mergeCell ref="O44:O45"/>
    <mergeCell ref="P44:P45"/>
    <mergeCell ref="N46:N47"/>
    <mergeCell ref="O46:O47"/>
    <mergeCell ref="P46:P47"/>
    <mergeCell ref="N48:N49"/>
    <mergeCell ref="O48:O49"/>
    <mergeCell ref="P48:P49"/>
    <mergeCell ref="N50:N51"/>
    <mergeCell ref="O50:O51"/>
    <mergeCell ref="P50:P51"/>
    <mergeCell ref="N53:N54"/>
    <mergeCell ref="O53:O54"/>
    <mergeCell ref="P53:P54"/>
    <mergeCell ref="N55:N56"/>
    <mergeCell ref="O55:O56"/>
    <mergeCell ref="P55:P56"/>
    <mergeCell ref="N57:N58"/>
    <mergeCell ref="O57:O58"/>
    <mergeCell ref="P57:P58"/>
    <mergeCell ref="N59:N60"/>
    <mergeCell ref="O59:O60"/>
    <mergeCell ref="P59:P60"/>
    <mergeCell ref="N64:N65"/>
    <mergeCell ref="O64:O65"/>
    <mergeCell ref="P64:P65"/>
    <mergeCell ref="N66:N67"/>
    <mergeCell ref="O66:O67"/>
    <mergeCell ref="P66:P67"/>
    <mergeCell ref="N68:N69"/>
    <mergeCell ref="O68:O69"/>
    <mergeCell ref="P68:P69"/>
    <mergeCell ref="N70:N71"/>
    <mergeCell ref="O70:O71"/>
    <mergeCell ref="P70:P71"/>
    <mergeCell ref="N72:N73"/>
    <mergeCell ref="O72:O73"/>
    <mergeCell ref="P72:P73"/>
    <mergeCell ref="N74:N75"/>
    <mergeCell ref="O74:O75"/>
    <mergeCell ref="P74:P75"/>
    <mergeCell ref="N76:N77"/>
    <mergeCell ref="O76:O77"/>
    <mergeCell ref="P76:P77"/>
    <mergeCell ref="O106:O107"/>
    <mergeCell ref="P106:P107"/>
    <mergeCell ref="N78:N79"/>
    <mergeCell ref="O78:O79"/>
    <mergeCell ref="P78:P79"/>
    <mergeCell ref="N80:N81"/>
    <mergeCell ref="O80:O81"/>
    <mergeCell ref="P80:P81"/>
    <mergeCell ref="N82:N83"/>
    <mergeCell ref="O82:O83"/>
    <mergeCell ref="P82:P83"/>
    <mergeCell ref="O92:O93"/>
    <mergeCell ref="P92:P93"/>
    <mergeCell ref="N100:N101"/>
    <mergeCell ref="O100:O101"/>
    <mergeCell ref="P100:P101"/>
    <mergeCell ref="N94:N95"/>
    <mergeCell ref="P94:P95"/>
    <mergeCell ref="N96:N97"/>
    <mergeCell ref="O96:O97"/>
    <mergeCell ref="P96:P97"/>
    <mergeCell ref="O98:O99"/>
    <mergeCell ref="P98:P99"/>
    <mergeCell ref="O88:O89"/>
    <mergeCell ref="P132:P133"/>
    <mergeCell ref="P134:P135"/>
    <mergeCell ref="P117:P118"/>
    <mergeCell ref="O132:O133"/>
    <mergeCell ref="O129:O130"/>
    <mergeCell ref="O134:O135"/>
    <mergeCell ref="N123:N124"/>
    <mergeCell ref="N121:N122"/>
    <mergeCell ref="N129:N130"/>
    <mergeCell ref="P88:P89"/>
    <mergeCell ref="N90:N91"/>
    <mergeCell ref="O90:O91"/>
    <mergeCell ref="P90:P91"/>
    <mergeCell ref="N92:N93"/>
    <mergeCell ref="N148:N149"/>
    <mergeCell ref="O148:O149"/>
    <mergeCell ref="P148:P149"/>
    <mergeCell ref="P110:P111"/>
    <mergeCell ref="N142:N143"/>
    <mergeCell ref="O142:O143"/>
    <mergeCell ref="N146:N147"/>
    <mergeCell ref="O146:O147"/>
    <mergeCell ref="O144:O145"/>
    <mergeCell ref="N140:N141"/>
    <mergeCell ref="N136:N137"/>
    <mergeCell ref="N134:N135"/>
    <mergeCell ref="N132:N133"/>
    <mergeCell ref="O140:O141"/>
    <mergeCell ref="P136:P137"/>
    <mergeCell ref="P138:P139"/>
    <mergeCell ref="P140:P141"/>
    <mergeCell ref="O138:O139"/>
    <mergeCell ref="P146:P147"/>
    <mergeCell ref="P108:P109"/>
    <mergeCell ref="P186:P187"/>
    <mergeCell ref="P156:P157"/>
    <mergeCell ref="O112:O113"/>
    <mergeCell ref="P150:P151"/>
    <mergeCell ref="K61:K62"/>
    <mergeCell ref="L61:L62"/>
    <mergeCell ref="M61:M62"/>
    <mergeCell ref="N61:N62"/>
    <mergeCell ref="O61:O62"/>
    <mergeCell ref="P61:P62"/>
    <mergeCell ref="O94:O95"/>
    <mergeCell ref="P102:P103"/>
    <mergeCell ref="P104:P105"/>
    <mergeCell ref="O104:O105"/>
    <mergeCell ref="O102:O103"/>
    <mergeCell ref="N84:N85"/>
    <mergeCell ref="O84:O85"/>
    <mergeCell ref="P84:P85"/>
    <mergeCell ref="N86:N87"/>
    <mergeCell ref="O86:O87"/>
    <mergeCell ref="P86:P87"/>
    <mergeCell ref="N88:N89"/>
    <mergeCell ref="O108:O109"/>
    <mergeCell ref="B174:B175"/>
    <mergeCell ref="K174:K175"/>
    <mergeCell ref="N174:N175"/>
    <mergeCell ref="B176:B177"/>
    <mergeCell ref="O110:O111"/>
    <mergeCell ref="P142:P143"/>
    <mergeCell ref="P144:P145"/>
    <mergeCell ref="O119:O120"/>
    <mergeCell ref="O123:O124"/>
    <mergeCell ref="O117:O118"/>
    <mergeCell ref="O115:O116"/>
    <mergeCell ref="O121:O122"/>
    <mergeCell ref="P112:P113"/>
    <mergeCell ref="P119:P120"/>
    <mergeCell ref="P121:P122"/>
    <mergeCell ref="P123:P124"/>
    <mergeCell ref="P115:P116"/>
    <mergeCell ref="P125:P126"/>
    <mergeCell ref="P129:P130"/>
    <mergeCell ref="O125:O126"/>
    <mergeCell ref="O136:O137"/>
    <mergeCell ref="N127:N128"/>
    <mergeCell ref="O127:O128"/>
    <mergeCell ref="K172:K173"/>
    <mergeCell ref="P188:P189"/>
    <mergeCell ref="P198:P199"/>
    <mergeCell ref="L174:L175"/>
    <mergeCell ref="M176:M177"/>
    <mergeCell ref="L172:L173"/>
    <mergeCell ref="K188:K189"/>
    <mergeCell ref="N188:N189"/>
    <mergeCell ref="O188:O189"/>
    <mergeCell ref="O182:O183"/>
    <mergeCell ref="N182:N183"/>
    <mergeCell ref="K182:K183"/>
    <mergeCell ref="K180:K181"/>
    <mergeCell ref="N178:N179"/>
    <mergeCell ref="N196:N197"/>
    <mergeCell ref="O196:O197"/>
    <mergeCell ref="P196:P197"/>
    <mergeCell ref="K178:K179"/>
    <mergeCell ref="P172:P173"/>
    <mergeCell ref="P174:P175"/>
    <mergeCell ref="P194:P195"/>
    <mergeCell ref="K190:K191"/>
    <mergeCell ref="N190:N191"/>
    <mergeCell ref="N186:N187"/>
    <mergeCell ref="O190:O191"/>
    <mergeCell ref="M170:M171"/>
    <mergeCell ref="N170:N171"/>
    <mergeCell ref="B168:B169"/>
    <mergeCell ref="O150:O151"/>
    <mergeCell ref="N150:N151"/>
    <mergeCell ref="K194:K195"/>
    <mergeCell ref="O174:O175"/>
    <mergeCell ref="B170:B171"/>
    <mergeCell ref="N194:N195"/>
    <mergeCell ref="O194:O195"/>
    <mergeCell ref="B186:B187"/>
    <mergeCell ref="K186:K187"/>
    <mergeCell ref="B160:B161"/>
    <mergeCell ref="B156:B157"/>
    <mergeCell ref="B150:B151"/>
    <mergeCell ref="B162:B163"/>
    <mergeCell ref="K168:K169"/>
    <mergeCell ref="L184:L185"/>
    <mergeCell ref="M184:M185"/>
    <mergeCell ref="L186:L187"/>
    <mergeCell ref="M186:M187"/>
    <mergeCell ref="L188:L189"/>
    <mergeCell ref="B172:B173"/>
    <mergeCell ref="O186:O187"/>
    <mergeCell ref="K39:K40"/>
    <mergeCell ref="L39:L40"/>
    <mergeCell ref="M39:M40"/>
    <mergeCell ref="N39:N40"/>
    <mergeCell ref="O39:O40"/>
    <mergeCell ref="B198:B199"/>
    <mergeCell ref="K198:K199"/>
    <mergeCell ref="L198:L199"/>
    <mergeCell ref="M198:M199"/>
    <mergeCell ref="N198:N199"/>
    <mergeCell ref="O198:O199"/>
    <mergeCell ref="O158:O159"/>
    <mergeCell ref="M138:M139"/>
    <mergeCell ref="N152:N153"/>
    <mergeCell ref="O152:O153"/>
    <mergeCell ref="N154:N155"/>
    <mergeCell ref="N138:N139"/>
    <mergeCell ref="N144:N145"/>
    <mergeCell ref="B144:B145"/>
    <mergeCell ref="B138:B139"/>
    <mergeCell ref="B184:B185"/>
    <mergeCell ref="K184:K185"/>
    <mergeCell ref="N184:N185"/>
    <mergeCell ref="O184:O185"/>
    <mergeCell ref="P200:P201"/>
    <mergeCell ref="P170:P171"/>
    <mergeCell ref="P184:P185"/>
    <mergeCell ref="P180:P181"/>
    <mergeCell ref="P182:P183"/>
    <mergeCell ref="P178:P179"/>
    <mergeCell ref="B136:B137"/>
    <mergeCell ref="N180:N181"/>
    <mergeCell ref="O180:O181"/>
    <mergeCell ref="K170:K171"/>
    <mergeCell ref="B182:B183"/>
    <mergeCell ref="B180:B181"/>
    <mergeCell ref="O178:O179"/>
    <mergeCell ref="B200:B201"/>
    <mergeCell ref="K200:K201"/>
    <mergeCell ref="L200:L201"/>
    <mergeCell ref="M200:M201"/>
    <mergeCell ref="N200:N201"/>
    <mergeCell ref="O200:O201"/>
    <mergeCell ref="B178:B179"/>
    <mergeCell ref="B166:B167"/>
    <mergeCell ref="L166:L167"/>
    <mergeCell ref="M166:M167"/>
    <mergeCell ref="L168:L169"/>
    <mergeCell ref="B206:B207"/>
    <mergeCell ref="A132:A207"/>
    <mergeCell ref="K206:K207"/>
    <mergeCell ref="L206:L207"/>
    <mergeCell ref="M206:M207"/>
    <mergeCell ref="N206:N207"/>
    <mergeCell ref="O206:O207"/>
    <mergeCell ref="P206:P207"/>
    <mergeCell ref="B202:B203"/>
    <mergeCell ref="K202:K203"/>
    <mergeCell ref="L202:L203"/>
    <mergeCell ref="M202:M203"/>
    <mergeCell ref="N202:N203"/>
    <mergeCell ref="O202:O203"/>
    <mergeCell ref="P202:P203"/>
    <mergeCell ref="P162:P163"/>
    <mergeCell ref="N166:N167"/>
    <mergeCell ref="O166:O167"/>
    <mergeCell ref="P166:P167"/>
    <mergeCell ref="N168:N169"/>
    <mergeCell ref="O168:O169"/>
    <mergeCell ref="P164:P165"/>
    <mergeCell ref="P176:P177"/>
    <mergeCell ref="O172:O173"/>
  </mergeCells>
  <pageMargins left="0.70866141732283472" right="0.70866141732283472" top="0.74803149606299213" bottom="0.74803149606299213" header="0.31496062992125984" footer="0.31496062992125984"/>
  <pageSetup paperSize="9" orientation="landscape" r:id="rId1"/>
  <ignoredErrors>
    <ignoredError sqref="G8:G15 G19:G24 G30:G31 G43:G46 G65:G68 G116:G124 G133 G169 G167 G165 G163 G161 G159 G157 G155 G143 G137 G135 G134 G136 G138:G141 G142 G144 G154 G156 G158 G160 G162 G164 G166 G168 G170:G171 G172:G175 G102:G103 G176:G181 G182:G185 G99:G100 G33:G36 G37 G48:G50 G54:G59 G47 G60 G51:G53 G93:G98 G78:G91 G77 G92 G150 G148 G146 G147 G149 G145 G151 G192 G26 G70:G76" formula="1"/>
    <ignoredError sqref="J178:J181 J132:J137 J139:J150" evalError="1"/>
  </ignoredErrors>
  <drawing r:id="rId2"/>
  <legacyDrawing r:id="rId3"/>
</worksheet>
</file>

<file path=xl/worksheets/sheet4.xml><?xml version="1.0" encoding="utf-8"?>
<worksheet xmlns="http://schemas.openxmlformats.org/spreadsheetml/2006/main" xmlns:r="http://schemas.openxmlformats.org/officeDocument/2006/relationships">
  <sheetPr>
    <tabColor rgb="FFFFFF00"/>
  </sheetPr>
  <dimension ref="A1:DF97"/>
  <sheetViews>
    <sheetView zoomScale="70" zoomScaleNormal="70" workbookViewId="0">
      <pane xSplit="2" ySplit="2" topLeftCell="V57" activePane="bottomRight" state="frozen"/>
      <selection pane="topRight" activeCell="C1" sqref="C1"/>
      <selection pane="bottomLeft" activeCell="A3" sqref="A3"/>
      <selection pane="bottomRight" activeCell="B82" sqref="B82:B97"/>
    </sheetView>
  </sheetViews>
  <sheetFormatPr baseColWidth="10" defaultRowHeight="15"/>
  <cols>
    <col min="1" max="1" width="35.42578125" customWidth="1"/>
    <col min="2" max="2" width="34.42578125" bestFit="1" customWidth="1"/>
    <col min="3" max="3" width="10.85546875" customWidth="1"/>
    <col min="4" max="4" width="10.28515625" customWidth="1"/>
    <col min="5" max="5" width="11.42578125" customWidth="1"/>
    <col min="6" max="6" width="12" customWidth="1"/>
    <col min="7" max="7" width="10.5703125" customWidth="1"/>
    <col min="8" max="8" width="13.28515625" customWidth="1"/>
    <col min="9" max="16" width="11.42578125" customWidth="1"/>
    <col min="17" max="17" width="12.42578125" customWidth="1"/>
    <col min="18" max="18" width="14.140625" customWidth="1"/>
    <col min="19" max="19" width="13.42578125" customWidth="1"/>
    <col min="20" max="20" width="15.85546875" bestFit="1" customWidth="1"/>
    <col min="21" max="21" width="10.5703125" customWidth="1"/>
    <col min="22" max="22" width="12.28515625" customWidth="1"/>
    <col min="23" max="23" width="13.28515625" customWidth="1"/>
    <col min="24" max="24" width="15.85546875" customWidth="1"/>
    <col min="25" max="31" width="11.42578125" customWidth="1"/>
    <col min="32" max="32" width="13.28515625" customWidth="1"/>
    <col min="33" max="37" width="11.42578125" customWidth="1"/>
    <col min="38" max="38" width="15.28515625" customWidth="1"/>
    <col min="39" max="41" width="11.42578125" customWidth="1"/>
    <col min="42" max="42" width="12.85546875" customWidth="1"/>
    <col min="43" max="46" width="11.42578125" customWidth="1"/>
    <col min="48" max="48" width="15.5703125" customWidth="1"/>
    <col min="49" max="49" width="16.28515625" customWidth="1"/>
    <col min="50" max="50" width="13.28515625" customWidth="1"/>
    <col min="56" max="56" width="15.42578125" customWidth="1"/>
    <col min="57" max="57" width="11.5703125" customWidth="1"/>
    <col min="58" max="58" width="14.85546875" customWidth="1"/>
  </cols>
  <sheetData>
    <row r="1" spans="1:58">
      <c r="B1" s="1154" t="s">
        <v>418</v>
      </c>
      <c r="C1" s="1155"/>
      <c r="D1" s="1155"/>
      <c r="E1" s="1155"/>
      <c r="F1" s="1155"/>
      <c r="G1" s="1155"/>
      <c r="H1" s="1155"/>
      <c r="I1" s="1155"/>
      <c r="J1" s="1155"/>
      <c r="K1" s="1155"/>
      <c r="L1" s="1155"/>
      <c r="M1" s="1155"/>
      <c r="N1" s="1155"/>
      <c r="O1" s="1156"/>
      <c r="U1" s="188"/>
      <c r="AV1" s="289" t="s">
        <v>258</v>
      </c>
    </row>
    <row r="2" spans="1:58" ht="15.75" customHeight="1" thickBot="1">
      <c r="A2" s="3"/>
      <c r="B2" s="1157"/>
      <c r="C2" s="1158"/>
      <c r="D2" s="1158"/>
      <c r="E2" s="1158"/>
      <c r="F2" s="1158"/>
      <c r="G2" s="1158"/>
      <c r="H2" s="1158"/>
      <c r="I2" s="1158"/>
      <c r="J2" s="1158"/>
      <c r="K2" s="1158"/>
      <c r="L2" s="1158"/>
      <c r="M2" s="1158"/>
      <c r="N2" s="1158"/>
      <c r="O2" s="1159"/>
      <c r="AV2" s="532"/>
      <c r="AW2" s="344"/>
      <c r="AX2" s="344"/>
      <c r="AY2" s="344"/>
      <c r="AZ2" s="344"/>
      <c r="BA2" s="344"/>
      <c r="BB2" s="344"/>
      <c r="BC2" s="344"/>
    </row>
    <row r="3" spans="1:58">
      <c r="A3" s="3"/>
    </row>
    <row r="4" spans="1:58" ht="15.75">
      <c r="A4" s="3"/>
      <c r="B4" s="121"/>
      <c r="C4" s="968" t="s">
        <v>199</v>
      </c>
      <c r="D4" s="956"/>
      <c r="E4" s="1115" t="s">
        <v>205</v>
      </c>
      <c r="F4" s="1116"/>
      <c r="G4" s="1117"/>
      <c r="H4" s="1115" t="s">
        <v>206</v>
      </c>
      <c r="I4" s="1117"/>
      <c r="J4" s="122"/>
      <c r="K4" s="1113" t="s">
        <v>207</v>
      </c>
      <c r="L4" s="1118"/>
      <c r="M4" s="1114"/>
      <c r="N4" s="1113" t="s">
        <v>208</v>
      </c>
      <c r="O4" s="1114"/>
      <c r="P4" s="122"/>
      <c r="Q4" s="1115" t="s">
        <v>209</v>
      </c>
      <c r="R4" s="1116"/>
      <c r="S4" s="1117"/>
      <c r="T4" s="1115" t="s">
        <v>210</v>
      </c>
      <c r="U4" s="1117"/>
      <c r="V4" s="122"/>
      <c r="W4" s="1168" t="s">
        <v>211</v>
      </c>
      <c r="X4" s="1169"/>
      <c r="Y4" s="1170"/>
      <c r="Z4" s="1168" t="s">
        <v>212</v>
      </c>
      <c r="AA4" s="1170"/>
      <c r="AB4" s="122"/>
      <c r="AC4" s="1165" t="s">
        <v>213</v>
      </c>
      <c r="AD4" s="1166"/>
      <c r="AE4" s="1167"/>
      <c r="AF4" s="1165" t="s">
        <v>214</v>
      </c>
      <c r="AG4" s="1167"/>
      <c r="AH4" s="122"/>
      <c r="AI4" s="1171" t="s">
        <v>215</v>
      </c>
      <c r="AJ4" s="1172"/>
      <c r="AK4" s="1173"/>
      <c r="AL4" s="1171" t="s">
        <v>216</v>
      </c>
      <c r="AM4" s="1173"/>
      <c r="AN4" s="122"/>
      <c r="AO4" s="1174" t="s">
        <v>217</v>
      </c>
      <c r="AP4" s="1175"/>
      <c r="AQ4" s="1176"/>
      <c r="AR4" s="1174" t="s">
        <v>218</v>
      </c>
      <c r="AS4" s="1176"/>
      <c r="AU4" s="1184" t="s">
        <v>222</v>
      </c>
      <c r="AV4" s="1185"/>
      <c r="AW4" s="1185"/>
      <c r="AX4" s="1185"/>
      <c r="AY4" s="1185"/>
      <c r="AZ4" s="1186"/>
      <c r="BA4" s="1187" t="s">
        <v>340</v>
      </c>
      <c r="BB4" s="1187"/>
      <c r="BC4" s="1187"/>
      <c r="BD4" s="1187"/>
      <c r="BE4" s="1187"/>
      <c r="BF4" s="1187"/>
    </row>
    <row r="5" spans="1:58" ht="57" customHeight="1">
      <c r="A5" s="2" t="s">
        <v>36</v>
      </c>
      <c r="B5" s="119" t="s">
        <v>149</v>
      </c>
      <c r="C5" s="86" t="s">
        <v>197</v>
      </c>
      <c r="D5" s="86" t="s">
        <v>198</v>
      </c>
      <c r="E5" s="83" t="s">
        <v>200</v>
      </c>
      <c r="F5" s="83" t="s">
        <v>201</v>
      </c>
      <c r="G5" s="83" t="s">
        <v>202</v>
      </c>
      <c r="H5" s="87" t="s">
        <v>3</v>
      </c>
      <c r="I5" s="87" t="s">
        <v>4</v>
      </c>
      <c r="J5" s="98" t="s">
        <v>336</v>
      </c>
      <c r="K5" s="103" t="s">
        <v>200</v>
      </c>
      <c r="L5" s="103" t="s">
        <v>201</v>
      </c>
      <c r="M5" s="103" t="s">
        <v>202</v>
      </c>
      <c r="N5" s="104" t="s">
        <v>3</v>
      </c>
      <c r="O5" s="104" t="s">
        <v>4</v>
      </c>
      <c r="P5" s="111" t="s">
        <v>336</v>
      </c>
      <c r="Q5" s="105" t="s">
        <v>200</v>
      </c>
      <c r="R5" s="105" t="s">
        <v>201</v>
      </c>
      <c r="S5" s="105" t="s">
        <v>202</v>
      </c>
      <c r="T5" s="106" t="s">
        <v>3</v>
      </c>
      <c r="U5" s="106" t="s">
        <v>4</v>
      </c>
      <c r="V5" s="299" t="s">
        <v>336</v>
      </c>
      <c r="W5" s="101" t="s">
        <v>200</v>
      </c>
      <c r="X5" s="101" t="s">
        <v>201</v>
      </c>
      <c r="Y5" s="101" t="s">
        <v>202</v>
      </c>
      <c r="Z5" s="102" t="s">
        <v>3</v>
      </c>
      <c r="AA5" s="102" t="s">
        <v>4</v>
      </c>
      <c r="AB5" s="124" t="s">
        <v>336</v>
      </c>
      <c r="AC5" s="107" t="s">
        <v>200</v>
      </c>
      <c r="AD5" s="107" t="s">
        <v>201</v>
      </c>
      <c r="AE5" s="107" t="s">
        <v>202</v>
      </c>
      <c r="AF5" s="108" t="s">
        <v>3</v>
      </c>
      <c r="AG5" s="108" t="s">
        <v>4</v>
      </c>
      <c r="AH5" s="300" t="s">
        <v>336</v>
      </c>
      <c r="AI5" s="99" t="s">
        <v>200</v>
      </c>
      <c r="AJ5" s="99" t="s">
        <v>201</v>
      </c>
      <c r="AK5" s="99" t="s">
        <v>202</v>
      </c>
      <c r="AL5" s="100" t="s">
        <v>3</v>
      </c>
      <c r="AM5" s="100" t="s">
        <v>4</v>
      </c>
      <c r="AN5" s="301" t="s">
        <v>336</v>
      </c>
      <c r="AO5" s="109" t="s">
        <v>200</v>
      </c>
      <c r="AP5" s="109" t="s">
        <v>201</v>
      </c>
      <c r="AQ5" s="109" t="s">
        <v>202</v>
      </c>
      <c r="AR5" s="110" t="s">
        <v>3</v>
      </c>
      <c r="AS5" s="110" t="s">
        <v>4</v>
      </c>
      <c r="AT5" s="112" t="s">
        <v>336</v>
      </c>
      <c r="AU5" s="127" t="s">
        <v>220</v>
      </c>
      <c r="AV5" s="127" t="s">
        <v>257</v>
      </c>
      <c r="AW5" s="127" t="s">
        <v>202</v>
      </c>
      <c r="AX5" s="128" t="s">
        <v>221</v>
      </c>
      <c r="AY5" s="128" t="s">
        <v>4</v>
      </c>
      <c r="AZ5" s="128" t="s">
        <v>5</v>
      </c>
      <c r="BA5" s="128" t="s">
        <v>219</v>
      </c>
      <c r="BB5" s="127" t="s">
        <v>257</v>
      </c>
      <c r="BC5" s="127" t="s">
        <v>202</v>
      </c>
      <c r="BD5" s="128" t="s">
        <v>3</v>
      </c>
      <c r="BE5" s="128" t="s">
        <v>4</v>
      </c>
      <c r="BF5" s="128" t="s">
        <v>5</v>
      </c>
    </row>
    <row r="6" spans="1:58">
      <c r="A6" s="888" t="s">
        <v>66</v>
      </c>
      <c r="B6" s="1161" t="s">
        <v>26</v>
      </c>
      <c r="C6" s="142">
        <v>42005</v>
      </c>
      <c r="D6" s="143">
        <v>42216</v>
      </c>
      <c r="E6" s="419">
        <v>1.3979999999999999</v>
      </c>
      <c r="F6" s="419"/>
      <c r="G6" s="419">
        <f>E6+F6</f>
        <v>1.3979999999999999</v>
      </c>
      <c r="H6" s="420"/>
      <c r="I6" s="421">
        <f>G6-H6</f>
        <v>1.3979999999999999</v>
      </c>
      <c r="J6" s="1130">
        <f>E6+E7+F6+F7</f>
        <v>1.7469999999999999</v>
      </c>
      <c r="K6" s="421">
        <v>6.4660000000000002</v>
      </c>
      <c r="L6" s="422"/>
      <c r="M6" s="421">
        <f>K6+L6</f>
        <v>6.4660000000000002</v>
      </c>
      <c r="N6" s="421"/>
      <c r="O6" s="421">
        <f>M6-N6</f>
        <v>6.4660000000000002</v>
      </c>
      <c r="P6" s="930">
        <f>K6+K7+L6+L7</f>
        <v>8.0389999999999997</v>
      </c>
      <c r="Q6" s="421">
        <v>44.734000000000002</v>
      </c>
      <c r="R6" s="422"/>
      <c r="S6" s="421">
        <f>Q6+R6</f>
        <v>44.734000000000002</v>
      </c>
      <c r="T6" s="423">
        <v>33.895000000000003</v>
      </c>
      <c r="U6" s="421">
        <f>S6-T6</f>
        <v>10.838999999999999</v>
      </c>
      <c r="V6" s="930">
        <f>Q6+Q7+R6+R7</f>
        <v>55.917999999999999</v>
      </c>
      <c r="W6" s="421">
        <v>83.876999999999995</v>
      </c>
      <c r="X6" s="421"/>
      <c r="Y6" s="421">
        <f>W6+X6</f>
        <v>83.876999999999995</v>
      </c>
      <c r="Z6" s="423">
        <v>77.778999999999996</v>
      </c>
      <c r="AA6" s="421">
        <f>Y6-Z6</f>
        <v>6.097999999999999</v>
      </c>
      <c r="AB6" s="930">
        <f>W6+W7+X6+X7</f>
        <v>104.846</v>
      </c>
      <c r="AC6" s="421">
        <v>142.59100000000001</v>
      </c>
      <c r="AD6" s="422"/>
      <c r="AE6" s="421">
        <f>AC6+AD6</f>
        <v>142.59100000000001</v>
      </c>
      <c r="AF6" s="729">
        <v>49.746000000000002</v>
      </c>
      <c r="AG6" s="421">
        <f>AE6-AF6</f>
        <v>92.844999999999999</v>
      </c>
      <c r="AH6" s="930">
        <f>AC6+AC7+AD6+AD7</f>
        <v>178.239</v>
      </c>
      <c r="AI6" s="421">
        <v>141.19300000000001</v>
      </c>
      <c r="AJ6" s="422"/>
      <c r="AK6" s="421">
        <f>AI6+AJ6</f>
        <v>141.19300000000001</v>
      </c>
      <c r="AL6" s="423">
        <v>137.93</v>
      </c>
      <c r="AM6" s="421">
        <f>AK6-AL6</f>
        <v>3.2630000000000052</v>
      </c>
      <c r="AN6" s="1130">
        <f>AI6+AI7+AJ6+AJ7</f>
        <v>176.49100000000001</v>
      </c>
      <c r="AO6" s="421">
        <v>142.59100000000001</v>
      </c>
      <c r="AP6" s="422"/>
      <c r="AQ6" s="421">
        <f>AO6+AP6</f>
        <v>142.59100000000001</v>
      </c>
      <c r="AR6" s="423">
        <v>141.05199999999999</v>
      </c>
      <c r="AS6" s="421">
        <f>AQ6-AR6</f>
        <v>1.5390000000000157</v>
      </c>
      <c r="AT6" s="930">
        <f>AO6+AO7+AP6+AP7</f>
        <v>178.239</v>
      </c>
      <c r="AU6" s="424">
        <f>E6+K6+Q6+W6+AC6+AI6+AO6</f>
        <v>562.85</v>
      </c>
      <c r="AV6" s="442">
        <f>F6+L6+R6+X6+AD6+AJ6+AP6</f>
        <v>0</v>
      </c>
      <c r="AW6" s="421">
        <f>AU6+AV6</f>
        <v>562.85</v>
      </c>
      <c r="AX6" s="421">
        <f>H6+N6+T6+Z6+AF6+AL6+AR6</f>
        <v>440.40200000000004</v>
      </c>
      <c r="AY6" s="421">
        <f>AW6-AX6</f>
        <v>122.44799999999998</v>
      </c>
      <c r="AZ6" s="423">
        <f>AX6/AW6</f>
        <v>0.78245003109176514</v>
      </c>
      <c r="BA6" s="930">
        <f>AU6+AU7</f>
        <v>703.51900000000001</v>
      </c>
      <c r="BB6" s="930">
        <f>AV6+AV7</f>
        <v>0</v>
      </c>
      <c r="BC6" s="930">
        <f>BA6+BB6</f>
        <v>703.51900000000001</v>
      </c>
      <c r="BD6" s="930">
        <f>AX6+AX7</f>
        <v>638.827</v>
      </c>
      <c r="BE6" s="930">
        <f>BC6-BD6</f>
        <v>64.692000000000007</v>
      </c>
      <c r="BF6" s="1141">
        <f>BD6/BC6</f>
        <v>0.90804512742370846</v>
      </c>
    </row>
    <row r="7" spans="1:58">
      <c r="A7" s="889"/>
      <c r="B7" s="1010"/>
      <c r="C7" s="146">
        <v>42278</v>
      </c>
      <c r="D7" s="147">
        <v>42369</v>
      </c>
      <c r="E7" s="425">
        <v>0.34899999999999998</v>
      </c>
      <c r="F7" s="425"/>
      <c r="G7" s="425">
        <f>E7+F7+I6</f>
        <v>1.7469999999999999</v>
      </c>
      <c r="H7" s="426"/>
      <c r="I7" s="427">
        <f>G7-H7</f>
        <v>1.7469999999999999</v>
      </c>
      <c r="J7" s="1131"/>
      <c r="K7" s="427">
        <v>1.573</v>
      </c>
      <c r="L7" s="428"/>
      <c r="M7" s="427">
        <f>K7+L7+O6</f>
        <v>8.0389999999999997</v>
      </c>
      <c r="N7" s="427"/>
      <c r="O7" s="427">
        <f t="shared" ref="O7:O37" si="0">M7-N7</f>
        <v>8.0389999999999997</v>
      </c>
      <c r="P7" s="931"/>
      <c r="Q7" s="427">
        <v>11.183999999999999</v>
      </c>
      <c r="R7" s="428"/>
      <c r="S7" s="427">
        <f>Q7+R7+U6</f>
        <v>22.022999999999996</v>
      </c>
      <c r="T7" s="429">
        <v>20.321999999999999</v>
      </c>
      <c r="U7" s="427">
        <f t="shared" ref="U7:U37" si="1">S7-T7</f>
        <v>1.700999999999997</v>
      </c>
      <c r="V7" s="931"/>
      <c r="W7" s="427">
        <v>20.969000000000001</v>
      </c>
      <c r="X7" s="428"/>
      <c r="Y7" s="427">
        <f>W7+X7+AA6</f>
        <v>27.067</v>
      </c>
      <c r="Z7" s="429">
        <v>12.891</v>
      </c>
      <c r="AA7" s="427">
        <f t="shared" ref="AA7:AA37" si="2">Y7-Z7</f>
        <v>14.176</v>
      </c>
      <c r="AB7" s="931"/>
      <c r="AC7" s="427">
        <v>35.648000000000003</v>
      </c>
      <c r="AD7" s="428"/>
      <c r="AE7" s="427">
        <f>AC7+AD7+AG6</f>
        <v>128.49299999999999</v>
      </c>
      <c r="AF7" s="782">
        <v>91.02</v>
      </c>
      <c r="AG7" s="427">
        <f t="shared" ref="AG7:AG37" si="3">AE7-AF7</f>
        <v>37.472999999999999</v>
      </c>
      <c r="AH7" s="931"/>
      <c r="AI7" s="427">
        <v>35.298000000000002</v>
      </c>
      <c r="AJ7" s="428"/>
      <c r="AK7" s="427">
        <f>AI7+AJ7+AM6</f>
        <v>38.561000000000007</v>
      </c>
      <c r="AL7" s="429">
        <v>37.548999999999999</v>
      </c>
      <c r="AM7" s="427">
        <f t="shared" ref="AM7:AM37" si="4">AK7-AL7</f>
        <v>1.0120000000000076</v>
      </c>
      <c r="AN7" s="1131"/>
      <c r="AO7" s="427">
        <v>35.648000000000003</v>
      </c>
      <c r="AP7" s="428"/>
      <c r="AQ7" s="427">
        <f>AO7+AP7+AS6</f>
        <v>37.187000000000019</v>
      </c>
      <c r="AR7" s="429">
        <v>36.643000000000001</v>
      </c>
      <c r="AS7" s="427">
        <f t="shared" ref="AS7:AS37" si="5">AQ7-AR7</f>
        <v>0.54400000000001825</v>
      </c>
      <c r="AT7" s="931"/>
      <c r="AU7" s="430">
        <f t="shared" ref="AU7:AU37" si="6">E7+K7+Q7+W7+AC7+AI7+AO7</f>
        <v>140.66900000000001</v>
      </c>
      <c r="AV7" s="456">
        <f t="shared" ref="AV7:AV37" si="7">F7+L7+R7+X7+AD7+AJ7+AP7</f>
        <v>0</v>
      </c>
      <c r="AW7" s="427">
        <f>AU7+AV7+AY6</f>
        <v>263.11699999999996</v>
      </c>
      <c r="AX7" s="427">
        <f>H7+N7+T7+Z7+AF7+AL7+AR7</f>
        <v>198.42500000000001</v>
      </c>
      <c r="AY7" s="427">
        <f>AW7-AX7</f>
        <v>64.69199999999995</v>
      </c>
      <c r="AZ7" s="429">
        <f>AX7/AW7</f>
        <v>0.75413219214265914</v>
      </c>
      <c r="BA7" s="931"/>
      <c r="BB7" s="931"/>
      <c r="BC7" s="931"/>
      <c r="BD7" s="931"/>
      <c r="BE7" s="931"/>
      <c r="BF7" s="1177"/>
    </row>
    <row r="8" spans="1:58">
      <c r="A8" s="889"/>
      <c r="B8" s="1009" t="s">
        <v>27</v>
      </c>
      <c r="C8" s="142">
        <v>41640</v>
      </c>
      <c r="D8" s="143">
        <v>42216</v>
      </c>
      <c r="E8" s="419">
        <v>0.53300000000000003</v>
      </c>
      <c r="F8" s="432">
        <f>-0.533</f>
        <v>-0.53300000000000003</v>
      </c>
      <c r="G8" s="419">
        <f>E8+F8</f>
        <v>0</v>
      </c>
      <c r="H8" s="420"/>
      <c r="I8" s="421">
        <f>G8-H8</f>
        <v>0</v>
      </c>
      <c r="J8" s="1130">
        <f>E8+E9+F8+F9</f>
        <v>0</v>
      </c>
      <c r="K8" s="421">
        <v>2.4649999999999999</v>
      </c>
      <c r="L8" s="433">
        <f>-2.465</f>
        <v>-2.4649999999999999</v>
      </c>
      <c r="M8" s="421">
        <f>K8+L8</f>
        <v>0</v>
      </c>
      <c r="N8" s="421"/>
      <c r="O8" s="421">
        <f t="shared" si="0"/>
        <v>0</v>
      </c>
      <c r="P8" s="930">
        <f>K8+K9+L8+L9</f>
        <v>0</v>
      </c>
      <c r="Q8" s="421">
        <v>17.058</v>
      </c>
      <c r="R8" s="433">
        <f>-17.058</f>
        <v>-17.058</v>
      </c>
      <c r="S8" s="421">
        <f>Q8+R8</f>
        <v>0</v>
      </c>
      <c r="T8" s="423"/>
      <c r="U8" s="421">
        <f t="shared" si="1"/>
        <v>0</v>
      </c>
      <c r="V8" s="930">
        <f>Q8+Q9+R8+R9</f>
        <v>0</v>
      </c>
      <c r="W8" s="421">
        <v>31.984000000000002</v>
      </c>
      <c r="X8" s="433">
        <f>-31.984</f>
        <v>-31.984000000000002</v>
      </c>
      <c r="Y8" s="421">
        <f>W8+X8</f>
        <v>0</v>
      </c>
      <c r="Z8" s="421"/>
      <c r="AA8" s="421">
        <f t="shared" si="2"/>
        <v>0</v>
      </c>
      <c r="AB8" s="930">
        <f>W8+W9+X8+X9</f>
        <v>0</v>
      </c>
      <c r="AC8" s="421">
        <v>54.372999999999998</v>
      </c>
      <c r="AD8" s="433">
        <f>-54.373</f>
        <v>-54.372999999999998</v>
      </c>
      <c r="AE8" s="421">
        <f>AC8+AD8</f>
        <v>0</v>
      </c>
      <c r="AF8" s="421"/>
      <c r="AG8" s="421">
        <f t="shared" si="3"/>
        <v>0</v>
      </c>
      <c r="AH8" s="930">
        <f>AC8+AC9+AD8+AD9</f>
        <v>0</v>
      </c>
      <c r="AI8" s="421">
        <v>53.84</v>
      </c>
      <c r="AJ8" s="433">
        <f>-53.84</f>
        <v>-53.84</v>
      </c>
      <c r="AK8" s="421">
        <f>AI8+AJ8</f>
        <v>0</v>
      </c>
      <c r="AL8" s="421"/>
      <c r="AM8" s="421">
        <f t="shared" si="4"/>
        <v>0</v>
      </c>
      <c r="AN8" s="1130">
        <f>AI8+AI9+AJ8+AJ9</f>
        <v>0</v>
      </c>
      <c r="AO8" s="421">
        <v>54.372999999999998</v>
      </c>
      <c r="AP8" s="433">
        <f>-54.373</f>
        <v>-54.372999999999998</v>
      </c>
      <c r="AQ8" s="421">
        <f>AO8+AP8</f>
        <v>0</v>
      </c>
      <c r="AR8" s="421"/>
      <c r="AS8" s="421">
        <f t="shared" si="5"/>
        <v>0</v>
      </c>
      <c r="AT8" s="930">
        <f>AO8+AO9+AP8+AP9</f>
        <v>0</v>
      </c>
      <c r="AU8" s="424">
        <f t="shared" si="6"/>
        <v>214.626</v>
      </c>
      <c r="AV8" s="442">
        <f t="shared" si="7"/>
        <v>-214.626</v>
      </c>
      <c r="AW8" s="421">
        <f>AU8+AV8</f>
        <v>0</v>
      </c>
      <c r="AX8" s="421">
        <f>H8+N8+T8+Z8+AF8+AL8+AR8</f>
        <v>0</v>
      </c>
      <c r="AY8" s="421">
        <f t="shared" ref="AY8:AY37" si="8">AW8-AX8</f>
        <v>0</v>
      </c>
      <c r="AZ8" s="423" t="e">
        <f>AX8/AW8</f>
        <v>#DIV/0!</v>
      </c>
      <c r="BA8" s="930">
        <f>AU8+AU9</f>
        <v>268.26600000000002</v>
      </c>
      <c r="BB8" s="930">
        <f t="shared" ref="BB8" si="9">AV8+AV9</f>
        <v>-268.26600000000002</v>
      </c>
      <c r="BC8" s="930">
        <f>BA8+BB8</f>
        <v>0</v>
      </c>
      <c r="BD8" s="930">
        <f>AX8+AX9</f>
        <v>0</v>
      </c>
      <c r="BE8" s="930">
        <f t="shared" ref="BE8" si="10">BC8-BD8</f>
        <v>0</v>
      </c>
      <c r="BF8" s="1107" t="e">
        <f t="shared" ref="BF8" si="11">BD8/BC8</f>
        <v>#DIV/0!</v>
      </c>
    </row>
    <row r="9" spans="1:58">
      <c r="A9" s="889"/>
      <c r="B9" s="1162"/>
      <c r="C9" s="146">
        <v>42278</v>
      </c>
      <c r="D9" s="147">
        <v>42369</v>
      </c>
      <c r="E9" s="434">
        <v>0.13300000000000001</v>
      </c>
      <c r="F9" s="435">
        <f>-0.133</f>
        <v>-0.13300000000000001</v>
      </c>
      <c r="G9" s="434">
        <f>E9+F9+I8</f>
        <v>0</v>
      </c>
      <c r="H9" s="436"/>
      <c r="I9" s="437">
        <f>G9-H9</f>
        <v>0</v>
      </c>
      <c r="J9" s="1164"/>
      <c r="K9" s="280">
        <v>0.6</v>
      </c>
      <c r="L9" s="438">
        <f>-0.6</f>
        <v>-0.6</v>
      </c>
      <c r="M9" s="437">
        <f>K9+L9+O8</f>
        <v>0</v>
      </c>
      <c r="N9" s="437"/>
      <c r="O9" s="437">
        <f t="shared" si="0"/>
        <v>0</v>
      </c>
      <c r="P9" s="1030"/>
      <c r="Q9" s="280">
        <v>4.2649999999999997</v>
      </c>
      <c r="R9" s="438">
        <f>-4.265</f>
        <v>-4.2649999999999997</v>
      </c>
      <c r="S9" s="437">
        <f>Q9+R9+U8</f>
        <v>0</v>
      </c>
      <c r="T9" s="439"/>
      <c r="U9" s="437">
        <f t="shared" si="1"/>
        <v>0</v>
      </c>
      <c r="V9" s="1030"/>
      <c r="W9" s="280">
        <v>7.9960000000000004</v>
      </c>
      <c r="X9" s="438">
        <f>-7.996</f>
        <v>-7.9960000000000004</v>
      </c>
      <c r="Y9" s="437">
        <f>W9+X9+AA8</f>
        <v>0</v>
      </c>
      <c r="Z9" s="437"/>
      <c r="AA9" s="437">
        <f t="shared" si="2"/>
        <v>0</v>
      </c>
      <c r="AB9" s="1030"/>
      <c r="AC9" s="280">
        <v>13.593</v>
      </c>
      <c r="AD9" s="438">
        <f>-13.593</f>
        <v>-13.593</v>
      </c>
      <c r="AE9" s="437">
        <f>AC9+AD9+AG8</f>
        <v>0</v>
      </c>
      <c r="AF9" s="437"/>
      <c r="AG9" s="437">
        <f t="shared" si="3"/>
        <v>0</v>
      </c>
      <c r="AH9" s="1030"/>
      <c r="AI9" s="280">
        <v>13.46</v>
      </c>
      <c r="AJ9" s="438">
        <f>-13.46</f>
        <v>-13.46</v>
      </c>
      <c r="AK9" s="437">
        <f>AI9+AJ9+AM8</f>
        <v>0</v>
      </c>
      <c r="AL9" s="437"/>
      <c r="AM9" s="437">
        <f t="shared" si="4"/>
        <v>0</v>
      </c>
      <c r="AN9" s="1164"/>
      <c r="AO9" s="280">
        <v>13.593</v>
      </c>
      <c r="AP9" s="438">
        <f>-13.593</f>
        <v>-13.593</v>
      </c>
      <c r="AQ9" s="437">
        <f>AO9+AP9+AS8</f>
        <v>0</v>
      </c>
      <c r="AR9" s="437"/>
      <c r="AS9" s="437">
        <f t="shared" si="5"/>
        <v>0</v>
      </c>
      <c r="AT9" s="1030"/>
      <c r="AU9" s="440">
        <f t="shared" si="6"/>
        <v>53.64</v>
      </c>
      <c r="AV9" s="457">
        <f t="shared" si="7"/>
        <v>-53.64</v>
      </c>
      <c r="AW9" s="437">
        <f>AU9+AV9+AY8</f>
        <v>0</v>
      </c>
      <c r="AX9" s="437">
        <f>H9+N9+T9+Z9+AF9+AL9+AR9</f>
        <v>0</v>
      </c>
      <c r="AY9" s="437">
        <f t="shared" si="8"/>
        <v>0</v>
      </c>
      <c r="AZ9" s="439" t="e">
        <f t="shared" ref="AZ9:AZ37" si="12">AX9/AW9</f>
        <v>#DIV/0!</v>
      </c>
      <c r="BA9" s="931"/>
      <c r="BB9" s="931"/>
      <c r="BC9" s="931"/>
      <c r="BD9" s="1030"/>
      <c r="BE9" s="931"/>
      <c r="BF9" s="1127"/>
    </row>
    <row r="10" spans="1:58">
      <c r="A10" s="889"/>
      <c r="B10" s="1161" t="s">
        <v>10</v>
      </c>
      <c r="C10" s="142">
        <v>41640</v>
      </c>
      <c r="D10" s="143">
        <v>42216</v>
      </c>
      <c r="E10" s="419">
        <v>0.17100000000000001</v>
      </c>
      <c r="F10" s="419"/>
      <c r="G10" s="419">
        <f>E10+F10</f>
        <v>0.17100000000000001</v>
      </c>
      <c r="H10" s="420"/>
      <c r="I10" s="421">
        <f>G10-H10</f>
        <v>0.17100000000000001</v>
      </c>
      <c r="J10" s="1130">
        <f>E10+E11+F10+F11</f>
        <v>0.21400000000000002</v>
      </c>
      <c r="K10" s="421">
        <v>0.79100000000000004</v>
      </c>
      <c r="L10" s="421"/>
      <c r="M10" s="421">
        <f>K10+L10</f>
        <v>0.79100000000000004</v>
      </c>
      <c r="N10" s="421"/>
      <c r="O10" s="421">
        <f t="shared" si="0"/>
        <v>0.79100000000000004</v>
      </c>
      <c r="P10" s="930">
        <f>K10+K11+L10+L11</f>
        <v>0.98399999999999999</v>
      </c>
      <c r="Q10" s="421">
        <v>5.476</v>
      </c>
      <c r="R10" s="515">
        <v>-4.0259999999999997E-2</v>
      </c>
      <c r="S10" s="421">
        <f>Q10+R10</f>
        <v>5.43574</v>
      </c>
      <c r="T10" s="423"/>
      <c r="U10" s="421">
        <f t="shared" si="1"/>
        <v>5.43574</v>
      </c>
      <c r="V10" s="930">
        <f>Q10+Q11+R10+R11</f>
        <v>6.8047399999999998</v>
      </c>
      <c r="W10" s="421">
        <v>10.268000000000001</v>
      </c>
      <c r="X10" s="515">
        <v>-4.0259999999999997E-2</v>
      </c>
      <c r="Y10" s="421">
        <f>W10+X10</f>
        <v>10.227740000000001</v>
      </c>
      <c r="Z10" s="421"/>
      <c r="AA10" s="421">
        <f t="shared" si="2"/>
        <v>10.227740000000001</v>
      </c>
      <c r="AB10" s="930">
        <f>W10+W11+X10+X11</f>
        <v>12.794740000000001</v>
      </c>
      <c r="AC10" s="421">
        <v>17.454999999999998</v>
      </c>
      <c r="AD10" s="515">
        <v>-4.0259999999999997E-2</v>
      </c>
      <c r="AE10" s="421">
        <f>AC10+AD10</f>
        <v>17.414739999999998</v>
      </c>
      <c r="AF10" s="421"/>
      <c r="AG10" s="421">
        <f t="shared" si="3"/>
        <v>17.414739999999998</v>
      </c>
      <c r="AH10" s="930">
        <f>AC10+AC11+AD10+AD11</f>
        <v>21.778739999999999</v>
      </c>
      <c r="AI10" s="421">
        <v>17.283999999999999</v>
      </c>
      <c r="AJ10" s="515">
        <f>-0.04026-17.244</f>
        <v>-17.28426</v>
      </c>
      <c r="AK10" s="421">
        <f>AI10+AJ10</f>
        <v>-2.6000000000081513E-4</v>
      </c>
      <c r="AL10" s="421"/>
      <c r="AM10" s="421">
        <f t="shared" si="4"/>
        <v>-2.6000000000081513E-4</v>
      </c>
      <c r="AN10" s="1130">
        <f>AI10+AI11+AJ10+AJ11</f>
        <v>2.3197399999999972</v>
      </c>
      <c r="AO10" s="421">
        <v>17.454999999999998</v>
      </c>
      <c r="AP10" s="515">
        <f>-0.04026-17.415</f>
        <v>-17.455259999999999</v>
      </c>
      <c r="AQ10" s="421">
        <f>AO10+AP10</f>
        <v>-2.6000000000081513E-4</v>
      </c>
      <c r="AR10" s="421"/>
      <c r="AS10" s="421">
        <f t="shared" si="5"/>
        <v>-2.6000000000081513E-4</v>
      </c>
      <c r="AT10" s="930">
        <f>AO10+AO11+AP10+AP11</f>
        <v>2.3727399999999998</v>
      </c>
      <c r="AU10" s="424">
        <f t="shared" si="6"/>
        <v>68.900000000000006</v>
      </c>
      <c r="AV10" s="442">
        <f t="shared" si="7"/>
        <v>-34.860299999999995</v>
      </c>
      <c r="AW10" s="421">
        <f>AU10+AV10</f>
        <v>34.039700000000011</v>
      </c>
      <c r="AX10" s="421">
        <f t="shared" ref="AX10:AX37" si="13">H10+N10+T10+Z10+AF10+AL10+AR10</f>
        <v>0</v>
      </c>
      <c r="AY10" s="421">
        <f t="shared" si="8"/>
        <v>34.039700000000011</v>
      </c>
      <c r="AZ10" s="423">
        <f t="shared" si="12"/>
        <v>0</v>
      </c>
      <c r="BA10" s="930">
        <f>AU10+AU11</f>
        <v>86.121000000000009</v>
      </c>
      <c r="BB10" s="930">
        <f t="shared" ref="BB10" si="14">AV10+AV11</f>
        <v>-39.013340159999998</v>
      </c>
      <c r="BC10" s="930">
        <f>BA10+BB10</f>
        <v>47.107659840000011</v>
      </c>
      <c r="BD10" s="930">
        <f>AX10+AX11</f>
        <v>0</v>
      </c>
      <c r="BE10" s="930">
        <f t="shared" ref="BE10" si="15">BC10-BD10</f>
        <v>47.107659840000011</v>
      </c>
      <c r="BF10" s="1107">
        <f t="shared" ref="BF10" si="16">BD10/BC10</f>
        <v>0</v>
      </c>
    </row>
    <row r="11" spans="1:58">
      <c r="A11" s="889"/>
      <c r="B11" s="1010"/>
      <c r="C11" s="146">
        <v>42278</v>
      </c>
      <c r="D11" s="147">
        <v>42369</v>
      </c>
      <c r="E11" s="425">
        <v>4.2999999999999997E-2</v>
      </c>
      <c r="F11" s="425"/>
      <c r="G11" s="425">
        <f>E11+F11+I10</f>
        <v>0.21400000000000002</v>
      </c>
      <c r="H11" s="426"/>
      <c r="I11" s="427">
        <f t="shared" ref="I11:I37" si="17">G11-H11</f>
        <v>0.21400000000000002</v>
      </c>
      <c r="J11" s="1131"/>
      <c r="K11" s="278">
        <v>0.193</v>
      </c>
      <c r="L11" s="427"/>
      <c r="M11" s="427">
        <f>K11+L11+O10</f>
        <v>0.98399999999999999</v>
      </c>
      <c r="N11" s="427"/>
      <c r="O11" s="427">
        <f t="shared" si="0"/>
        <v>0.98399999999999999</v>
      </c>
      <c r="P11" s="931"/>
      <c r="Q11" s="278">
        <v>1.369</v>
      </c>
      <c r="R11" s="441"/>
      <c r="S11" s="427">
        <f>Q11+R11+U10</f>
        <v>6.8047399999999998</v>
      </c>
      <c r="T11" s="429"/>
      <c r="U11" s="427">
        <f t="shared" si="1"/>
        <v>6.8047399999999998</v>
      </c>
      <c r="V11" s="931"/>
      <c r="W11" s="278">
        <v>2.5670000000000002</v>
      </c>
      <c r="X11" s="441"/>
      <c r="Y11" s="427">
        <f>W11+X11+AA10</f>
        <v>12.794740000000001</v>
      </c>
      <c r="Z11" s="427"/>
      <c r="AA11" s="427">
        <f t="shared" si="2"/>
        <v>12.794740000000001</v>
      </c>
      <c r="AB11" s="931"/>
      <c r="AC11" s="278">
        <v>4.3639999999999999</v>
      </c>
      <c r="AD11" s="441"/>
      <c r="AE11" s="427">
        <f>AC11+AD11+AG10</f>
        <v>21.778739999999999</v>
      </c>
      <c r="AF11" s="441"/>
      <c r="AG11" s="427">
        <f t="shared" si="3"/>
        <v>21.778739999999999</v>
      </c>
      <c r="AH11" s="931"/>
      <c r="AI11" s="278">
        <v>4.3209999999999997</v>
      </c>
      <c r="AJ11" s="441">
        <f>-2.001</f>
        <v>-2.0009999999999999</v>
      </c>
      <c r="AK11" s="427">
        <f>AI11+AJ11+AM10</f>
        <v>2.319739999999999</v>
      </c>
      <c r="AL11" s="427"/>
      <c r="AM11" s="427">
        <f t="shared" si="4"/>
        <v>2.319739999999999</v>
      </c>
      <c r="AN11" s="1131"/>
      <c r="AO11" s="278">
        <v>4.3639999999999999</v>
      </c>
      <c r="AP11" s="441">
        <f>-1.991</f>
        <v>-1.9910000000000001</v>
      </c>
      <c r="AQ11" s="427">
        <f>AO11+AP11+AS10</f>
        <v>2.372739999999999</v>
      </c>
      <c r="AR11" s="427"/>
      <c r="AS11" s="427">
        <f t="shared" si="5"/>
        <v>2.372739999999999</v>
      </c>
      <c r="AT11" s="931"/>
      <c r="AU11" s="430">
        <f t="shared" si="6"/>
        <v>17.221</v>
      </c>
      <c r="AV11" s="456">
        <f>F11+L11+R11+X11+AD11+AJ11+AP11-0.16104016</f>
        <v>-4.1530401599999998</v>
      </c>
      <c r="AW11" s="427">
        <f>AU11+AV11+AY10</f>
        <v>47.107659840000011</v>
      </c>
      <c r="AX11" s="427">
        <f t="shared" si="13"/>
        <v>0</v>
      </c>
      <c r="AY11" s="427">
        <f t="shared" si="8"/>
        <v>47.107659840000011</v>
      </c>
      <c r="AZ11" s="429">
        <f t="shared" si="12"/>
        <v>0</v>
      </c>
      <c r="BA11" s="931"/>
      <c r="BB11" s="931"/>
      <c r="BC11" s="931"/>
      <c r="BD11" s="931"/>
      <c r="BE11" s="931"/>
      <c r="BF11" s="1127"/>
    </row>
    <row r="12" spans="1:58">
      <c r="A12" s="889"/>
      <c r="B12" s="1009" t="s">
        <v>28</v>
      </c>
      <c r="C12" s="142">
        <v>41640</v>
      </c>
      <c r="D12" s="143">
        <v>42216</v>
      </c>
      <c r="E12" s="419">
        <v>1.373</v>
      </c>
      <c r="F12" s="419"/>
      <c r="G12" s="419">
        <f>E12+F12</f>
        <v>1.373</v>
      </c>
      <c r="H12" s="420"/>
      <c r="I12" s="421">
        <f t="shared" si="17"/>
        <v>1.373</v>
      </c>
      <c r="J12" s="1130">
        <f>E12+E13+F12+F13</f>
        <v>1.716</v>
      </c>
      <c r="K12" s="421">
        <v>6.3490000000000002</v>
      </c>
      <c r="L12" s="421"/>
      <c r="M12" s="421">
        <f>K12+L12</f>
        <v>6.3490000000000002</v>
      </c>
      <c r="N12" s="421"/>
      <c r="O12" s="421">
        <f t="shared" si="0"/>
        <v>6.3490000000000002</v>
      </c>
      <c r="P12" s="930">
        <f>K12+K13+L12+L13</f>
        <v>7.8930000000000007</v>
      </c>
      <c r="Q12" s="421">
        <v>43.927999999999997</v>
      </c>
      <c r="R12" s="589">
        <f>-39.334</f>
        <v>-39.334000000000003</v>
      </c>
      <c r="S12" s="421">
        <f>Q12+R12</f>
        <v>4.5939999999999941</v>
      </c>
      <c r="T12" s="423">
        <v>8.9380000000000006</v>
      </c>
      <c r="U12" s="421">
        <f t="shared" si="1"/>
        <v>-4.3440000000000065</v>
      </c>
      <c r="V12" s="930">
        <f>Q12+Q13+R12+R13</f>
        <v>15.575999999999993</v>
      </c>
      <c r="W12" s="421">
        <v>82.364000000000004</v>
      </c>
      <c r="X12" s="515"/>
      <c r="Y12" s="421">
        <f>W12+X12</f>
        <v>82.364000000000004</v>
      </c>
      <c r="Z12" s="624">
        <v>57.115000000000002</v>
      </c>
      <c r="AA12" s="421">
        <f t="shared" si="2"/>
        <v>25.249000000000002</v>
      </c>
      <c r="AB12" s="930">
        <f>W12+W13+X12+X13</f>
        <v>102.95500000000001</v>
      </c>
      <c r="AC12" s="421">
        <v>140.01900000000001</v>
      </c>
      <c r="AD12" s="515"/>
      <c r="AE12" s="421">
        <f>AC12+AD12</f>
        <v>140.01900000000001</v>
      </c>
      <c r="AF12" s="579">
        <v>29.984999999999999</v>
      </c>
      <c r="AG12" s="442">
        <f t="shared" si="3"/>
        <v>110.03400000000001</v>
      </c>
      <c r="AH12" s="930">
        <f>AC12+AC13+AD12+AD13</f>
        <v>175.024</v>
      </c>
      <c r="AI12" s="421">
        <v>138.64599999999999</v>
      </c>
      <c r="AJ12" s="515"/>
      <c r="AK12" s="421">
        <f>AI12+AJ12</f>
        <v>138.64599999999999</v>
      </c>
      <c r="AL12" s="423">
        <v>133.96899999999999</v>
      </c>
      <c r="AM12" s="421">
        <f t="shared" si="4"/>
        <v>4.6769999999999925</v>
      </c>
      <c r="AN12" s="1130">
        <f>AI12+AI13+AJ12+AJ13</f>
        <v>173.30799999999999</v>
      </c>
      <c r="AO12" s="421">
        <v>140.01900000000001</v>
      </c>
      <c r="AP12" s="515"/>
      <c r="AQ12" s="421">
        <f>AO12+AP12</f>
        <v>140.01900000000001</v>
      </c>
      <c r="AR12" s="423">
        <v>70.760999999999996</v>
      </c>
      <c r="AS12" s="421">
        <f t="shared" si="5"/>
        <v>69.25800000000001</v>
      </c>
      <c r="AT12" s="930">
        <f>AO12+AO13+AP12+AP13</f>
        <v>175.024</v>
      </c>
      <c r="AU12" s="424">
        <f t="shared" si="6"/>
        <v>552.69799999999998</v>
      </c>
      <c r="AV12" s="442">
        <f t="shared" si="7"/>
        <v>-39.334000000000003</v>
      </c>
      <c r="AW12" s="421">
        <f>AU12+AV12</f>
        <v>513.36400000000003</v>
      </c>
      <c r="AX12" s="421">
        <f t="shared" si="13"/>
        <v>300.76800000000003</v>
      </c>
      <c r="AY12" s="421">
        <f t="shared" si="8"/>
        <v>212.596</v>
      </c>
      <c r="AZ12" s="423">
        <f t="shared" si="12"/>
        <v>0.58587668788617819</v>
      </c>
      <c r="BA12" s="930">
        <f>AU12+AU13</f>
        <v>690.82999999999993</v>
      </c>
      <c r="BB12" s="1013">
        <f t="shared" ref="BB12" si="18">AV12+AV13</f>
        <v>-39.334000000000003</v>
      </c>
      <c r="BC12" s="930">
        <f>BA12+BB12</f>
        <v>651.49599999999987</v>
      </c>
      <c r="BD12" s="930">
        <f>AX12+AX13</f>
        <v>354.62</v>
      </c>
      <c r="BE12" s="930">
        <f t="shared" ref="BE12" si="19">BC12-BD12</f>
        <v>296.87599999999986</v>
      </c>
      <c r="BF12" s="1107">
        <f t="shared" ref="BF12" si="20">BD12/BC12</f>
        <v>0.54431646548866008</v>
      </c>
    </row>
    <row r="13" spans="1:58">
      <c r="A13" s="889"/>
      <c r="B13" s="1162"/>
      <c r="C13" s="146">
        <v>42278</v>
      </c>
      <c r="D13" s="147">
        <v>42369</v>
      </c>
      <c r="E13" s="434">
        <v>0.34300000000000003</v>
      </c>
      <c r="F13" s="434"/>
      <c r="G13" s="434">
        <f>E13+F13+I12</f>
        <v>1.716</v>
      </c>
      <c r="H13" s="436"/>
      <c r="I13" s="437">
        <f t="shared" si="17"/>
        <v>1.716</v>
      </c>
      <c r="J13" s="1164"/>
      <c r="K13" s="280">
        <v>1.544</v>
      </c>
      <c r="L13" s="437"/>
      <c r="M13" s="437">
        <f>K13+L13+O12</f>
        <v>7.8930000000000007</v>
      </c>
      <c r="N13" s="437"/>
      <c r="O13" s="437">
        <f t="shared" si="0"/>
        <v>7.8930000000000007</v>
      </c>
      <c r="P13" s="1030"/>
      <c r="Q13" s="280">
        <v>10.981999999999999</v>
      </c>
      <c r="R13" s="744"/>
      <c r="S13" s="437">
        <f>Q13+R13+U12</f>
        <v>6.6379999999999928</v>
      </c>
      <c r="T13" s="439">
        <v>4.5780000000000003</v>
      </c>
      <c r="U13" s="437">
        <f t="shared" si="1"/>
        <v>2.0599999999999925</v>
      </c>
      <c r="V13" s="1030"/>
      <c r="W13" s="280">
        <v>20.591000000000001</v>
      </c>
      <c r="X13" s="438"/>
      <c r="Y13" s="437">
        <f>W13+X13+AA12</f>
        <v>45.84</v>
      </c>
      <c r="Z13" s="820">
        <v>8.3780000000000001</v>
      </c>
      <c r="AA13" s="437">
        <f t="shared" si="2"/>
        <v>37.462000000000003</v>
      </c>
      <c r="AB13" s="1030"/>
      <c r="AC13" s="280">
        <v>35.005000000000003</v>
      </c>
      <c r="AD13" s="518"/>
      <c r="AE13" s="437">
        <f>AC13+AD13+AG12</f>
        <v>145.03900000000002</v>
      </c>
      <c r="AF13" s="820">
        <v>2.2010000000000001</v>
      </c>
      <c r="AG13" s="437">
        <f t="shared" si="3"/>
        <v>142.83800000000002</v>
      </c>
      <c r="AH13" s="1030"/>
      <c r="AI13" s="280">
        <v>34.661999999999999</v>
      </c>
      <c r="AJ13" s="443"/>
      <c r="AK13" s="437">
        <f>AI13+AJ13+AM12</f>
        <v>39.338999999999992</v>
      </c>
      <c r="AL13" s="439">
        <v>33.945999999999998</v>
      </c>
      <c r="AM13" s="437">
        <f t="shared" si="4"/>
        <v>5.3929999999999936</v>
      </c>
      <c r="AN13" s="1164"/>
      <c r="AO13" s="280">
        <v>35.005000000000003</v>
      </c>
      <c r="AP13" s="518"/>
      <c r="AQ13" s="437">
        <f>AO13+AP13+AS12</f>
        <v>104.26300000000001</v>
      </c>
      <c r="AR13" s="439">
        <v>4.7489999999999997</v>
      </c>
      <c r="AS13" s="437">
        <f t="shared" si="5"/>
        <v>99.51400000000001</v>
      </c>
      <c r="AT13" s="1030"/>
      <c r="AU13" s="440">
        <f t="shared" si="6"/>
        <v>138.13200000000001</v>
      </c>
      <c r="AV13" s="457">
        <f t="shared" si="7"/>
        <v>0</v>
      </c>
      <c r="AW13" s="437">
        <f>AU13+AV13+AY12</f>
        <v>350.72800000000001</v>
      </c>
      <c r="AX13" s="437">
        <f t="shared" si="13"/>
        <v>53.851999999999997</v>
      </c>
      <c r="AY13" s="437">
        <f t="shared" si="8"/>
        <v>296.87600000000003</v>
      </c>
      <c r="AZ13" s="439">
        <f t="shared" si="12"/>
        <v>0.1535434866905408</v>
      </c>
      <c r="BA13" s="931"/>
      <c r="BB13" s="1014"/>
      <c r="BC13" s="931"/>
      <c r="BD13" s="1030"/>
      <c r="BE13" s="931"/>
      <c r="BF13" s="1127"/>
    </row>
    <row r="14" spans="1:58" ht="15" customHeight="1">
      <c r="A14" s="889"/>
      <c r="B14" s="1161" t="s">
        <v>8</v>
      </c>
      <c r="C14" s="142">
        <v>41640</v>
      </c>
      <c r="D14" s="143">
        <v>42216</v>
      </c>
      <c r="E14" s="419">
        <v>7.0000000000000001E-3</v>
      </c>
      <c r="F14" s="419"/>
      <c r="G14" s="419">
        <f>E14+F14</f>
        <v>7.0000000000000001E-3</v>
      </c>
      <c r="H14" s="419"/>
      <c r="I14" s="421">
        <f t="shared" si="17"/>
        <v>7.0000000000000001E-3</v>
      </c>
      <c r="J14" s="1130">
        <f>E14+E15+F14+F15</f>
        <v>9.0000000000000011E-3</v>
      </c>
      <c r="K14" s="421">
        <v>3.3000000000000002E-2</v>
      </c>
      <c r="L14" s="421"/>
      <c r="M14" s="421">
        <f>K14+L14</f>
        <v>3.3000000000000002E-2</v>
      </c>
      <c r="N14" s="421"/>
      <c r="O14" s="421">
        <f t="shared" si="0"/>
        <v>3.3000000000000002E-2</v>
      </c>
      <c r="P14" s="930">
        <f>K14+K15+L14+L15</f>
        <v>4.1000000000000002E-2</v>
      </c>
      <c r="Q14" s="421">
        <v>0.22800000000000001</v>
      </c>
      <c r="R14" s="515"/>
      <c r="S14" s="421">
        <f>Q14+R14</f>
        <v>0.22800000000000001</v>
      </c>
      <c r="T14" s="423"/>
      <c r="U14" s="421">
        <f t="shared" si="1"/>
        <v>0.22800000000000001</v>
      </c>
      <c r="V14" s="930">
        <f>Q14+Q15+R14+R15</f>
        <v>0.28500000000000003</v>
      </c>
      <c r="W14" s="421">
        <v>0.42699999999999999</v>
      </c>
      <c r="X14" s="515">
        <f>-0.0040269-0.0040269</f>
        <v>-8.0537999999999998E-3</v>
      </c>
      <c r="Y14" s="421">
        <f>W14+X14</f>
        <v>0.41894619999999999</v>
      </c>
      <c r="Z14" s="421"/>
      <c r="AA14" s="421">
        <f t="shared" si="2"/>
        <v>0.41894619999999999</v>
      </c>
      <c r="AB14" s="930">
        <f>W14+W15+X14+X15</f>
        <v>0.52594620000000003</v>
      </c>
      <c r="AC14" s="421">
        <v>0.72699999999999998</v>
      </c>
      <c r="AD14" s="515"/>
      <c r="AE14" s="421">
        <f>AC14+AD14</f>
        <v>0.72699999999999998</v>
      </c>
      <c r="AF14" s="421"/>
      <c r="AG14" s="421">
        <f t="shared" si="3"/>
        <v>0.72699999999999998</v>
      </c>
      <c r="AH14" s="930">
        <f>AC14+AC15+AD14+AD15</f>
        <v>0.90900000000000003</v>
      </c>
      <c r="AI14" s="421">
        <v>0.71899999999999997</v>
      </c>
      <c r="AJ14" s="515">
        <f>19.245</f>
        <v>19.245000000000001</v>
      </c>
      <c r="AK14" s="421">
        <f>AI14+AJ14</f>
        <v>19.964000000000002</v>
      </c>
      <c r="AL14" s="421"/>
      <c r="AM14" s="421">
        <f t="shared" si="4"/>
        <v>19.964000000000002</v>
      </c>
      <c r="AN14" s="1130">
        <f>AI14+AI15+AJ14+AJ15</f>
        <v>20.144000000000002</v>
      </c>
      <c r="AO14" s="421">
        <v>0.72699999999999998</v>
      </c>
      <c r="AP14" s="515">
        <f>19.406</f>
        <v>19.405999999999999</v>
      </c>
      <c r="AQ14" s="421">
        <f>AO14+AP14</f>
        <v>20.132999999999999</v>
      </c>
      <c r="AR14" s="421"/>
      <c r="AS14" s="421">
        <f t="shared" si="5"/>
        <v>20.132999999999999</v>
      </c>
      <c r="AT14" s="930">
        <f>AO14+AO15+AP14+AP15</f>
        <v>20.314999999999998</v>
      </c>
      <c r="AU14" s="424">
        <f t="shared" si="6"/>
        <v>2.8679999999999999</v>
      </c>
      <c r="AV14" s="442">
        <f t="shared" si="7"/>
        <v>38.642946199999997</v>
      </c>
      <c r="AW14" s="421">
        <f>AU14+AV14</f>
        <v>41.510946199999999</v>
      </c>
      <c r="AX14" s="421">
        <f t="shared" si="13"/>
        <v>0</v>
      </c>
      <c r="AY14" s="421">
        <f t="shared" si="8"/>
        <v>41.510946199999999</v>
      </c>
      <c r="AZ14" s="423">
        <f t="shared" si="12"/>
        <v>0</v>
      </c>
      <c r="BA14" s="930">
        <f t="shared" ref="BA14" si="21">AU14+AU15</f>
        <v>3.5859999999999999</v>
      </c>
      <c r="BB14" s="930">
        <f t="shared" ref="BB14" si="22">AV14+AV15</f>
        <v>38.642946199999997</v>
      </c>
      <c r="BC14" s="930">
        <f t="shared" ref="BC14" si="23">BA14+BB14</f>
        <v>42.228946199999996</v>
      </c>
      <c r="BD14" s="930">
        <f>AX14+AX15</f>
        <v>37.871000000000002</v>
      </c>
      <c r="BE14" s="930">
        <f t="shared" ref="BE14" si="24">BC14-BD14</f>
        <v>4.3579461999999936</v>
      </c>
      <c r="BF14" s="1141">
        <f t="shared" ref="BF14" si="25">BD14/BC14</f>
        <v>0.89680191924846109</v>
      </c>
    </row>
    <row r="15" spans="1:58" ht="15" customHeight="1">
      <c r="A15" s="889"/>
      <c r="B15" s="1010"/>
      <c r="C15" s="146">
        <v>42278</v>
      </c>
      <c r="D15" s="147">
        <v>42369</v>
      </c>
      <c r="E15" s="425">
        <v>2E-3</v>
      </c>
      <c r="F15" s="425"/>
      <c r="G15" s="425">
        <f>E15+F15+I14</f>
        <v>9.0000000000000011E-3</v>
      </c>
      <c r="H15" s="425"/>
      <c r="I15" s="427">
        <f t="shared" si="17"/>
        <v>9.0000000000000011E-3</v>
      </c>
      <c r="J15" s="1131"/>
      <c r="K15" s="278">
        <v>8.0000000000000002E-3</v>
      </c>
      <c r="L15" s="427"/>
      <c r="M15" s="427">
        <f>K15+L15+O14</f>
        <v>4.1000000000000002E-2</v>
      </c>
      <c r="N15" s="427"/>
      <c r="O15" s="427">
        <f t="shared" si="0"/>
        <v>4.1000000000000002E-2</v>
      </c>
      <c r="P15" s="931"/>
      <c r="Q15" s="278">
        <v>5.7000000000000002E-2</v>
      </c>
      <c r="R15" s="516"/>
      <c r="S15" s="427">
        <f>Q15+R15+U14</f>
        <v>0.28500000000000003</v>
      </c>
      <c r="T15" s="429"/>
      <c r="U15" s="427">
        <f t="shared" si="1"/>
        <v>0.28500000000000003</v>
      </c>
      <c r="V15" s="931"/>
      <c r="W15" s="278">
        <v>0.107</v>
      </c>
      <c r="X15" s="516"/>
      <c r="Y15" s="427">
        <f>W15+X15+AA14</f>
        <v>0.52594620000000003</v>
      </c>
      <c r="Z15" s="427"/>
      <c r="AA15" s="427">
        <f t="shared" si="2"/>
        <v>0.52594620000000003</v>
      </c>
      <c r="AB15" s="931"/>
      <c r="AC15" s="278">
        <v>0.182</v>
      </c>
      <c r="AD15" s="516"/>
      <c r="AE15" s="427">
        <f>AC15+AD15+AG14</f>
        <v>0.90900000000000003</v>
      </c>
      <c r="AF15" s="427"/>
      <c r="AG15" s="427">
        <f t="shared" si="3"/>
        <v>0.90900000000000003</v>
      </c>
      <c r="AH15" s="931"/>
      <c r="AI15" s="278">
        <v>0.18</v>
      </c>
      <c r="AJ15" s="516"/>
      <c r="AK15" s="427">
        <f>AI15+AJ15+AM14</f>
        <v>20.144000000000002</v>
      </c>
      <c r="AL15" s="429">
        <v>20.876000000000001</v>
      </c>
      <c r="AM15" s="818">
        <f t="shared" si="4"/>
        <v>-0.73199999999999932</v>
      </c>
      <c r="AN15" s="1131"/>
      <c r="AO15" s="278">
        <v>0.182</v>
      </c>
      <c r="AP15" s="516"/>
      <c r="AQ15" s="427">
        <f>AO15+AP15+AS14</f>
        <v>20.314999999999998</v>
      </c>
      <c r="AR15" s="429">
        <v>16.995000000000001</v>
      </c>
      <c r="AS15" s="427">
        <f t="shared" si="5"/>
        <v>3.3199999999999967</v>
      </c>
      <c r="AT15" s="931"/>
      <c r="AU15" s="430">
        <f t="shared" si="6"/>
        <v>0.71799999999999997</v>
      </c>
      <c r="AV15" s="456">
        <f t="shared" si="7"/>
        <v>0</v>
      </c>
      <c r="AW15" s="427">
        <f>AU15+AV15+AY14</f>
        <v>42.228946199999996</v>
      </c>
      <c r="AX15" s="427">
        <f t="shared" si="13"/>
        <v>37.871000000000002</v>
      </c>
      <c r="AY15" s="427">
        <f t="shared" si="8"/>
        <v>4.3579461999999936</v>
      </c>
      <c r="AZ15" s="429">
        <f t="shared" si="12"/>
        <v>0.89680191924846109</v>
      </c>
      <c r="BA15" s="931"/>
      <c r="BB15" s="931"/>
      <c r="BC15" s="931"/>
      <c r="BD15" s="931"/>
      <c r="BE15" s="931"/>
      <c r="BF15" s="1177"/>
    </row>
    <row r="16" spans="1:58">
      <c r="A16" s="889"/>
      <c r="B16" s="1009" t="s">
        <v>204</v>
      </c>
      <c r="C16" s="142">
        <v>41640</v>
      </c>
      <c r="D16" s="143">
        <v>42216</v>
      </c>
      <c r="E16" s="419">
        <v>4.3999999999999997E-2</v>
      </c>
      <c r="F16" s="419"/>
      <c r="G16" s="419">
        <f>E16+F16</f>
        <v>4.3999999999999997E-2</v>
      </c>
      <c r="H16" s="420"/>
      <c r="I16" s="421">
        <f>G16-H16</f>
        <v>4.3999999999999997E-2</v>
      </c>
      <c r="J16" s="1130">
        <f>E16+E17+F16+F17</f>
        <v>5.4999999999999993E-2</v>
      </c>
      <c r="K16" s="421">
        <v>0.20399999999999999</v>
      </c>
      <c r="L16" s="421"/>
      <c r="M16" s="421">
        <f>K16+L16</f>
        <v>0.20399999999999999</v>
      </c>
      <c r="N16" s="421"/>
      <c r="O16" s="421">
        <f t="shared" si="0"/>
        <v>0.20399999999999999</v>
      </c>
      <c r="P16" s="930">
        <f>K16+K17+L16+L17</f>
        <v>0.254</v>
      </c>
      <c r="Q16" s="421">
        <v>1.413</v>
      </c>
      <c r="R16" s="515"/>
      <c r="S16" s="421">
        <f>Q16+R16</f>
        <v>1.413</v>
      </c>
      <c r="T16" s="423"/>
      <c r="U16" s="421">
        <f t="shared" si="1"/>
        <v>1.413</v>
      </c>
      <c r="V16" s="930">
        <f>Q16+Q17+R16+R17</f>
        <v>1.766</v>
      </c>
      <c r="W16" s="421">
        <v>2.65</v>
      </c>
      <c r="X16" s="515"/>
      <c r="Y16" s="421">
        <f>W16+X16</f>
        <v>2.65</v>
      </c>
      <c r="Z16" s="421"/>
      <c r="AA16" s="421">
        <f t="shared" si="2"/>
        <v>2.65</v>
      </c>
      <c r="AB16" s="930">
        <f>W16+W17+X16+X17</f>
        <v>22.312999999999999</v>
      </c>
      <c r="AC16" s="421">
        <v>4.5049999999999999</v>
      </c>
      <c r="AD16" s="515"/>
      <c r="AE16" s="421">
        <f>AC16+AD16</f>
        <v>4.5049999999999999</v>
      </c>
      <c r="AF16" s="421"/>
      <c r="AG16" s="421">
        <f t="shared" si="3"/>
        <v>4.5049999999999999</v>
      </c>
      <c r="AH16" s="930">
        <f>AC16+AC17+AD16+AD17</f>
        <v>5.6310000000000002</v>
      </c>
      <c r="AI16" s="421">
        <v>4.4610000000000003</v>
      </c>
      <c r="AJ16" s="515"/>
      <c r="AK16" s="421">
        <f>AI16+AJ16</f>
        <v>4.4610000000000003</v>
      </c>
      <c r="AL16" s="421"/>
      <c r="AM16" s="421">
        <f t="shared" si="4"/>
        <v>4.4610000000000003</v>
      </c>
      <c r="AN16" s="1130">
        <f>AI16+AI17+AJ16+AJ17</f>
        <v>5.5760000000000005</v>
      </c>
      <c r="AO16" s="421">
        <v>4.5049999999999999</v>
      </c>
      <c r="AP16" s="515"/>
      <c r="AQ16" s="421">
        <f>AO16+AP16</f>
        <v>4.5049999999999999</v>
      </c>
      <c r="AR16" s="421"/>
      <c r="AS16" s="421">
        <f t="shared" si="5"/>
        <v>4.5049999999999999</v>
      </c>
      <c r="AT16" s="930">
        <f>AO16+AO17+AP16+AP17</f>
        <v>5.6310000000000002</v>
      </c>
      <c r="AU16" s="424">
        <f t="shared" si="6"/>
        <v>17.782</v>
      </c>
      <c r="AV16" s="442">
        <f t="shared" si="7"/>
        <v>0</v>
      </c>
      <c r="AW16" s="421">
        <f>AU16+AV16</f>
        <v>17.782</v>
      </c>
      <c r="AX16" s="421">
        <f t="shared" si="13"/>
        <v>0</v>
      </c>
      <c r="AY16" s="421">
        <f t="shared" si="8"/>
        <v>17.782</v>
      </c>
      <c r="AZ16" s="423">
        <f t="shared" si="12"/>
        <v>0</v>
      </c>
      <c r="BA16" s="930">
        <f t="shared" ref="BA16" si="26">AU16+AU17</f>
        <v>22.225999999999999</v>
      </c>
      <c r="BB16" s="930">
        <f t="shared" ref="BB16" si="27">AV16+AV17</f>
        <v>19</v>
      </c>
      <c r="BC16" s="930">
        <f t="shared" ref="BC16" si="28">BA16+BB16</f>
        <v>41.225999999999999</v>
      </c>
      <c r="BD16" s="930">
        <f>AX16+AX17</f>
        <v>21.254000000000001</v>
      </c>
      <c r="BE16" s="930">
        <f t="shared" ref="BE16" si="29">BC16-BD16</f>
        <v>19.971999999999998</v>
      </c>
      <c r="BF16" s="1141">
        <f t="shared" ref="BF16" si="30">BD16/BC16</f>
        <v>0.51554844030466218</v>
      </c>
    </row>
    <row r="17" spans="1:110">
      <c r="A17" s="889"/>
      <c r="B17" s="1162"/>
      <c r="C17" s="146">
        <v>42278</v>
      </c>
      <c r="D17" s="147">
        <v>42369</v>
      </c>
      <c r="E17" s="434">
        <v>1.0999999999999999E-2</v>
      </c>
      <c r="F17" s="434"/>
      <c r="G17" s="434">
        <f>E17+F17+I16</f>
        <v>5.4999999999999993E-2</v>
      </c>
      <c r="H17" s="436"/>
      <c r="I17" s="437">
        <f t="shared" si="17"/>
        <v>5.4999999999999993E-2</v>
      </c>
      <c r="J17" s="1164"/>
      <c r="K17" s="280">
        <v>0.05</v>
      </c>
      <c r="L17" s="437"/>
      <c r="M17" s="437">
        <f>K17+L17+O16</f>
        <v>0.254</v>
      </c>
      <c r="N17" s="437"/>
      <c r="O17" s="437">
        <f t="shared" si="0"/>
        <v>0.254</v>
      </c>
      <c r="P17" s="1030"/>
      <c r="Q17" s="280">
        <v>0.35299999999999998</v>
      </c>
      <c r="R17" s="518"/>
      <c r="S17" s="437">
        <f>Q17+R17+U16</f>
        <v>1.766</v>
      </c>
      <c r="T17" s="439"/>
      <c r="U17" s="437">
        <f t="shared" si="1"/>
        <v>1.766</v>
      </c>
      <c r="V17" s="1030"/>
      <c r="W17" s="280">
        <v>0.66300000000000003</v>
      </c>
      <c r="X17" s="826">
        <f>19</f>
        <v>19</v>
      </c>
      <c r="Y17" s="437">
        <f>W17+X17+AA16</f>
        <v>22.312999999999999</v>
      </c>
      <c r="Z17" s="437">
        <v>21.254000000000001</v>
      </c>
      <c r="AA17" s="280">
        <f>Y17-Z17</f>
        <v>1.0589999999999975</v>
      </c>
      <c r="AB17" s="1030"/>
      <c r="AC17" s="280">
        <v>1.1259999999999999</v>
      </c>
      <c r="AD17" s="518"/>
      <c r="AE17" s="437">
        <f>AC17+AD17+AG16</f>
        <v>5.6310000000000002</v>
      </c>
      <c r="AF17" s="437"/>
      <c r="AG17" s="437">
        <f t="shared" si="3"/>
        <v>5.6310000000000002</v>
      </c>
      <c r="AH17" s="1030"/>
      <c r="AI17" s="280">
        <v>1.115</v>
      </c>
      <c r="AJ17" s="518"/>
      <c r="AK17" s="437">
        <f>AI17+AJ17+AM16</f>
        <v>5.5760000000000005</v>
      </c>
      <c r="AL17" s="437"/>
      <c r="AM17" s="437">
        <f t="shared" si="4"/>
        <v>5.5760000000000005</v>
      </c>
      <c r="AN17" s="1164"/>
      <c r="AO17" s="280">
        <v>1.1259999999999999</v>
      </c>
      <c r="AP17" s="518"/>
      <c r="AQ17" s="437">
        <f>AO17+AP17+AS16</f>
        <v>5.6310000000000002</v>
      </c>
      <c r="AR17" s="437"/>
      <c r="AS17" s="437">
        <f t="shared" si="5"/>
        <v>5.6310000000000002</v>
      </c>
      <c r="AT17" s="1030"/>
      <c r="AU17" s="440">
        <f t="shared" si="6"/>
        <v>4.4439999999999991</v>
      </c>
      <c r="AV17" s="457">
        <f t="shared" si="7"/>
        <v>19</v>
      </c>
      <c r="AW17" s="437">
        <f>AU17+AV17+AY16</f>
        <v>41.225999999999999</v>
      </c>
      <c r="AX17" s="437">
        <f t="shared" si="13"/>
        <v>21.254000000000001</v>
      </c>
      <c r="AY17" s="437">
        <f t="shared" si="8"/>
        <v>19.971999999999998</v>
      </c>
      <c r="AZ17" s="439">
        <f t="shared" si="12"/>
        <v>0.51554844030466218</v>
      </c>
      <c r="BA17" s="931"/>
      <c r="BB17" s="931"/>
      <c r="BC17" s="931"/>
      <c r="BD17" s="1030"/>
      <c r="BE17" s="931"/>
      <c r="BF17" s="1177"/>
    </row>
    <row r="18" spans="1:110" ht="15" customHeight="1">
      <c r="A18" s="889"/>
      <c r="B18" s="1009" t="s">
        <v>67</v>
      </c>
      <c r="C18" s="142">
        <v>41640</v>
      </c>
      <c r="D18" s="143">
        <v>42216</v>
      </c>
      <c r="E18" s="419">
        <v>0.19500000000000001</v>
      </c>
      <c r="F18" s="432">
        <f>-0.195</f>
        <v>-0.19500000000000001</v>
      </c>
      <c r="G18" s="419">
        <f>E18+F18</f>
        <v>0</v>
      </c>
      <c r="H18" s="420"/>
      <c r="I18" s="421">
        <f t="shared" si="17"/>
        <v>0</v>
      </c>
      <c r="J18" s="1130">
        <f>E18+E19+F18+F19</f>
        <v>0</v>
      </c>
      <c r="K18" s="421">
        <v>0.90100000000000002</v>
      </c>
      <c r="L18" s="433">
        <f>-0.901</f>
        <v>-0.90100000000000002</v>
      </c>
      <c r="M18" s="421">
        <f>K18+L18</f>
        <v>0</v>
      </c>
      <c r="N18" s="421"/>
      <c r="O18" s="421">
        <f t="shared" si="0"/>
        <v>0</v>
      </c>
      <c r="P18" s="930">
        <f>K18+K19+L18+L19</f>
        <v>0</v>
      </c>
      <c r="Q18" s="421">
        <v>6.2370000000000001</v>
      </c>
      <c r="R18" s="433">
        <f>-6.237</f>
        <v>-6.2370000000000001</v>
      </c>
      <c r="S18" s="421">
        <f>Q18+R18</f>
        <v>0</v>
      </c>
      <c r="T18" s="423"/>
      <c r="U18" s="421">
        <f t="shared" si="1"/>
        <v>0</v>
      </c>
      <c r="V18" s="930">
        <f>Q18+Q19+R18+R19</f>
        <v>0</v>
      </c>
      <c r="W18" s="421">
        <v>11.694000000000001</v>
      </c>
      <c r="X18" s="433">
        <f>-11.694</f>
        <v>-11.694000000000001</v>
      </c>
      <c r="Y18" s="421">
        <f>W18+X18</f>
        <v>0</v>
      </c>
      <c r="Z18" s="421"/>
      <c r="AA18" s="421">
        <f t="shared" si="2"/>
        <v>0</v>
      </c>
      <c r="AB18" s="930">
        <f>W18+W19+X18+X19</f>
        <v>0</v>
      </c>
      <c r="AC18" s="421">
        <v>19.88</v>
      </c>
      <c r="AD18" s="433">
        <f>-19.88</f>
        <v>-19.88</v>
      </c>
      <c r="AE18" s="421">
        <f>AC18+AD18</f>
        <v>0</v>
      </c>
      <c r="AF18" s="421"/>
      <c r="AG18" s="421">
        <f t="shared" si="3"/>
        <v>0</v>
      </c>
      <c r="AH18" s="930">
        <f>AC18+AC19+AD18+AD19</f>
        <v>0</v>
      </c>
      <c r="AI18" s="421">
        <v>19.684999999999999</v>
      </c>
      <c r="AJ18" s="433">
        <f>-19.685</f>
        <v>-19.684999999999999</v>
      </c>
      <c r="AK18" s="421">
        <f>AI18+AJ18</f>
        <v>0</v>
      </c>
      <c r="AL18" s="421"/>
      <c r="AM18" s="421">
        <f t="shared" si="4"/>
        <v>0</v>
      </c>
      <c r="AN18" s="1130">
        <f>AI18+AI19+AJ18+AJ19</f>
        <v>0</v>
      </c>
      <c r="AO18" s="421">
        <v>19.88</v>
      </c>
      <c r="AP18" s="433">
        <f>-19.88</f>
        <v>-19.88</v>
      </c>
      <c r="AQ18" s="421">
        <f>AO18+AP18</f>
        <v>0</v>
      </c>
      <c r="AR18" s="421"/>
      <c r="AS18" s="421">
        <f t="shared" si="5"/>
        <v>0</v>
      </c>
      <c r="AT18" s="930">
        <f>AO18+AO19+AP18+AP19</f>
        <v>0</v>
      </c>
      <c r="AU18" s="424">
        <f t="shared" si="6"/>
        <v>78.471999999999994</v>
      </c>
      <c r="AV18" s="442">
        <f t="shared" si="7"/>
        <v>-78.471999999999994</v>
      </c>
      <c r="AW18" s="421">
        <f>AU18+AV18</f>
        <v>0</v>
      </c>
      <c r="AX18" s="421">
        <f t="shared" si="13"/>
        <v>0</v>
      </c>
      <c r="AY18" s="421">
        <f t="shared" si="8"/>
        <v>0</v>
      </c>
      <c r="AZ18" s="423" t="e">
        <f t="shared" si="12"/>
        <v>#DIV/0!</v>
      </c>
      <c r="BA18" s="930">
        <f t="shared" ref="BA18" si="31">AU18+AU19</f>
        <v>98.083999999999989</v>
      </c>
      <c r="BB18" s="930">
        <f t="shared" ref="BB18" si="32">AV18+AV19</f>
        <v>-98.083999999999989</v>
      </c>
      <c r="BC18" s="930">
        <f t="shared" ref="BC18" si="33">BA18+BB18</f>
        <v>0</v>
      </c>
      <c r="BD18" s="930">
        <f>AX18+AX19</f>
        <v>0</v>
      </c>
      <c r="BE18" s="930">
        <f t="shared" ref="BE18" si="34">BC18-BD18</f>
        <v>0</v>
      </c>
      <c r="BF18" s="1107" t="e">
        <f t="shared" ref="BF18" si="35">BD18/BC18</f>
        <v>#DIV/0!</v>
      </c>
    </row>
    <row r="19" spans="1:110" ht="15" customHeight="1">
      <c r="A19" s="889"/>
      <c r="B19" s="1149"/>
      <c r="C19" s="146">
        <v>42278</v>
      </c>
      <c r="D19" s="147">
        <v>42369</v>
      </c>
      <c r="E19" s="425">
        <v>4.9000000000000002E-2</v>
      </c>
      <c r="F19" s="444">
        <f>-0.049</f>
        <v>-4.9000000000000002E-2</v>
      </c>
      <c r="G19" s="425">
        <f>E19+F19+I18</f>
        <v>0</v>
      </c>
      <c r="H19" s="426"/>
      <c r="I19" s="427">
        <f t="shared" si="17"/>
        <v>0</v>
      </c>
      <c r="J19" s="1131"/>
      <c r="K19" s="278">
        <v>0.219</v>
      </c>
      <c r="L19" s="441">
        <f>-0.219</f>
        <v>-0.219</v>
      </c>
      <c r="M19" s="427">
        <f>K19+L19+O18</f>
        <v>0</v>
      </c>
      <c r="N19" s="427"/>
      <c r="O19" s="427">
        <f t="shared" si="0"/>
        <v>0</v>
      </c>
      <c r="P19" s="931"/>
      <c r="Q19" s="278">
        <v>1.5589999999999999</v>
      </c>
      <c r="R19" s="441">
        <f>-1.559</f>
        <v>-1.5589999999999999</v>
      </c>
      <c r="S19" s="427">
        <f>Q19+R19+U18</f>
        <v>0</v>
      </c>
      <c r="T19" s="429"/>
      <c r="U19" s="427">
        <f t="shared" si="1"/>
        <v>0</v>
      </c>
      <c r="V19" s="931"/>
      <c r="W19" s="278">
        <v>2.9239999999999999</v>
      </c>
      <c r="X19" s="441">
        <f>-2.924</f>
        <v>-2.9239999999999999</v>
      </c>
      <c r="Y19" s="427">
        <f>W19+X19+AA18</f>
        <v>0</v>
      </c>
      <c r="Z19" s="427"/>
      <c r="AA19" s="427">
        <f t="shared" si="2"/>
        <v>0</v>
      </c>
      <c r="AB19" s="931"/>
      <c r="AC19" s="278">
        <v>4.97</v>
      </c>
      <c r="AD19" s="441">
        <f>-4.97</f>
        <v>-4.97</v>
      </c>
      <c r="AE19" s="427">
        <f>AC19+AD19+AG18</f>
        <v>0</v>
      </c>
      <c r="AF19" s="427"/>
      <c r="AG19" s="427">
        <f t="shared" si="3"/>
        <v>0</v>
      </c>
      <c r="AH19" s="931"/>
      <c r="AI19" s="278">
        <v>4.9210000000000003</v>
      </c>
      <c r="AJ19" s="441">
        <f>-4.921</f>
        <v>-4.9210000000000003</v>
      </c>
      <c r="AK19" s="427">
        <f>AI19+AJ19+AM18</f>
        <v>0</v>
      </c>
      <c r="AL19" s="427"/>
      <c r="AM19" s="427">
        <f t="shared" si="4"/>
        <v>0</v>
      </c>
      <c r="AN19" s="1131"/>
      <c r="AO19" s="278">
        <v>4.97</v>
      </c>
      <c r="AP19" s="441">
        <f>-4.97</f>
        <v>-4.97</v>
      </c>
      <c r="AQ19" s="427">
        <f>AO19+AP19+AS18</f>
        <v>0</v>
      </c>
      <c r="AR19" s="427"/>
      <c r="AS19" s="427">
        <f t="shared" si="5"/>
        <v>0</v>
      </c>
      <c r="AT19" s="931"/>
      <c r="AU19" s="430">
        <f t="shared" si="6"/>
        <v>19.611999999999998</v>
      </c>
      <c r="AV19" s="456">
        <f t="shared" si="7"/>
        <v>-19.611999999999998</v>
      </c>
      <c r="AW19" s="427">
        <f>AU19+AV19+AY18</f>
        <v>0</v>
      </c>
      <c r="AX19" s="427">
        <f t="shared" si="13"/>
        <v>0</v>
      </c>
      <c r="AY19" s="427">
        <f t="shared" si="8"/>
        <v>0</v>
      </c>
      <c r="AZ19" s="429" t="e">
        <f t="shared" si="12"/>
        <v>#DIV/0!</v>
      </c>
      <c r="BA19" s="931"/>
      <c r="BB19" s="931"/>
      <c r="BC19" s="931"/>
      <c r="BD19" s="931"/>
      <c r="BE19" s="931"/>
      <c r="BF19" s="1127"/>
    </row>
    <row r="20" spans="1:110" ht="15" customHeight="1">
      <c r="A20" s="889"/>
      <c r="B20" s="1009" t="s">
        <v>64</v>
      </c>
      <c r="C20" s="142">
        <v>41640</v>
      </c>
      <c r="D20" s="143">
        <v>42216</v>
      </c>
      <c r="E20" s="419">
        <v>2.7E-2</v>
      </c>
      <c r="F20" s="419"/>
      <c r="G20" s="419">
        <f>E20+F20</f>
        <v>2.7E-2</v>
      </c>
      <c r="H20" s="420"/>
      <c r="I20" s="421">
        <f t="shared" si="17"/>
        <v>2.7E-2</v>
      </c>
      <c r="J20" s="1130">
        <f t="shared" ref="J20:J36" si="36">E20+E21+F20+F21</f>
        <v>3.4000000000000002E-2</v>
      </c>
      <c r="K20" s="421">
        <v>0.124</v>
      </c>
      <c r="L20" s="421"/>
      <c r="M20" s="421">
        <f>K20+L20</f>
        <v>0.124</v>
      </c>
      <c r="N20" s="421"/>
      <c r="O20" s="421">
        <f t="shared" si="0"/>
        <v>0.124</v>
      </c>
      <c r="P20" s="930">
        <f>K20+K21+L20+L21</f>
        <v>0.154</v>
      </c>
      <c r="Q20" s="421">
        <v>0.85499999999999998</v>
      </c>
      <c r="R20" s="515"/>
      <c r="S20" s="421">
        <f>Q20+R20</f>
        <v>0.85499999999999998</v>
      </c>
      <c r="T20" s="423"/>
      <c r="U20" s="421">
        <f t="shared" si="1"/>
        <v>0.85499999999999998</v>
      </c>
      <c r="V20" s="930">
        <f>Q20+Q21+R20+R21</f>
        <v>1.069</v>
      </c>
      <c r="W20" s="421">
        <v>1.603</v>
      </c>
      <c r="X20" s="515"/>
      <c r="Y20" s="421">
        <f>W20+X20</f>
        <v>1.603</v>
      </c>
      <c r="Z20" s="421"/>
      <c r="AA20" s="421">
        <f t="shared" si="2"/>
        <v>1.603</v>
      </c>
      <c r="AB20" s="930">
        <f>W20+W21+X20+X21</f>
        <v>2.004</v>
      </c>
      <c r="AC20" s="421">
        <v>2.7250000000000001</v>
      </c>
      <c r="AD20" s="515"/>
      <c r="AE20" s="421">
        <f>AC20+AD20</f>
        <v>2.7250000000000001</v>
      </c>
      <c r="AF20" s="421"/>
      <c r="AG20" s="421">
        <f t="shared" si="3"/>
        <v>2.7250000000000001</v>
      </c>
      <c r="AH20" s="930">
        <f>AC20+AC21+AD20+AD21</f>
        <v>3.4060000000000001</v>
      </c>
      <c r="AI20" s="421">
        <v>2.6989999999999998</v>
      </c>
      <c r="AJ20" s="515"/>
      <c r="AK20" s="421">
        <f>AI20+AJ20</f>
        <v>2.6989999999999998</v>
      </c>
      <c r="AL20" s="421"/>
      <c r="AM20" s="421">
        <f t="shared" si="4"/>
        <v>2.6989999999999998</v>
      </c>
      <c r="AN20" s="1130">
        <f>AI20+AI21+AJ20+AJ21</f>
        <v>3.3739999999999997</v>
      </c>
      <c r="AO20" s="421">
        <v>2.7250000000000001</v>
      </c>
      <c r="AP20" s="515"/>
      <c r="AQ20" s="421">
        <f>AO20+AP20</f>
        <v>2.7250000000000001</v>
      </c>
      <c r="AR20" s="421"/>
      <c r="AS20" s="421">
        <f t="shared" si="5"/>
        <v>2.7250000000000001</v>
      </c>
      <c r="AT20" s="930">
        <f>AO20+AO21+AP20+AP21</f>
        <v>3.4060000000000001</v>
      </c>
      <c r="AU20" s="424">
        <f t="shared" si="6"/>
        <v>10.757999999999999</v>
      </c>
      <c r="AV20" s="442">
        <f t="shared" si="7"/>
        <v>0</v>
      </c>
      <c r="AW20" s="421">
        <f>AU20+AV20</f>
        <v>10.757999999999999</v>
      </c>
      <c r="AX20" s="421">
        <f t="shared" si="13"/>
        <v>0</v>
      </c>
      <c r="AY20" s="421">
        <f t="shared" si="8"/>
        <v>10.757999999999999</v>
      </c>
      <c r="AZ20" s="423">
        <f t="shared" si="12"/>
        <v>0</v>
      </c>
      <c r="BA20" s="930">
        <f t="shared" ref="BA20" si="37">AU20+AU21</f>
        <v>13.446999999999999</v>
      </c>
      <c r="BB20" s="930">
        <f t="shared" ref="BB20" si="38">AV20+AV21</f>
        <v>0</v>
      </c>
      <c r="BC20" s="930">
        <f t="shared" ref="BC20" si="39">BA20+BB20</f>
        <v>13.446999999999999</v>
      </c>
      <c r="BD20" s="930">
        <f>AX20+AX21</f>
        <v>0</v>
      </c>
      <c r="BE20" s="930">
        <f t="shared" ref="BE20" si="40">BC20-BD20</f>
        <v>13.446999999999999</v>
      </c>
      <c r="BF20" s="1107">
        <f t="shared" ref="BF20" si="41">BD20/BC20</f>
        <v>0</v>
      </c>
      <c r="BG20" s="682"/>
      <c r="BH20" s="682"/>
      <c r="BI20" s="682"/>
      <c r="BJ20" s="682"/>
      <c r="BK20" s="682"/>
      <c r="BL20" s="682"/>
      <c r="BM20" s="682"/>
      <c r="BN20" s="682"/>
      <c r="BO20" s="682"/>
      <c r="BP20" s="682"/>
      <c r="BQ20" s="682"/>
      <c r="BR20" s="682"/>
      <c r="BS20" s="682"/>
      <c r="BT20" s="682"/>
      <c r="BU20" s="682"/>
      <c r="BV20" s="682"/>
      <c r="BW20" s="682"/>
      <c r="BX20" s="682"/>
      <c r="BY20" s="682"/>
      <c r="BZ20" s="682"/>
      <c r="CA20" s="682"/>
      <c r="CB20" s="682"/>
      <c r="CC20" s="682"/>
      <c r="CD20" s="682"/>
      <c r="CE20" s="682"/>
      <c r="CF20" s="682"/>
      <c r="CG20" s="682"/>
      <c r="CH20" s="682"/>
      <c r="CI20" s="682"/>
      <c r="CJ20" s="682"/>
      <c r="CK20" s="682"/>
      <c r="CL20" s="682"/>
      <c r="CM20" s="682"/>
      <c r="CN20" s="682"/>
      <c r="CO20" s="682"/>
      <c r="CP20" s="682"/>
      <c r="CQ20" s="682"/>
      <c r="CR20" s="682"/>
      <c r="CS20" s="682"/>
      <c r="CT20" s="682"/>
      <c r="CU20" s="682"/>
      <c r="CV20" s="682"/>
      <c r="CW20" s="682"/>
      <c r="CX20" s="682"/>
      <c r="CY20" s="682"/>
      <c r="CZ20" s="682"/>
      <c r="DA20" s="682"/>
      <c r="DB20" s="682"/>
      <c r="DC20" s="682"/>
      <c r="DD20" s="682"/>
      <c r="DE20" s="682"/>
      <c r="DF20" s="682"/>
    </row>
    <row r="21" spans="1:110" ht="15" customHeight="1">
      <c r="A21" s="889"/>
      <c r="B21" s="1163"/>
      <c r="C21" s="146">
        <v>42278</v>
      </c>
      <c r="D21" s="147">
        <v>42369</v>
      </c>
      <c r="E21" s="434">
        <v>7.0000000000000001E-3</v>
      </c>
      <c r="F21" s="434"/>
      <c r="G21" s="434">
        <f>E21+F21+I20</f>
        <v>3.4000000000000002E-2</v>
      </c>
      <c r="H21" s="436"/>
      <c r="I21" s="437">
        <f t="shared" si="17"/>
        <v>3.4000000000000002E-2</v>
      </c>
      <c r="J21" s="1164"/>
      <c r="K21" s="280">
        <v>0.03</v>
      </c>
      <c r="L21" s="437"/>
      <c r="M21" s="437">
        <f>K21+L21+O20</f>
        <v>0.154</v>
      </c>
      <c r="N21" s="437"/>
      <c r="O21" s="437">
        <f t="shared" si="0"/>
        <v>0.154</v>
      </c>
      <c r="P21" s="1030"/>
      <c r="Q21" s="280">
        <v>0.214</v>
      </c>
      <c r="R21" s="518"/>
      <c r="S21" s="437">
        <f>Q21+R21+U20</f>
        <v>1.069</v>
      </c>
      <c r="T21" s="439"/>
      <c r="U21" s="437">
        <f t="shared" si="1"/>
        <v>1.069</v>
      </c>
      <c r="V21" s="1030"/>
      <c r="W21" s="280">
        <v>0.40100000000000002</v>
      </c>
      <c r="X21" s="518"/>
      <c r="Y21" s="437">
        <f>W21+X21+AA20</f>
        <v>2.004</v>
      </c>
      <c r="Z21" s="437"/>
      <c r="AA21" s="437">
        <f t="shared" si="2"/>
        <v>2.004</v>
      </c>
      <c r="AB21" s="1030"/>
      <c r="AC21" s="280">
        <v>0.68100000000000005</v>
      </c>
      <c r="AD21" s="518"/>
      <c r="AE21" s="437">
        <f>AC21+AD21+AG20</f>
        <v>3.4060000000000001</v>
      </c>
      <c r="AF21" s="437"/>
      <c r="AG21" s="437">
        <f t="shared" si="3"/>
        <v>3.4060000000000001</v>
      </c>
      <c r="AH21" s="1030"/>
      <c r="AI21" s="280">
        <v>0.67500000000000004</v>
      </c>
      <c r="AJ21" s="518"/>
      <c r="AK21" s="437">
        <f>AI21+AJ21+AM20</f>
        <v>3.3739999999999997</v>
      </c>
      <c r="AL21" s="437"/>
      <c r="AM21" s="437">
        <f t="shared" si="4"/>
        <v>3.3739999999999997</v>
      </c>
      <c r="AN21" s="1164"/>
      <c r="AO21" s="280">
        <v>0.68100000000000005</v>
      </c>
      <c r="AP21" s="518"/>
      <c r="AQ21" s="437">
        <f>AO21+AP21+AS20</f>
        <v>3.4060000000000001</v>
      </c>
      <c r="AR21" s="437"/>
      <c r="AS21" s="437">
        <f t="shared" si="5"/>
        <v>3.4060000000000001</v>
      </c>
      <c r="AT21" s="1030"/>
      <c r="AU21" s="440">
        <f t="shared" si="6"/>
        <v>2.6890000000000001</v>
      </c>
      <c r="AV21" s="457">
        <f t="shared" si="7"/>
        <v>0</v>
      </c>
      <c r="AW21" s="437">
        <f>AU21+AV21+AY20</f>
        <v>13.446999999999999</v>
      </c>
      <c r="AX21" s="437">
        <f t="shared" si="13"/>
        <v>0</v>
      </c>
      <c r="AY21" s="437">
        <f t="shared" si="8"/>
        <v>13.446999999999999</v>
      </c>
      <c r="AZ21" s="439">
        <f t="shared" si="12"/>
        <v>0</v>
      </c>
      <c r="BA21" s="931"/>
      <c r="BB21" s="931"/>
      <c r="BC21" s="931"/>
      <c r="BD21" s="1030"/>
      <c r="BE21" s="931"/>
      <c r="BF21" s="1127"/>
      <c r="BG21" s="682"/>
      <c r="BH21" s="682"/>
      <c r="BI21" s="682"/>
      <c r="BJ21" s="682"/>
      <c r="BK21" s="682"/>
      <c r="BL21" s="682"/>
      <c r="BM21" s="682"/>
      <c r="BN21" s="682"/>
      <c r="BO21" s="682"/>
      <c r="BP21" s="682"/>
      <c r="BQ21" s="682"/>
      <c r="BR21" s="682"/>
      <c r="BS21" s="682"/>
      <c r="BT21" s="682"/>
      <c r="BU21" s="682"/>
      <c r="BV21" s="682"/>
      <c r="BW21" s="682"/>
      <c r="BX21" s="682"/>
      <c r="BY21" s="682"/>
      <c r="BZ21" s="682"/>
      <c r="CA21" s="682"/>
      <c r="CB21" s="682"/>
      <c r="CC21" s="682"/>
      <c r="CD21" s="682"/>
      <c r="CE21" s="682"/>
      <c r="CF21" s="682"/>
      <c r="CG21" s="682"/>
      <c r="CH21" s="682"/>
      <c r="CI21" s="682"/>
      <c r="CJ21" s="682"/>
      <c r="CK21" s="682"/>
      <c r="CL21" s="682"/>
      <c r="CM21" s="682"/>
      <c r="CN21" s="682"/>
      <c r="CO21" s="682"/>
      <c r="CP21" s="682"/>
      <c r="CQ21" s="682"/>
      <c r="CR21" s="682"/>
      <c r="CS21" s="682"/>
      <c r="CT21" s="682"/>
      <c r="CU21" s="682"/>
      <c r="CV21" s="682"/>
      <c r="CW21" s="682"/>
      <c r="CX21" s="682"/>
      <c r="CY21" s="682"/>
      <c r="CZ21" s="682"/>
      <c r="DA21" s="682"/>
      <c r="DB21" s="682"/>
      <c r="DC21" s="682"/>
      <c r="DD21" s="682"/>
      <c r="DE21" s="682"/>
      <c r="DF21" s="682"/>
    </row>
    <row r="22" spans="1:110" s="742" customFormat="1" ht="15" customHeight="1">
      <c r="A22" s="889"/>
      <c r="B22" s="1009" t="s">
        <v>17</v>
      </c>
      <c r="C22" s="142">
        <v>41640</v>
      </c>
      <c r="D22" s="143">
        <v>42216</v>
      </c>
      <c r="E22" s="419">
        <v>1.234</v>
      </c>
      <c r="F22" s="445">
        <f>0.195+0.347</f>
        <v>0.54200000000000004</v>
      </c>
      <c r="G22" s="419">
        <f>E22+F22</f>
        <v>1.776</v>
      </c>
      <c r="H22" s="419"/>
      <c r="I22" s="277">
        <f t="shared" si="17"/>
        <v>1.776</v>
      </c>
      <c r="J22" s="1151">
        <v>2.8029999999999999</v>
      </c>
      <c r="K22" s="277">
        <v>5.7060000000000004</v>
      </c>
      <c r="L22" s="740">
        <f>0.901+1.607</f>
        <v>2.508</v>
      </c>
      <c r="M22" s="277">
        <f>K22+L22</f>
        <v>8.2140000000000004</v>
      </c>
      <c r="N22" s="277"/>
      <c r="O22" s="277">
        <f t="shared" si="0"/>
        <v>8.2140000000000004</v>
      </c>
      <c r="P22" s="1038">
        <f>K22+K23+L22+L23</f>
        <v>10.212</v>
      </c>
      <c r="Q22" s="277">
        <v>39.478999999999999</v>
      </c>
      <c r="R22" s="740">
        <f>6.237+11.117</f>
        <v>17.353999999999999</v>
      </c>
      <c r="S22" s="277">
        <f>Q22+R22</f>
        <v>56.832999999999998</v>
      </c>
      <c r="T22" s="738">
        <v>15.433</v>
      </c>
      <c r="U22" s="277">
        <f t="shared" si="1"/>
        <v>41.4</v>
      </c>
      <c r="V22" s="1038">
        <f>Q22+Q23+X22+R23</f>
        <v>86.220973999999984</v>
      </c>
      <c r="W22" s="277">
        <v>74.022999999999996</v>
      </c>
      <c r="X22" s="740">
        <f>-0.004026+11.694+20.844</f>
        <v>32.533974000000001</v>
      </c>
      <c r="Y22" s="277">
        <f>W22+X22</f>
        <v>106.556974</v>
      </c>
      <c r="Z22" s="738">
        <v>83.846999999999994</v>
      </c>
      <c r="AA22" s="277">
        <f t="shared" si="2"/>
        <v>22.709974000000003</v>
      </c>
      <c r="AB22" s="1038">
        <f>W22+W23+X22+X23</f>
        <v>114.197974</v>
      </c>
      <c r="AC22" s="277">
        <v>125.839</v>
      </c>
      <c r="AD22" s="740">
        <f>19.88+35.435</f>
        <v>55.314999999999998</v>
      </c>
      <c r="AE22" s="277">
        <f>AC22+AD22</f>
        <v>181.154</v>
      </c>
      <c r="AF22" s="738">
        <v>87.861000000000004</v>
      </c>
      <c r="AG22" s="458">
        <f t="shared" si="3"/>
        <v>93.292999999999992</v>
      </c>
      <c r="AH22" s="1038">
        <f>AC22+AC23+AD22+AD23</f>
        <v>226.44300000000001</v>
      </c>
      <c r="AI22" s="277">
        <v>124.605</v>
      </c>
      <c r="AJ22" s="740">
        <f>19.685+35.087</f>
        <v>54.772000000000006</v>
      </c>
      <c r="AK22" s="277">
        <f>AI22+AJ22</f>
        <v>179.37700000000001</v>
      </c>
      <c r="AL22" s="738">
        <v>176.465</v>
      </c>
      <c r="AM22" s="277">
        <f t="shared" si="4"/>
        <v>2.9120000000000061</v>
      </c>
      <c r="AN22" s="1151">
        <f>AI22+AI23+AJ22+AJ23</f>
        <v>224.22100000000003</v>
      </c>
      <c r="AO22" s="277">
        <v>125.839</v>
      </c>
      <c r="AP22" s="740">
        <f>19.88+35.435</f>
        <v>55.314999999999998</v>
      </c>
      <c r="AQ22" s="277">
        <f>AO22+AP22</f>
        <v>181.154</v>
      </c>
      <c r="AR22" s="738">
        <v>94.739000000000004</v>
      </c>
      <c r="AS22" s="277">
        <f t="shared" si="5"/>
        <v>86.414999999999992</v>
      </c>
      <c r="AT22" s="1038">
        <f>AO22+AO23+AP22+AP23</f>
        <v>226.44300000000001</v>
      </c>
      <c r="AU22" s="450">
        <f t="shared" si="6"/>
        <v>496.72500000000002</v>
      </c>
      <c r="AV22" s="743">
        <f>F22+L22+X22+R22+AD22+AJ22+AP22</f>
        <v>218.33997399999998</v>
      </c>
      <c r="AW22" s="277">
        <f>AU22+AV22</f>
        <v>715.06497400000001</v>
      </c>
      <c r="AX22" s="277">
        <f t="shared" si="13"/>
        <v>458.34500000000003</v>
      </c>
      <c r="AY22" s="277">
        <f t="shared" si="8"/>
        <v>256.71997399999998</v>
      </c>
      <c r="AZ22" s="738">
        <f t="shared" si="12"/>
        <v>0.6409837101040835</v>
      </c>
      <c r="BA22" s="1038">
        <f t="shared" ref="BA22" si="42">AU22+AU23</f>
        <v>620.86800000000005</v>
      </c>
      <c r="BB22" s="1082">
        <f t="shared" ref="BB22" si="43">AV22+AV23</f>
        <v>253.90997399999998</v>
      </c>
      <c r="BC22" s="1038">
        <f t="shared" ref="BC22" si="44">BA22+BB22</f>
        <v>874.77797400000009</v>
      </c>
      <c r="BD22" s="1038">
        <f>AX22+AX23</f>
        <v>611.28200000000004</v>
      </c>
      <c r="BE22" s="1038">
        <f t="shared" ref="BE22" si="45">BC22-BD22</f>
        <v>263.49597400000005</v>
      </c>
      <c r="BF22" s="1178">
        <f t="shared" ref="BF22" si="46">BD22/BC22</f>
        <v>0.69878531258035537</v>
      </c>
      <c r="BG22" s="682"/>
      <c r="BH22" s="682"/>
      <c r="BI22" s="682"/>
      <c r="BJ22" s="682"/>
      <c r="BK22" s="682"/>
      <c r="BL22" s="682"/>
      <c r="BM22" s="682"/>
      <c r="BN22" s="682"/>
      <c r="BO22" s="682"/>
      <c r="BP22" s="682"/>
      <c r="BQ22" s="682"/>
      <c r="BR22" s="682"/>
      <c r="BS22" s="682"/>
      <c r="BT22" s="682"/>
      <c r="BU22" s="682"/>
      <c r="BV22" s="682"/>
      <c r="BW22" s="682"/>
      <c r="BX22" s="682"/>
      <c r="BY22" s="682"/>
      <c r="BZ22" s="682"/>
      <c r="CA22" s="682"/>
      <c r="CB22" s="682"/>
      <c r="CC22" s="682"/>
      <c r="CD22" s="682"/>
      <c r="CE22" s="682"/>
      <c r="CF22" s="682"/>
      <c r="CG22" s="682"/>
      <c r="CH22" s="682"/>
      <c r="CI22" s="682"/>
      <c r="CJ22" s="682"/>
      <c r="CK22" s="682"/>
      <c r="CL22" s="682"/>
      <c r="CM22" s="682"/>
      <c r="CN22" s="682"/>
      <c r="CO22" s="682"/>
      <c r="CP22" s="682"/>
      <c r="CQ22" s="682"/>
      <c r="CR22" s="682"/>
      <c r="CS22" s="682"/>
      <c r="CT22" s="682"/>
      <c r="CU22" s="682"/>
      <c r="CV22" s="682"/>
      <c r="CW22" s="682"/>
      <c r="CX22" s="682"/>
      <c r="CY22" s="682"/>
      <c r="CZ22" s="682"/>
      <c r="DA22" s="682"/>
      <c r="DB22" s="682"/>
      <c r="DC22" s="682"/>
      <c r="DD22" s="682"/>
      <c r="DE22" s="682"/>
      <c r="DF22" s="682"/>
    </row>
    <row r="23" spans="1:110" s="742" customFormat="1" ht="15" customHeight="1">
      <c r="A23" s="889"/>
      <c r="B23" s="1163"/>
      <c r="C23" s="146">
        <v>42278</v>
      </c>
      <c r="D23" s="147">
        <v>42369</v>
      </c>
      <c r="E23" s="425">
        <v>0.308</v>
      </c>
      <c r="F23" s="446">
        <f>0.049+0.087</f>
        <v>0.13600000000000001</v>
      </c>
      <c r="G23" s="425">
        <f>E23+F23+I22</f>
        <v>2.2200000000000002</v>
      </c>
      <c r="H23" s="425"/>
      <c r="I23" s="278">
        <f t="shared" si="17"/>
        <v>2.2200000000000002</v>
      </c>
      <c r="J23" s="1152"/>
      <c r="K23" s="278">
        <v>1.3879999999999999</v>
      </c>
      <c r="L23" s="741">
        <f>0.219+0.391</f>
        <v>0.61</v>
      </c>
      <c r="M23" s="278">
        <f>K23+L23+O22</f>
        <v>10.212</v>
      </c>
      <c r="N23" s="278">
        <v>10.236000000000001</v>
      </c>
      <c r="O23" s="278">
        <f t="shared" si="0"/>
        <v>-2.4000000000000909E-2</v>
      </c>
      <c r="P23" s="1032"/>
      <c r="Q23" s="278">
        <v>9.8699999999999992</v>
      </c>
      <c r="R23" s="744">
        <f>1.559+2.779</f>
        <v>4.3380000000000001</v>
      </c>
      <c r="S23" s="278">
        <f>Q23+R23+U22</f>
        <v>55.607999999999997</v>
      </c>
      <c r="T23" s="739">
        <v>11.961</v>
      </c>
      <c r="U23" s="278">
        <f t="shared" si="1"/>
        <v>43.646999999999998</v>
      </c>
      <c r="V23" s="1032"/>
      <c r="W23" s="278">
        <v>18.506</v>
      </c>
      <c r="X23" s="741">
        <f>2.924+5.211-19</f>
        <v>-10.865</v>
      </c>
      <c r="Y23" s="278">
        <f>W23+X23+AA22</f>
        <v>30.350974000000001</v>
      </c>
      <c r="Z23" s="739">
        <v>26.742999999999999</v>
      </c>
      <c r="AA23" s="278">
        <f t="shared" si="2"/>
        <v>3.6079740000000022</v>
      </c>
      <c r="AB23" s="1032"/>
      <c r="AC23" s="278">
        <v>31.46</v>
      </c>
      <c r="AD23" s="741">
        <f>4.97+8.859</f>
        <v>13.829000000000001</v>
      </c>
      <c r="AE23" s="278">
        <f>AC23+AD23+AG22</f>
        <v>138.58199999999999</v>
      </c>
      <c r="AF23" s="779">
        <v>19.934999999999999</v>
      </c>
      <c r="AG23" s="278">
        <f t="shared" si="3"/>
        <v>118.64699999999999</v>
      </c>
      <c r="AH23" s="1032"/>
      <c r="AI23" s="278">
        <v>31.151</v>
      </c>
      <c r="AJ23" s="741">
        <f>4.921+8.772</f>
        <v>13.693000000000001</v>
      </c>
      <c r="AK23" s="278">
        <f>AI23+AJ23+AM22</f>
        <v>47.756000000000007</v>
      </c>
      <c r="AL23" s="739">
        <v>43.457000000000001</v>
      </c>
      <c r="AM23" s="278">
        <f t="shared" si="4"/>
        <v>4.2990000000000066</v>
      </c>
      <c r="AN23" s="1152"/>
      <c r="AO23" s="278">
        <v>31.46</v>
      </c>
      <c r="AP23" s="741">
        <f>4.97+8.859</f>
        <v>13.829000000000001</v>
      </c>
      <c r="AQ23" s="278">
        <f>AO23+AP23+AS22</f>
        <v>131.70400000000001</v>
      </c>
      <c r="AR23" s="739">
        <v>40.604999999999997</v>
      </c>
      <c r="AS23" s="278">
        <f t="shared" si="5"/>
        <v>91.099000000000018</v>
      </c>
      <c r="AT23" s="1032"/>
      <c r="AU23" s="455">
        <f t="shared" si="6"/>
        <v>124.143</v>
      </c>
      <c r="AV23" s="745">
        <f t="shared" si="7"/>
        <v>35.57</v>
      </c>
      <c r="AW23" s="278">
        <f>AU23+AV23+AY22</f>
        <v>416.43297399999994</v>
      </c>
      <c r="AX23" s="278">
        <f t="shared" si="13"/>
        <v>152.93699999999998</v>
      </c>
      <c r="AY23" s="278">
        <f t="shared" si="8"/>
        <v>263.49597399999993</v>
      </c>
      <c r="AZ23" s="739">
        <f t="shared" si="12"/>
        <v>0.36725477939698409</v>
      </c>
      <c r="BA23" s="1032"/>
      <c r="BB23" s="1083"/>
      <c r="BC23" s="1032"/>
      <c r="BD23" s="1032"/>
      <c r="BE23" s="1032"/>
      <c r="BF23" s="1179"/>
      <c r="BG23" s="682"/>
      <c r="BH23" s="682"/>
      <c r="BI23" s="682"/>
      <c r="BJ23" s="682"/>
      <c r="BK23" s="682"/>
      <c r="BL23" s="682"/>
      <c r="BM23" s="682"/>
      <c r="BN23" s="682"/>
      <c r="BO23" s="682"/>
      <c r="BP23" s="682"/>
      <c r="BQ23" s="682"/>
      <c r="BR23" s="682"/>
      <c r="BS23" s="682"/>
      <c r="BT23" s="682"/>
      <c r="BU23" s="682"/>
      <c r="BV23" s="682"/>
      <c r="BW23" s="682"/>
      <c r="BX23" s="682"/>
      <c r="BY23" s="682"/>
      <c r="BZ23" s="682"/>
      <c r="CA23" s="682"/>
      <c r="CB23" s="682"/>
      <c r="CC23" s="682"/>
      <c r="CD23" s="682"/>
      <c r="CE23" s="682"/>
      <c r="CF23" s="682"/>
      <c r="CG23" s="682"/>
      <c r="CH23" s="682"/>
      <c r="CI23" s="682"/>
      <c r="CJ23" s="682"/>
      <c r="CK23" s="682"/>
      <c r="CL23" s="682"/>
      <c r="CM23" s="682"/>
      <c r="CN23" s="682"/>
      <c r="CO23" s="682"/>
      <c r="CP23" s="682"/>
      <c r="CQ23" s="682"/>
      <c r="CR23" s="682"/>
      <c r="CS23" s="682"/>
      <c r="CT23" s="682"/>
      <c r="CU23" s="682"/>
      <c r="CV23" s="682"/>
      <c r="CW23" s="682"/>
      <c r="CX23" s="682"/>
      <c r="CY23" s="682"/>
      <c r="CZ23" s="682"/>
      <c r="DA23" s="682"/>
      <c r="DB23" s="682"/>
      <c r="DC23" s="682"/>
      <c r="DD23" s="682"/>
      <c r="DE23" s="682"/>
      <c r="DF23" s="682"/>
    </row>
    <row r="24" spans="1:110" ht="15" customHeight="1">
      <c r="A24" s="889"/>
      <c r="B24" s="1009" t="s">
        <v>12</v>
      </c>
      <c r="C24" s="142">
        <v>41640</v>
      </c>
      <c r="D24" s="143">
        <v>42216</v>
      </c>
      <c r="E24" s="419">
        <v>1.4999999999999999E-2</v>
      </c>
      <c r="F24" s="419"/>
      <c r="G24" s="419">
        <f>E24+F24</f>
        <v>1.4999999999999999E-2</v>
      </c>
      <c r="H24" s="420"/>
      <c r="I24" s="421">
        <f t="shared" si="17"/>
        <v>1.4999999999999999E-2</v>
      </c>
      <c r="J24" s="1130">
        <f t="shared" si="36"/>
        <v>1.9E-2</v>
      </c>
      <c r="K24" s="421">
        <v>6.7000000000000004E-2</v>
      </c>
      <c r="L24" s="421"/>
      <c r="M24" s="421">
        <f>K24+L24</f>
        <v>6.7000000000000004E-2</v>
      </c>
      <c r="N24" s="421"/>
      <c r="O24" s="421">
        <f t="shared" si="0"/>
        <v>6.7000000000000004E-2</v>
      </c>
      <c r="P24" s="930">
        <f>K24+K25+L24+L25</f>
        <v>8.3000000000000004E-2</v>
      </c>
      <c r="Q24" s="421">
        <v>0.46700000000000003</v>
      </c>
      <c r="R24" s="515"/>
      <c r="S24" s="421">
        <f>Q24+R24</f>
        <v>0.46700000000000003</v>
      </c>
      <c r="T24" s="423"/>
      <c r="U24" s="421">
        <f t="shared" si="1"/>
        <v>0.46700000000000003</v>
      </c>
      <c r="V24" s="930">
        <f>Q24+Q25+R24+R25</f>
        <v>0.58400000000000007</v>
      </c>
      <c r="W24" s="421">
        <v>0.875</v>
      </c>
      <c r="X24" s="515"/>
      <c r="Y24" s="421">
        <f>W24+X24</f>
        <v>0.875</v>
      </c>
      <c r="Z24" s="423"/>
      <c r="AA24" s="421">
        <f t="shared" si="2"/>
        <v>0.875</v>
      </c>
      <c r="AB24" s="930">
        <f>W24+W25+X24+X25</f>
        <v>1.0940000000000001</v>
      </c>
      <c r="AC24" s="421">
        <v>1.488</v>
      </c>
      <c r="AD24" s="515"/>
      <c r="AE24" s="421">
        <f>AC24+AD24</f>
        <v>1.488</v>
      </c>
      <c r="AF24" s="421"/>
      <c r="AG24" s="421">
        <f t="shared" si="3"/>
        <v>1.488</v>
      </c>
      <c r="AH24" s="930">
        <f>AC24+AC25+AD24+AD25</f>
        <v>1.8599999999999999</v>
      </c>
      <c r="AI24" s="421">
        <v>1.4730000000000001</v>
      </c>
      <c r="AJ24" s="515"/>
      <c r="AK24" s="421">
        <f>AI24+AJ24</f>
        <v>1.4730000000000001</v>
      </c>
      <c r="AL24" s="421"/>
      <c r="AM24" s="421">
        <f t="shared" si="4"/>
        <v>1.4730000000000001</v>
      </c>
      <c r="AN24" s="1130">
        <f>AI24+AI25+AJ24+AJ25</f>
        <v>1.8410000000000002</v>
      </c>
      <c r="AO24" s="421">
        <v>1.488</v>
      </c>
      <c r="AP24" s="515"/>
      <c r="AQ24" s="421">
        <f>AO24+AP24</f>
        <v>1.488</v>
      </c>
      <c r="AR24" s="421"/>
      <c r="AS24" s="421">
        <f t="shared" si="5"/>
        <v>1.488</v>
      </c>
      <c r="AT24" s="930">
        <f>AO24+AO25+AP24+AP25</f>
        <v>1.8599999999999999</v>
      </c>
      <c r="AU24" s="424">
        <f t="shared" si="6"/>
        <v>5.8729999999999993</v>
      </c>
      <c r="AV24" s="442">
        <f t="shared" si="7"/>
        <v>0</v>
      </c>
      <c r="AW24" s="421">
        <f>AU24+AV24</f>
        <v>5.8729999999999993</v>
      </c>
      <c r="AX24" s="421">
        <f t="shared" si="13"/>
        <v>0</v>
      </c>
      <c r="AY24" s="421">
        <f t="shared" si="8"/>
        <v>5.8729999999999993</v>
      </c>
      <c r="AZ24" s="423">
        <f t="shared" si="12"/>
        <v>0</v>
      </c>
      <c r="BA24" s="930">
        <f t="shared" ref="BA24" si="47">AU24+AU25</f>
        <v>7.3409999999999993</v>
      </c>
      <c r="BB24" s="930">
        <f t="shared" ref="BB24" si="48">AV24+AV25</f>
        <v>0</v>
      </c>
      <c r="BC24" s="930">
        <f t="shared" ref="BC24" si="49">BA24+BB24</f>
        <v>7.3409999999999993</v>
      </c>
      <c r="BD24" s="930">
        <f>AX24+AX25</f>
        <v>0</v>
      </c>
      <c r="BE24" s="930">
        <f t="shared" ref="BE24" si="50">BC24-BD24</f>
        <v>7.3409999999999993</v>
      </c>
      <c r="BF24" s="1107">
        <f t="shared" ref="BF24" si="51">BD24/BC24</f>
        <v>0</v>
      </c>
      <c r="BG24" s="682"/>
      <c r="BH24" s="682"/>
      <c r="BI24" s="682"/>
      <c r="BJ24" s="682"/>
      <c r="BK24" s="682"/>
      <c r="BL24" s="682"/>
      <c r="BM24" s="682"/>
      <c r="BN24" s="682"/>
      <c r="BO24" s="682"/>
      <c r="BP24" s="682"/>
      <c r="BQ24" s="682"/>
      <c r="BR24" s="682"/>
      <c r="BS24" s="682"/>
      <c r="BT24" s="682"/>
      <c r="BU24" s="682"/>
      <c r="BV24" s="682"/>
      <c r="BW24" s="682"/>
      <c r="BX24" s="682"/>
      <c r="BY24" s="682"/>
      <c r="BZ24" s="682"/>
      <c r="CA24" s="682"/>
      <c r="CB24" s="682"/>
      <c r="CC24" s="682"/>
      <c r="CD24" s="682"/>
      <c r="CE24" s="682"/>
      <c r="CF24" s="682"/>
      <c r="CG24" s="682"/>
      <c r="CH24" s="682"/>
      <c r="CI24" s="682"/>
      <c r="CJ24" s="682"/>
      <c r="CK24" s="682"/>
      <c r="CL24" s="682"/>
      <c r="CM24" s="682"/>
      <c r="CN24" s="682"/>
      <c r="CO24" s="682"/>
      <c r="CP24" s="682"/>
      <c r="CQ24" s="682"/>
      <c r="CR24" s="682"/>
      <c r="CS24" s="682"/>
      <c r="CT24" s="682"/>
      <c r="CU24" s="682"/>
      <c r="CV24" s="682"/>
      <c r="CW24" s="682"/>
      <c r="CX24" s="682"/>
      <c r="CY24" s="682"/>
      <c r="CZ24" s="682"/>
      <c r="DA24" s="682"/>
      <c r="DB24" s="682"/>
      <c r="DC24" s="682"/>
      <c r="DD24" s="682"/>
      <c r="DE24" s="682"/>
      <c r="DF24" s="682"/>
    </row>
    <row r="25" spans="1:110" ht="15" customHeight="1">
      <c r="A25" s="889"/>
      <c r="B25" s="1149"/>
      <c r="C25" s="146">
        <v>42278</v>
      </c>
      <c r="D25" s="147">
        <v>42369</v>
      </c>
      <c r="E25" s="425">
        <v>4.0000000000000001E-3</v>
      </c>
      <c r="F25" s="425"/>
      <c r="G25" s="425">
        <f>E25+F25+I24</f>
        <v>1.9E-2</v>
      </c>
      <c r="H25" s="426"/>
      <c r="I25" s="427">
        <f t="shared" si="17"/>
        <v>1.9E-2</v>
      </c>
      <c r="J25" s="1131"/>
      <c r="K25" s="278">
        <v>1.6E-2</v>
      </c>
      <c r="L25" s="427"/>
      <c r="M25" s="427">
        <f>K25+L25+O24</f>
        <v>8.3000000000000004E-2</v>
      </c>
      <c r="N25" s="427"/>
      <c r="O25" s="427">
        <f t="shared" si="0"/>
        <v>8.3000000000000004E-2</v>
      </c>
      <c r="P25" s="931"/>
      <c r="Q25" s="278">
        <v>0.11700000000000001</v>
      </c>
      <c r="R25" s="516"/>
      <c r="S25" s="427">
        <f>Q25+R25+U24</f>
        <v>0.58400000000000007</v>
      </c>
      <c r="T25" s="429"/>
      <c r="U25" s="427">
        <f t="shared" si="1"/>
        <v>0.58400000000000007</v>
      </c>
      <c r="V25" s="931"/>
      <c r="W25" s="278">
        <v>0.219</v>
      </c>
      <c r="X25" s="516"/>
      <c r="Y25" s="427">
        <f>W25+X25+AA24</f>
        <v>1.0940000000000001</v>
      </c>
      <c r="Z25" s="429"/>
      <c r="AA25" s="427">
        <f t="shared" si="2"/>
        <v>1.0940000000000001</v>
      </c>
      <c r="AB25" s="931"/>
      <c r="AC25" s="278">
        <v>0.372</v>
      </c>
      <c r="AD25" s="516"/>
      <c r="AE25" s="427">
        <f>AC25+AD25+AG24</f>
        <v>1.8599999999999999</v>
      </c>
      <c r="AF25" s="427"/>
      <c r="AG25" s="427">
        <f t="shared" si="3"/>
        <v>1.8599999999999999</v>
      </c>
      <c r="AH25" s="931"/>
      <c r="AI25" s="278">
        <v>0.36799999999999999</v>
      </c>
      <c r="AJ25" s="516"/>
      <c r="AK25" s="427">
        <f>AI25+AJ25+AM24</f>
        <v>1.8410000000000002</v>
      </c>
      <c r="AL25" s="427"/>
      <c r="AM25" s="427">
        <f t="shared" si="4"/>
        <v>1.8410000000000002</v>
      </c>
      <c r="AN25" s="1131"/>
      <c r="AO25" s="278">
        <v>0.372</v>
      </c>
      <c r="AP25" s="516"/>
      <c r="AQ25" s="427">
        <f>AO25+AP25+AS24</f>
        <v>1.8599999999999999</v>
      </c>
      <c r="AR25" s="427"/>
      <c r="AS25" s="427">
        <f t="shared" si="5"/>
        <v>1.8599999999999999</v>
      </c>
      <c r="AT25" s="931"/>
      <c r="AU25" s="430">
        <f t="shared" si="6"/>
        <v>1.468</v>
      </c>
      <c r="AV25" s="456">
        <f t="shared" si="7"/>
        <v>0</v>
      </c>
      <c r="AW25" s="427">
        <f>AU25+AV25+AY24</f>
        <v>7.3409999999999993</v>
      </c>
      <c r="AX25" s="427">
        <f t="shared" si="13"/>
        <v>0</v>
      </c>
      <c r="AY25" s="427">
        <f t="shared" si="8"/>
        <v>7.3409999999999993</v>
      </c>
      <c r="AZ25" s="429">
        <f t="shared" si="12"/>
        <v>0</v>
      </c>
      <c r="BA25" s="931"/>
      <c r="BB25" s="931"/>
      <c r="BC25" s="931"/>
      <c r="BD25" s="931"/>
      <c r="BE25" s="931"/>
      <c r="BF25" s="1127"/>
      <c r="BG25" s="682"/>
      <c r="BH25" s="682"/>
      <c r="BI25" s="682"/>
      <c r="BJ25" s="682"/>
      <c r="BK25" s="682"/>
      <c r="BL25" s="682"/>
      <c r="BM25" s="682"/>
      <c r="BN25" s="682"/>
      <c r="BO25" s="682"/>
      <c r="BP25" s="682"/>
      <c r="BQ25" s="682"/>
      <c r="BR25" s="682"/>
      <c r="BS25" s="682"/>
      <c r="BT25" s="682"/>
      <c r="BU25" s="682"/>
      <c r="BV25" s="682"/>
      <c r="BW25" s="682"/>
      <c r="BX25" s="682"/>
      <c r="BY25" s="682"/>
      <c r="BZ25" s="682"/>
      <c r="CA25" s="682"/>
      <c r="CB25" s="682"/>
      <c r="CC25" s="682"/>
      <c r="CD25" s="682"/>
      <c r="CE25" s="682"/>
      <c r="CF25" s="682"/>
      <c r="CG25" s="682"/>
      <c r="CH25" s="682"/>
      <c r="CI25" s="682"/>
      <c r="CJ25" s="682"/>
      <c r="CK25" s="682"/>
      <c r="CL25" s="682"/>
      <c r="CM25" s="682"/>
      <c r="CN25" s="682"/>
      <c r="CO25" s="682"/>
      <c r="CP25" s="682"/>
      <c r="CQ25" s="682"/>
      <c r="CR25" s="682"/>
      <c r="CS25" s="682"/>
      <c r="CT25" s="682"/>
      <c r="CU25" s="682"/>
      <c r="CV25" s="682"/>
      <c r="CW25" s="682"/>
      <c r="CX25" s="682"/>
      <c r="CY25" s="682"/>
      <c r="CZ25" s="682"/>
      <c r="DA25" s="682"/>
      <c r="DB25" s="682"/>
      <c r="DC25" s="682"/>
      <c r="DD25" s="682"/>
      <c r="DE25" s="682"/>
      <c r="DF25" s="682"/>
    </row>
    <row r="26" spans="1:110" ht="15" customHeight="1">
      <c r="A26" s="889"/>
      <c r="B26" s="1009" t="s">
        <v>29</v>
      </c>
      <c r="C26" s="142">
        <v>41640</v>
      </c>
      <c r="D26" s="143">
        <v>42216</v>
      </c>
      <c r="E26" s="419">
        <v>0.30599999999999999</v>
      </c>
      <c r="F26" s="432">
        <f>-0.306</f>
        <v>-0.30599999999999999</v>
      </c>
      <c r="G26" s="419">
        <f>E26+F26</f>
        <v>0</v>
      </c>
      <c r="H26" s="419"/>
      <c r="I26" s="421">
        <f t="shared" si="17"/>
        <v>0</v>
      </c>
      <c r="J26" s="1130">
        <f t="shared" si="36"/>
        <v>0</v>
      </c>
      <c r="K26" s="421">
        <v>1.4139999999999999</v>
      </c>
      <c r="L26" s="433">
        <f>-1.414</f>
        <v>-1.4139999999999999</v>
      </c>
      <c r="M26" s="421">
        <f>K26+L26</f>
        <v>0</v>
      </c>
      <c r="N26" s="421"/>
      <c r="O26" s="421">
        <f t="shared" si="0"/>
        <v>0</v>
      </c>
      <c r="P26" s="930">
        <f>K26+K27+L26+L27</f>
        <v>0</v>
      </c>
      <c r="Q26" s="421">
        <v>9.7840000000000007</v>
      </c>
      <c r="R26" s="433">
        <f>-9.784</f>
        <v>-9.7840000000000007</v>
      </c>
      <c r="S26" s="421">
        <f>Q26+R26</f>
        <v>0</v>
      </c>
      <c r="T26" s="423"/>
      <c r="U26" s="421">
        <f t="shared" si="1"/>
        <v>0</v>
      </c>
      <c r="V26" s="930">
        <f>Q26+Q27+R26+R27</f>
        <v>0</v>
      </c>
      <c r="W26" s="421">
        <v>18.344999999999999</v>
      </c>
      <c r="X26" s="433">
        <f>-18.345</f>
        <v>-18.344999999999999</v>
      </c>
      <c r="Y26" s="421">
        <f>W26+X26</f>
        <v>0</v>
      </c>
      <c r="Z26" s="423"/>
      <c r="AA26" s="421">
        <f t="shared" si="2"/>
        <v>0</v>
      </c>
      <c r="AB26" s="930">
        <f>W26+W27+X26+X27</f>
        <v>0</v>
      </c>
      <c r="AC26" s="421">
        <v>31.186</v>
      </c>
      <c r="AD26" s="433">
        <f>-31.186</f>
        <v>-31.186</v>
      </c>
      <c r="AE26" s="421">
        <f>AC26+AD26</f>
        <v>0</v>
      </c>
      <c r="AF26" s="421"/>
      <c r="AG26" s="421">
        <f t="shared" si="3"/>
        <v>0</v>
      </c>
      <c r="AH26" s="930">
        <f>AC26+AC27+AD26+AD27</f>
        <v>0</v>
      </c>
      <c r="AI26" s="421">
        <v>30.881</v>
      </c>
      <c r="AJ26" s="433">
        <f>-30.881</f>
        <v>-30.881</v>
      </c>
      <c r="AK26" s="421">
        <f>AI26+AJ26</f>
        <v>0</v>
      </c>
      <c r="AL26" s="421"/>
      <c r="AM26" s="421">
        <f t="shared" si="4"/>
        <v>0</v>
      </c>
      <c r="AN26" s="1130">
        <f>AI26+AI27+AJ26+AJ27</f>
        <v>0</v>
      </c>
      <c r="AO26" s="421">
        <v>31.186</v>
      </c>
      <c r="AP26" s="433">
        <f>-31.186</f>
        <v>-31.186</v>
      </c>
      <c r="AQ26" s="421">
        <f>AO26+AP26</f>
        <v>0</v>
      </c>
      <c r="AR26" s="421"/>
      <c r="AS26" s="421">
        <f t="shared" si="5"/>
        <v>0</v>
      </c>
      <c r="AT26" s="930">
        <f>AO26+AO27+AP26+AP27</f>
        <v>0</v>
      </c>
      <c r="AU26" s="424">
        <f t="shared" si="6"/>
        <v>123.102</v>
      </c>
      <c r="AV26" s="442">
        <f t="shared" si="7"/>
        <v>-123.102</v>
      </c>
      <c r="AW26" s="421">
        <f>AU26+AV26</f>
        <v>0</v>
      </c>
      <c r="AX26" s="421">
        <f t="shared" si="13"/>
        <v>0</v>
      </c>
      <c r="AY26" s="421">
        <f t="shared" si="8"/>
        <v>0</v>
      </c>
      <c r="AZ26" s="423" t="e">
        <f t="shared" si="12"/>
        <v>#DIV/0!</v>
      </c>
      <c r="BA26" s="930">
        <f t="shared" ref="BA26" si="52">AU26+AU27</f>
        <v>153.86799999999999</v>
      </c>
      <c r="BB26" s="930">
        <f t="shared" ref="BB26" si="53">AV26+AV27</f>
        <v>-153.86799999999999</v>
      </c>
      <c r="BC26" s="930">
        <f t="shared" ref="BC26" si="54">BA26+BB26</f>
        <v>0</v>
      </c>
      <c r="BD26" s="930">
        <f>AX26+AX27</f>
        <v>0</v>
      </c>
      <c r="BE26" s="930">
        <f t="shared" ref="BE26" si="55">BC26-BD26</f>
        <v>0</v>
      </c>
      <c r="BF26" s="1107" t="e">
        <f t="shared" ref="BF26" si="56">BD26/BC26</f>
        <v>#DIV/0!</v>
      </c>
    </row>
    <row r="27" spans="1:110" ht="15" customHeight="1">
      <c r="A27" s="889"/>
      <c r="B27" s="1010"/>
      <c r="C27" s="146">
        <v>42278</v>
      </c>
      <c r="D27" s="147">
        <v>42369</v>
      </c>
      <c r="E27" s="425">
        <v>7.5999999999999998E-2</v>
      </c>
      <c r="F27" s="444">
        <f>-0.076</f>
        <v>-7.5999999999999998E-2</v>
      </c>
      <c r="G27" s="425">
        <f>E27+F27+I26</f>
        <v>0</v>
      </c>
      <c r="H27" s="425"/>
      <c r="I27" s="427">
        <f t="shared" si="17"/>
        <v>0</v>
      </c>
      <c r="J27" s="1131"/>
      <c r="K27" s="278">
        <v>0.34399999999999997</v>
      </c>
      <c r="L27" s="441">
        <f>-0.344</f>
        <v>-0.34399999999999997</v>
      </c>
      <c r="M27" s="427">
        <f>K27+L27+O26</f>
        <v>0</v>
      </c>
      <c r="N27" s="427"/>
      <c r="O27" s="427">
        <f t="shared" si="0"/>
        <v>0</v>
      </c>
      <c r="P27" s="931"/>
      <c r="Q27" s="278">
        <v>2.4460000000000002</v>
      </c>
      <c r="R27" s="441">
        <f>-2.446</f>
        <v>-2.4460000000000002</v>
      </c>
      <c r="S27" s="427">
        <f>Q27+R27+U26</f>
        <v>0</v>
      </c>
      <c r="T27" s="429"/>
      <c r="U27" s="427">
        <f t="shared" si="1"/>
        <v>0</v>
      </c>
      <c r="V27" s="931"/>
      <c r="W27" s="278">
        <v>4.5860000000000003</v>
      </c>
      <c r="X27" s="441">
        <f>-4.586</f>
        <v>-4.5860000000000003</v>
      </c>
      <c r="Y27" s="427">
        <f>W27+X27+AA26</f>
        <v>0</v>
      </c>
      <c r="Z27" s="429"/>
      <c r="AA27" s="427">
        <f t="shared" si="2"/>
        <v>0</v>
      </c>
      <c r="AB27" s="931"/>
      <c r="AC27" s="278">
        <v>7.7969999999999997</v>
      </c>
      <c r="AD27" s="441">
        <f>-7.797</f>
        <v>-7.7969999999999997</v>
      </c>
      <c r="AE27" s="427">
        <f>AC27+AD27+AG26</f>
        <v>0</v>
      </c>
      <c r="AF27" s="427"/>
      <c r="AG27" s="427">
        <f t="shared" si="3"/>
        <v>0</v>
      </c>
      <c r="AH27" s="931"/>
      <c r="AI27" s="278">
        <v>7.72</v>
      </c>
      <c r="AJ27" s="441">
        <f>-7.72</f>
        <v>-7.72</v>
      </c>
      <c r="AK27" s="427">
        <f>AI27+AJ27+AM26</f>
        <v>0</v>
      </c>
      <c r="AL27" s="427"/>
      <c r="AM27" s="427">
        <f t="shared" si="4"/>
        <v>0</v>
      </c>
      <c r="AN27" s="1131"/>
      <c r="AO27" s="278">
        <v>7.7969999999999997</v>
      </c>
      <c r="AP27" s="441">
        <f>-7.797</f>
        <v>-7.7969999999999997</v>
      </c>
      <c r="AQ27" s="427">
        <f>AO27+AP27+AS26</f>
        <v>0</v>
      </c>
      <c r="AR27" s="427"/>
      <c r="AS27" s="427">
        <f t="shared" si="5"/>
        <v>0</v>
      </c>
      <c r="AT27" s="931"/>
      <c r="AU27" s="430">
        <f t="shared" si="6"/>
        <v>30.765999999999998</v>
      </c>
      <c r="AV27" s="456">
        <f t="shared" si="7"/>
        <v>-30.765999999999998</v>
      </c>
      <c r="AW27" s="427">
        <f>AU27+AV27+AY26</f>
        <v>0</v>
      </c>
      <c r="AX27" s="427">
        <f t="shared" si="13"/>
        <v>0</v>
      </c>
      <c r="AY27" s="427">
        <f t="shared" si="8"/>
        <v>0</v>
      </c>
      <c r="AZ27" s="429" t="e">
        <f t="shared" si="12"/>
        <v>#DIV/0!</v>
      </c>
      <c r="BA27" s="931"/>
      <c r="BB27" s="931"/>
      <c r="BC27" s="931"/>
      <c r="BD27" s="931"/>
      <c r="BE27" s="931"/>
      <c r="BF27" s="1127"/>
    </row>
    <row r="28" spans="1:110">
      <c r="A28" s="889"/>
      <c r="B28" s="1009" t="s">
        <v>30</v>
      </c>
      <c r="C28" s="831">
        <v>41640</v>
      </c>
      <c r="D28" s="832">
        <v>42216</v>
      </c>
      <c r="E28" s="546">
        <v>0.69</v>
      </c>
      <c r="F28" s="546">
        <f>-0.69</f>
        <v>-0.69</v>
      </c>
      <c r="G28" s="546">
        <f>E28+F28</f>
        <v>0</v>
      </c>
      <c r="H28" s="546"/>
      <c r="I28" s="833">
        <f t="shared" si="17"/>
        <v>0</v>
      </c>
      <c r="J28" s="1153">
        <f t="shared" si="36"/>
        <v>0</v>
      </c>
      <c r="K28" s="833">
        <v>3.1890000000000001</v>
      </c>
      <c r="L28" s="834">
        <f>-3.189</f>
        <v>-3.1890000000000001</v>
      </c>
      <c r="M28" s="833">
        <f>K28+L28</f>
        <v>0</v>
      </c>
      <c r="N28" s="833"/>
      <c r="O28" s="833">
        <f t="shared" si="0"/>
        <v>0</v>
      </c>
      <c r="P28" s="1150">
        <f>K28+K29+L28+L29</f>
        <v>0</v>
      </c>
      <c r="Q28" s="833">
        <v>22.065999999999999</v>
      </c>
      <c r="R28" s="834">
        <f>-22.066</f>
        <v>-22.065999999999999</v>
      </c>
      <c r="S28" s="833">
        <f>Q28+R28</f>
        <v>0</v>
      </c>
      <c r="T28" s="834"/>
      <c r="U28" s="833">
        <f t="shared" si="1"/>
        <v>0</v>
      </c>
      <c r="V28" s="1150">
        <f>Q28+Q29+R28+R29</f>
        <v>0</v>
      </c>
      <c r="W28" s="833">
        <v>41.374000000000002</v>
      </c>
      <c r="X28" s="834">
        <f>-41.374</f>
        <v>-41.374000000000002</v>
      </c>
      <c r="Y28" s="833">
        <f>W28+X28</f>
        <v>0</v>
      </c>
      <c r="Z28" s="834"/>
      <c r="AA28" s="833">
        <f t="shared" si="2"/>
        <v>0</v>
      </c>
      <c r="AB28" s="1150">
        <f>W28+W29+X28+X29</f>
        <v>0</v>
      </c>
      <c r="AC28" s="833">
        <v>70.335999999999999</v>
      </c>
      <c r="AD28" s="834">
        <f>-70.336</f>
        <v>-70.335999999999999</v>
      </c>
      <c r="AE28" s="833">
        <f>AC28+AD28</f>
        <v>0</v>
      </c>
      <c r="AF28" s="833"/>
      <c r="AG28" s="833">
        <f t="shared" si="3"/>
        <v>0</v>
      </c>
      <c r="AH28" s="1150">
        <f>AC28+AC29+AD28+AD29</f>
        <v>0</v>
      </c>
      <c r="AI28" s="833">
        <v>69.647000000000006</v>
      </c>
      <c r="AJ28" s="834">
        <f>-69.647</f>
        <v>-69.647000000000006</v>
      </c>
      <c r="AK28" s="833">
        <f>AI28+AJ28</f>
        <v>0</v>
      </c>
      <c r="AL28" s="833"/>
      <c r="AM28" s="833">
        <f t="shared" si="4"/>
        <v>0</v>
      </c>
      <c r="AN28" s="1153">
        <f>AI28+AI29+AJ28+AJ29</f>
        <v>0</v>
      </c>
      <c r="AO28" s="833">
        <v>70.335999999999999</v>
      </c>
      <c r="AP28" s="834">
        <f>-70.336</f>
        <v>-70.335999999999999</v>
      </c>
      <c r="AQ28" s="833">
        <f>AO28+AP28</f>
        <v>0</v>
      </c>
      <c r="AR28" s="833"/>
      <c r="AS28" s="833">
        <f t="shared" si="5"/>
        <v>0</v>
      </c>
      <c r="AT28" s="1150">
        <f>AO28+AO29+AP28+AP29</f>
        <v>0</v>
      </c>
      <c r="AU28" s="835">
        <f t="shared" si="6"/>
        <v>277.63800000000003</v>
      </c>
      <c r="AV28" s="833">
        <f t="shared" si="7"/>
        <v>-277.63800000000003</v>
      </c>
      <c r="AW28" s="833">
        <f>AU28+AV28</f>
        <v>0</v>
      </c>
      <c r="AX28" s="833">
        <f t="shared" si="13"/>
        <v>0</v>
      </c>
      <c r="AY28" s="833">
        <f t="shared" si="8"/>
        <v>0</v>
      </c>
      <c r="AZ28" s="834" t="e">
        <f t="shared" si="12"/>
        <v>#DIV/0!</v>
      </c>
      <c r="BA28" s="1180">
        <f t="shared" ref="BA28" si="57">AU28+AU29</f>
        <v>347.02700000000004</v>
      </c>
      <c r="BB28" s="1180">
        <f t="shared" ref="BB28" si="58">AV28+AV29</f>
        <v>-347.02700000000004</v>
      </c>
      <c r="BC28" s="1180">
        <f t="shared" ref="BC28" si="59">BA28+BB28</f>
        <v>0</v>
      </c>
      <c r="BD28" s="1150">
        <f>AX28+AX29</f>
        <v>0</v>
      </c>
      <c r="BE28" s="1180">
        <f t="shared" ref="BE28" si="60">BC28-BD28</f>
        <v>0</v>
      </c>
      <c r="BF28" s="1182" t="e">
        <f t="shared" ref="BF28" si="61">BD28/BC28</f>
        <v>#DIV/0!</v>
      </c>
    </row>
    <row r="29" spans="1:110">
      <c r="A29" s="889"/>
      <c r="B29" s="1010"/>
      <c r="C29" s="836">
        <v>42278</v>
      </c>
      <c r="D29" s="837">
        <v>42369</v>
      </c>
      <c r="E29" s="546">
        <v>0.17199999999999999</v>
      </c>
      <c r="F29" s="546">
        <f>-0.172</f>
        <v>-0.17199999999999999</v>
      </c>
      <c r="G29" s="546">
        <f>E29+F29+I28</f>
        <v>0</v>
      </c>
      <c r="H29" s="546"/>
      <c r="I29" s="833">
        <f t="shared" si="17"/>
        <v>0</v>
      </c>
      <c r="J29" s="1153"/>
      <c r="K29" s="833">
        <v>0.77600000000000002</v>
      </c>
      <c r="L29" s="834">
        <f>-0.776</f>
        <v>-0.77600000000000002</v>
      </c>
      <c r="M29" s="833">
        <f>K29+L29+O28</f>
        <v>0</v>
      </c>
      <c r="N29" s="833"/>
      <c r="O29" s="833">
        <f t="shared" si="0"/>
        <v>0</v>
      </c>
      <c r="P29" s="1150"/>
      <c r="Q29" s="833">
        <v>5.5170000000000003</v>
      </c>
      <c r="R29" s="834">
        <f>-5.517</f>
        <v>-5.5170000000000003</v>
      </c>
      <c r="S29" s="833">
        <f>Q29+R29+U28</f>
        <v>0</v>
      </c>
      <c r="T29" s="834"/>
      <c r="U29" s="833">
        <f t="shared" si="1"/>
        <v>0</v>
      </c>
      <c r="V29" s="1150"/>
      <c r="W29" s="833">
        <v>10.343999999999999</v>
      </c>
      <c r="X29" s="834">
        <f>-10.344</f>
        <v>-10.343999999999999</v>
      </c>
      <c r="Y29" s="833">
        <f>W29+X29+AA28</f>
        <v>0</v>
      </c>
      <c r="Z29" s="834"/>
      <c r="AA29" s="833">
        <f t="shared" si="2"/>
        <v>0</v>
      </c>
      <c r="AB29" s="1150"/>
      <c r="AC29" s="833">
        <v>17.584</v>
      </c>
      <c r="AD29" s="834">
        <f>-17.584</f>
        <v>-17.584</v>
      </c>
      <c r="AE29" s="833">
        <f>AC29+AD29+AG28</f>
        <v>0</v>
      </c>
      <c r="AF29" s="833"/>
      <c r="AG29" s="833">
        <f t="shared" si="3"/>
        <v>0</v>
      </c>
      <c r="AH29" s="1150"/>
      <c r="AI29" s="833">
        <v>17.411999999999999</v>
      </c>
      <c r="AJ29" s="834">
        <f>-17.412</f>
        <v>-17.411999999999999</v>
      </c>
      <c r="AK29" s="833">
        <f>AI29+AJ29+AM28</f>
        <v>0</v>
      </c>
      <c r="AL29" s="833"/>
      <c r="AM29" s="833">
        <f t="shared" si="4"/>
        <v>0</v>
      </c>
      <c r="AN29" s="1153"/>
      <c r="AO29" s="833">
        <v>17.584</v>
      </c>
      <c r="AP29" s="834">
        <f>-17.584</f>
        <v>-17.584</v>
      </c>
      <c r="AQ29" s="833">
        <f>AO29+AP29+AS28</f>
        <v>0</v>
      </c>
      <c r="AR29" s="833"/>
      <c r="AS29" s="833">
        <f t="shared" si="5"/>
        <v>0</v>
      </c>
      <c r="AT29" s="1150"/>
      <c r="AU29" s="835">
        <f t="shared" si="6"/>
        <v>69.388999999999996</v>
      </c>
      <c r="AV29" s="833">
        <f t="shared" si="7"/>
        <v>-69.388999999999996</v>
      </c>
      <c r="AW29" s="833">
        <f>AU29+AV29+AY28</f>
        <v>0</v>
      </c>
      <c r="AX29" s="833">
        <f t="shared" si="13"/>
        <v>0</v>
      </c>
      <c r="AY29" s="833">
        <f t="shared" si="8"/>
        <v>0</v>
      </c>
      <c r="AZ29" s="834" t="e">
        <f t="shared" si="12"/>
        <v>#DIV/0!</v>
      </c>
      <c r="BA29" s="1181"/>
      <c r="BB29" s="1181"/>
      <c r="BC29" s="1181"/>
      <c r="BD29" s="1150"/>
      <c r="BE29" s="1181"/>
      <c r="BF29" s="1183"/>
    </row>
    <row r="30" spans="1:110">
      <c r="A30" s="889"/>
      <c r="B30" s="1009" t="s">
        <v>31</v>
      </c>
      <c r="C30" s="142">
        <v>41640</v>
      </c>
      <c r="D30" s="143">
        <v>42216</v>
      </c>
      <c r="E30" s="419">
        <v>0.16500000000000001</v>
      </c>
      <c r="F30" s="432">
        <f>-0.165</f>
        <v>-0.16500000000000001</v>
      </c>
      <c r="G30" s="419">
        <f>E30+F30</f>
        <v>0</v>
      </c>
      <c r="H30" s="420"/>
      <c r="I30" s="421">
        <f t="shared" si="17"/>
        <v>0</v>
      </c>
      <c r="J30" s="1130">
        <f t="shared" si="36"/>
        <v>0</v>
      </c>
      <c r="K30" s="421">
        <v>0.76400000000000001</v>
      </c>
      <c r="L30" s="433">
        <f>-0.764</f>
        <v>-0.76400000000000001</v>
      </c>
      <c r="M30" s="421">
        <f>K30+L30</f>
        <v>0</v>
      </c>
      <c r="N30" s="421"/>
      <c r="O30" s="421">
        <f t="shared" si="0"/>
        <v>0</v>
      </c>
      <c r="P30" s="930">
        <f>K30+K31+L30+L31</f>
        <v>0</v>
      </c>
      <c r="Q30" s="421">
        <v>5.2830000000000004</v>
      </c>
      <c r="R30" s="433">
        <f>-5.283</f>
        <v>-5.2830000000000004</v>
      </c>
      <c r="S30" s="421">
        <f>Q30+R30</f>
        <v>0</v>
      </c>
      <c r="T30" s="423"/>
      <c r="U30" s="421">
        <f t="shared" si="1"/>
        <v>0</v>
      </c>
      <c r="V30" s="930">
        <f>Q30+Q31+R30+R31</f>
        <v>99.997</v>
      </c>
      <c r="W30" s="421">
        <v>9.9049999999999994</v>
      </c>
      <c r="X30" s="433">
        <f>-9.905</f>
        <v>-9.9049999999999994</v>
      </c>
      <c r="Y30" s="421">
        <f>W30+X30</f>
        <v>0</v>
      </c>
      <c r="Z30" s="423"/>
      <c r="AA30" s="421">
        <f t="shared" si="2"/>
        <v>0</v>
      </c>
      <c r="AB30" s="930">
        <f>W30+W31+X30+X31</f>
        <v>0</v>
      </c>
      <c r="AC30" s="421">
        <v>16.838999999999999</v>
      </c>
      <c r="AD30" s="433">
        <f>-16.839</f>
        <v>-16.838999999999999</v>
      </c>
      <c r="AE30" s="421">
        <f>AC30+AD30</f>
        <v>0</v>
      </c>
      <c r="AF30" s="421"/>
      <c r="AG30" s="421">
        <f t="shared" si="3"/>
        <v>0</v>
      </c>
      <c r="AH30" s="930">
        <f>AC30+AC31+AD30+AD31</f>
        <v>0</v>
      </c>
      <c r="AI30" s="421">
        <v>16.673999999999999</v>
      </c>
      <c r="AJ30" s="433">
        <f>-16.674</f>
        <v>-16.673999999999999</v>
      </c>
      <c r="AK30" s="421">
        <f>AI30+AJ30</f>
        <v>0</v>
      </c>
      <c r="AL30" s="421"/>
      <c r="AM30" s="421">
        <f t="shared" si="4"/>
        <v>0</v>
      </c>
      <c r="AN30" s="1130">
        <f>AI30+AI31+AJ30+AJ31</f>
        <v>0</v>
      </c>
      <c r="AO30" s="421">
        <v>16.838999999999999</v>
      </c>
      <c r="AP30" s="433">
        <f>-16.839</f>
        <v>-16.838999999999999</v>
      </c>
      <c r="AQ30" s="421">
        <f>AO30+AP30</f>
        <v>0</v>
      </c>
      <c r="AR30" s="421"/>
      <c r="AS30" s="421">
        <f t="shared" si="5"/>
        <v>0</v>
      </c>
      <c r="AT30" s="930">
        <f>AO30+AO31+AP30+AP31</f>
        <v>0</v>
      </c>
      <c r="AU30" s="424">
        <f t="shared" si="6"/>
        <v>66.468999999999994</v>
      </c>
      <c r="AV30" s="442">
        <f t="shared" si="7"/>
        <v>-66.468999999999994</v>
      </c>
      <c r="AW30" s="421">
        <f>AU30+AV30</f>
        <v>0</v>
      </c>
      <c r="AX30" s="421">
        <f t="shared" si="13"/>
        <v>0</v>
      </c>
      <c r="AY30" s="421">
        <f t="shared" si="8"/>
        <v>0</v>
      </c>
      <c r="AZ30" s="423" t="e">
        <f t="shared" si="12"/>
        <v>#DIV/0!</v>
      </c>
      <c r="BA30" s="930">
        <f t="shared" ref="BA30" si="62">AU30+AU31</f>
        <v>83.080999999999989</v>
      </c>
      <c r="BB30" s="930">
        <f t="shared" ref="BB30" si="63">AV30+AV31</f>
        <v>16.916000000000011</v>
      </c>
      <c r="BC30" s="930">
        <f t="shared" ref="BC30" si="64">BA30+BB30</f>
        <v>99.997</v>
      </c>
      <c r="BD30" s="930">
        <f>AX30+AX31</f>
        <v>76.412000000000006</v>
      </c>
      <c r="BE30" s="930">
        <f t="shared" ref="BE30" si="65">BC30-BD30</f>
        <v>23.584999999999994</v>
      </c>
      <c r="BF30" s="1107">
        <f t="shared" ref="BF30" si="66">BD30/BC30</f>
        <v>0.76414292428772868</v>
      </c>
    </row>
    <row r="31" spans="1:110">
      <c r="A31" s="889"/>
      <c r="B31" s="1010"/>
      <c r="C31" s="146">
        <v>42278</v>
      </c>
      <c r="D31" s="147">
        <v>42369</v>
      </c>
      <c r="E31" s="425">
        <v>4.1000000000000002E-2</v>
      </c>
      <c r="F31" s="444">
        <f>-0.041</f>
        <v>-4.1000000000000002E-2</v>
      </c>
      <c r="G31" s="425">
        <f>E31+F31+I30</f>
        <v>0</v>
      </c>
      <c r="H31" s="426"/>
      <c r="I31" s="427">
        <f t="shared" si="17"/>
        <v>0</v>
      </c>
      <c r="J31" s="1131"/>
      <c r="K31" s="278">
        <v>0.186</v>
      </c>
      <c r="L31" s="441">
        <f>-0.186</f>
        <v>-0.186</v>
      </c>
      <c r="M31" s="427">
        <f>K31+L31+O30</f>
        <v>0</v>
      </c>
      <c r="N31" s="427"/>
      <c r="O31" s="427">
        <f t="shared" si="0"/>
        <v>0</v>
      </c>
      <c r="P31" s="931"/>
      <c r="Q31" s="278">
        <v>1.321</v>
      </c>
      <c r="R31" s="802">
        <f>-1.321+99.997</f>
        <v>98.676000000000002</v>
      </c>
      <c r="S31" s="427">
        <f>Q31+R31+U30</f>
        <v>99.997</v>
      </c>
      <c r="T31" s="429">
        <v>76.412000000000006</v>
      </c>
      <c r="U31" s="427">
        <f t="shared" si="1"/>
        <v>23.584999999999994</v>
      </c>
      <c r="V31" s="931"/>
      <c r="W31" s="278">
        <v>2.476</v>
      </c>
      <c r="X31" s="441">
        <f>-2.476</f>
        <v>-2.476</v>
      </c>
      <c r="Y31" s="427">
        <f>W31+X31+AA30</f>
        <v>0</v>
      </c>
      <c r="Z31" s="429"/>
      <c r="AA31" s="427">
        <f t="shared" si="2"/>
        <v>0</v>
      </c>
      <c r="AB31" s="931"/>
      <c r="AC31" s="278">
        <v>4.21</v>
      </c>
      <c r="AD31" s="441">
        <f>-4.21</f>
        <v>-4.21</v>
      </c>
      <c r="AE31" s="427">
        <f>AC31+AD31+AG30</f>
        <v>0</v>
      </c>
      <c r="AF31" s="427"/>
      <c r="AG31" s="427">
        <f t="shared" si="3"/>
        <v>0</v>
      </c>
      <c r="AH31" s="931"/>
      <c r="AI31" s="278">
        <v>4.1680000000000001</v>
      </c>
      <c r="AJ31" s="441">
        <f>-4.168</f>
        <v>-4.1680000000000001</v>
      </c>
      <c r="AK31" s="427">
        <f>AI31+AJ31+AM30</f>
        <v>0</v>
      </c>
      <c r="AL31" s="427"/>
      <c r="AM31" s="427">
        <f t="shared" si="4"/>
        <v>0</v>
      </c>
      <c r="AN31" s="1131"/>
      <c r="AO31" s="278">
        <v>4.21</v>
      </c>
      <c r="AP31" s="441">
        <f>-4.21</f>
        <v>-4.21</v>
      </c>
      <c r="AQ31" s="427">
        <f>AO31+AP31+AS30</f>
        <v>0</v>
      </c>
      <c r="AR31" s="427"/>
      <c r="AS31" s="427">
        <f t="shared" si="5"/>
        <v>0</v>
      </c>
      <c r="AT31" s="931"/>
      <c r="AU31" s="430">
        <f t="shared" si="6"/>
        <v>16.612000000000002</v>
      </c>
      <c r="AV31" s="456">
        <f t="shared" si="7"/>
        <v>83.385000000000005</v>
      </c>
      <c r="AW31" s="427">
        <f>AU31+AV31+AY30</f>
        <v>99.997000000000014</v>
      </c>
      <c r="AX31" s="427">
        <f t="shared" si="13"/>
        <v>76.412000000000006</v>
      </c>
      <c r="AY31" s="427">
        <f t="shared" si="8"/>
        <v>23.585000000000008</v>
      </c>
      <c r="AZ31" s="429">
        <f t="shared" si="12"/>
        <v>0.76414292428772856</v>
      </c>
      <c r="BA31" s="931"/>
      <c r="BB31" s="931"/>
      <c r="BC31" s="931"/>
      <c r="BD31" s="931"/>
      <c r="BE31" s="931"/>
      <c r="BF31" s="1127"/>
    </row>
    <row r="32" spans="1:110">
      <c r="A32" s="889"/>
      <c r="B32" s="1009" t="s">
        <v>32</v>
      </c>
      <c r="C32" s="142">
        <v>41640</v>
      </c>
      <c r="D32" s="143">
        <v>42216</v>
      </c>
      <c r="E32" s="419">
        <v>1.2030000000000001</v>
      </c>
      <c r="F32" s="445">
        <f>0.69+0.165+0.306+0.533</f>
        <v>1.694</v>
      </c>
      <c r="G32" s="419">
        <f>E32+F32</f>
        <v>2.8970000000000002</v>
      </c>
      <c r="H32" s="419"/>
      <c r="I32" s="421">
        <f t="shared" si="17"/>
        <v>2.8970000000000002</v>
      </c>
      <c r="J32" s="1130">
        <f t="shared" si="36"/>
        <v>3.62</v>
      </c>
      <c r="K32" s="421">
        <v>5.5629999999999997</v>
      </c>
      <c r="L32" s="422">
        <f>3.189+0.764+1.414+2.465</f>
        <v>7.8319999999999999</v>
      </c>
      <c r="M32" s="421">
        <f>K32+L32</f>
        <v>13.395</v>
      </c>
      <c r="N32" s="421"/>
      <c r="O32" s="421">
        <f t="shared" si="0"/>
        <v>13.395</v>
      </c>
      <c r="P32" s="930">
        <f>K32+K33+L32+L33</f>
        <v>16.654</v>
      </c>
      <c r="Q32" s="421">
        <v>38.491</v>
      </c>
      <c r="R32" s="422">
        <f>22.066+5.283+9.784+17.058+9.384</f>
        <v>63.575000000000003</v>
      </c>
      <c r="S32" s="421">
        <f>Q32+R32</f>
        <v>102.066</v>
      </c>
      <c r="T32" s="423">
        <v>99.271000000000001</v>
      </c>
      <c r="U32" s="421">
        <f t="shared" si="1"/>
        <v>2.7950000000000017</v>
      </c>
      <c r="V32" s="930">
        <f>Q32+Q33+R32+R33</f>
        <v>127.36999999999999</v>
      </c>
      <c r="W32" s="421">
        <v>72.17</v>
      </c>
      <c r="X32" s="422">
        <f>41.374+9.905+18.345+31.984+17.595-0.1</f>
        <v>119.10300000000001</v>
      </c>
      <c r="Y32" s="421">
        <f>W32+X32</f>
        <v>191.27300000000002</v>
      </c>
      <c r="Z32" s="423">
        <v>186.488</v>
      </c>
      <c r="AA32" s="421">
        <f t="shared" si="2"/>
        <v>4.785000000000025</v>
      </c>
      <c r="AB32" s="930">
        <f>W32+W33+X32+X33</f>
        <v>238.94800000000001</v>
      </c>
      <c r="AC32" s="421">
        <v>122.69</v>
      </c>
      <c r="AD32" s="422">
        <f>70.336+16.839+31.186+54.373+29.912</f>
        <v>202.64599999999999</v>
      </c>
      <c r="AE32" s="421">
        <f>AC32+AD32</f>
        <v>325.33600000000001</v>
      </c>
      <c r="AF32" s="579">
        <v>323.77300000000002</v>
      </c>
      <c r="AG32" s="442">
        <f t="shared" si="3"/>
        <v>1.5629999999999882</v>
      </c>
      <c r="AH32" s="930">
        <f>AC32+AC33+AD32+AD33</f>
        <v>406.48699999999997</v>
      </c>
      <c r="AI32" s="421">
        <v>121.48699999999999</v>
      </c>
      <c r="AJ32" s="422">
        <f>69.647+16.674+30.881+53.84+29.619</f>
        <v>200.661</v>
      </c>
      <c r="AK32" s="421">
        <f>AI32+AJ32</f>
        <v>322.14800000000002</v>
      </c>
      <c r="AL32" s="423">
        <v>318.548</v>
      </c>
      <c r="AM32" s="421">
        <f t="shared" si="4"/>
        <v>3.6000000000000227</v>
      </c>
      <c r="AN32" s="1130">
        <f>AI32+AI33+AJ32+AJ33</f>
        <v>402.46499999999997</v>
      </c>
      <c r="AO32" s="421">
        <v>122.69</v>
      </c>
      <c r="AP32" s="422">
        <f>70.336+16.839+31.186+54.373+29.912</f>
        <v>202.64599999999999</v>
      </c>
      <c r="AQ32" s="421">
        <f>AO32+AP32</f>
        <v>325.33600000000001</v>
      </c>
      <c r="AR32" s="423">
        <v>26.852</v>
      </c>
      <c r="AS32" s="421">
        <f t="shared" si="5"/>
        <v>298.48400000000004</v>
      </c>
      <c r="AT32" s="930">
        <f>AO32+AO33+AP32+AP33</f>
        <v>406.48699999999997</v>
      </c>
      <c r="AU32" s="424">
        <f t="shared" si="6"/>
        <v>484.29399999999998</v>
      </c>
      <c r="AV32" s="521">
        <f t="shared" si="7"/>
        <v>798.15699999999993</v>
      </c>
      <c r="AW32" s="421">
        <f>AU32+AV32</f>
        <v>1282.451</v>
      </c>
      <c r="AX32" s="421">
        <f t="shared" si="13"/>
        <v>954.93200000000002</v>
      </c>
      <c r="AY32" s="421">
        <f t="shared" si="8"/>
        <v>327.51900000000001</v>
      </c>
      <c r="AZ32" s="423">
        <f t="shared" si="12"/>
        <v>0.74461480399641</v>
      </c>
      <c r="BA32" s="930">
        <f t="shared" ref="BA32" si="67">AU32+AU33</f>
        <v>605.32999999999993</v>
      </c>
      <c r="BB32" s="1013">
        <f t="shared" ref="BB32" si="68">AV32+AV33</f>
        <v>996.70099999999991</v>
      </c>
      <c r="BC32" s="930">
        <f t="shared" ref="BC32" si="69">BA32+BB32</f>
        <v>1602.0309999999999</v>
      </c>
      <c r="BD32" s="930">
        <f>AX32+AX33</f>
        <v>1457.6790000000001</v>
      </c>
      <c r="BE32" s="930">
        <f t="shared" ref="BE32" si="70">BC32-BD32</f>
        <v>144.35199999999986</v>
      </c>
      <c r="BF32" s="1141">
        <f t="shared" ref="BF32" si="71">BD32/BC32</f>
        <v>0.9098943778241495</v>
      </c>
    </row>
    <row r="33" spans="1:58" ht="17.25" customHeight="1">
      <c r="A33" s="889"/>
      <c r="B33" s="1010"/>
      <c r="C33" s="146">
        <v>42278</v>
      </c>
      <c r="D33" s="147">
        <v>42369</v>
      </c>
      <c r="E33" s="425">
        <v>0.30099999999999999</v>
      </c>
      <c r="F33" s="446">
        <f>0.172+0.041+0.076+0.133</f>
        <v>0.42199999999999999</v>
      </c>
      <c r="G33" s="425">
        <f>E33+F33+I32</f>
        <v>3.62</v>
      </c>
      <c r="H33" s="425"/>
      <c r="I33" s="427">
        <f t="shared" si="17"/>
        <v>3.62</v>
      </c>
      <c r="J33" s="1131"/>
      <c r="K33" s="278">
        <v>1.353</v>
      </c>
      <c r="L33" s="428">
        <f>0.776+0.186+0.344+0.6</f>
        <v>1.9060000000000001</v>
      </c>
      <c r="M33" s="427">
        <f>K33+L33+O32</f>
        <v>16.654</v>
      </c>
      <c r="N33" s="427"/>
      <c r="O33" s="427">
        <f t="shared" si="0"/>
        <v>16.654</v>
      </c>
      <c r="P33" s="931"/>
      <c r="Q33" s="278">
        <v>9.6229999999999993</v>
      </c>
      <c r="R33" s="428">
        <f>5.517+1.321+2.446+4.265+2.132</f>
        <v>15.680999999999999</v>
      </c>
      <c r="S33" s="427">
        <f>Q33+R33+U32</f>
        <v>28.099</v>
      </c>
      <c r="T33" s="429">
        <v>18.91</v>
      </c>
      <c r="U33" s="427">
        <f t="shared" si="1"/>
        <v>9.1890000000000001</v>
      </c>
      <c r="V33" s="931"/>
      <c r="W33" s="278">
        <v>18.042999999999999</v>
      </c>
      <c r="X33" s="428">
        <f>10.344+2.476+4.586+7.996+4.23</f>
        <v>29.632000000000001</v>
      </c>
      <c r="Y33" s="427">
        <f>W33+X33+AA32</f>
        <v>52.460000000000022</v>
      </c>
      <c r="Z33" s="429">
        <v>47.939</v>
      </c>
      <c r="AA33" s="427">
        <f t="shared" si="2"/>
        <v>4.5210000000000221</v>
      </c>
      <c r="AB33" s="931"/>
      <c r="AC33" s="278">
        <v>30.672000000000001</v>
      </c>
      <c r="AD33" s="428">
        <f>17.584+4.21+7.797+13.593+7.295</f>
        <v>50.478999999999999</v>
      </c>
      <c r="AE33" s="427">
        <f>AC33+AD33+AG32</f>
        <v>82.713999999999984</v>
      </c>
      <c r="AF33" s="754">
        <v>79.507000000000005</v>
      </c>
      <c r="AG33" s="427">
        <f t="shared" si="3"/>
        <v>3.2069999999999794</v>
      </c>
      <c r="AH33" s="931"/>
      <c r="AI33" s="278">
        <v>30.372</v>
      </c>
      <c r="AJ33" s="428">
        <f>17.412+4.168+7.72+13.46+7.185</f>
        <v>49.945</v>
      </c>
      <c r="AK33" s="427">
        <f>AI33+AJ33+AM32</f>
        <v>83.91700000000003</v>
      </c>
      <c r="AL33" s="429">
        <v>82.832999999999998</v>
      </c>
      <c r="AM33" s="427">
        <f t="shared" si="4"/>
        <v>1.0840000000000316</v>
      </c>
      <c r="AN33" s="1131"/>
      <c r="AO33" s="278">
        <v>30.672000000000001</v>
      </c>
      <c r="AP33" s="428">
        <f>17.584+4.21+7.797+13.593+7.295</f>
        <v>50.478999999999999</v>
      </c>
      <c r="AQ33" s="427">
        <f>AO33+AP33+AS32</f>
        <v>379.63500000000005</v>
      </c>
      <c r="AR33" s="429">
        <v>273.55799999999999</v>
      </c>
      <c r="AS33" s="427">
        <f t="shared" si="5"/>
        <v>106.07700000000006</v>
      </c>
      <c r="AT33" s="931"/>
      <c r="AU33" s="430">
        <f t="shared" si="6"/>
        <v>121.036</v>
      </c>
      <c r="AV33" s="431">
        <f t="shared" si="7"/>
        <v>198.54399999999998</v>
      </c>
      <c r="AW33" s="427">
        <f>AU33+AV33+AY32</f>
        <v>647.09899999999993</v>
      </c>
      <c r="AX33" s="427">
        <f t="shared" si="13"/>
        <v>502.74699999999996</v>
      </c>
      <c r="AY33" s="427">
        <f t="shared" si="8"/>
        <v>144.35199999999998</v>
      </c>
      <c r="AZ33" s="429">
        <f t="shared" si="12"/>
        <v>0.77692439642156763</v>
      </c>
      <c r="BA33" s="931"/>
      <c r="BB33" s="1014"/>
      <c r="BC33" s="931"/>
      <c r="BD33" s="931"/>
      <c r="BE33" s="931"/>
      <c r="BF33" s="1177"/>
    </row>
    <row r="34" spans="1:58">
      <c r="A34" s="889"/>
      <c r="B34" s="1009" t="s">
        <v>63</v>
      </c>
      <c r="C34" s="142">
        <v>41640</v>
      </c>
      <c r="D34" s="143">
        <v>42216</v>
      </c>
      <c r="E34" s="419">
        <v>0.29299999999999998</v>
      </c>
      <c r="F34" s="419"/>
      <c r="G34" s="419">
        <f>E34+F34</f>
        <v>0.29299999999999998</v>
      </c>
      <c r="H34" s="420"/>
      <c r="I34" s="421">
        <f t="shared" si="17"/>
        <v>0.29299999999999998</v>
      </c>
      <c r="J34" s="1130">
        <f t="shared" si="36"/>
        <v>0.36599999999999999</v>
      </c>
      <c r="K34" s="421">
        <v>1.3560000000000001</v>
      </c>
      <c r="L34" s="447"/>
      <c r="M34" s="277">
        <f>K34+L34</f>
        <v>1.3560000000000001</v>
      </c>
      <c r="N34" s="277"/>
      <c r="O34" s="277">
        <f t="shared" si="0"/>
        <v>1.3560000000000001</v>
      </c>
      <c r="P34" s="1038">
        <f>K34+K35+L34+L35</f>
        <v>1.6860000000000002</v>
      </c>
      <c r="Q34" s="277">
        <v>9.3840000000000003</v>
      </c>
      <c r="R34" s="447">
        <f>-9.384</f>
        <v>-9.3840000000000003</v>
      </c>
      <c r="S34" s="277">
        <f>Q34+R34</f>
        <v>0</v>
      </c>
      <c r="T34" s="448"/>
      <c r="U34" s="277">
        <f t="shared" si="1"/>
        <v>0</v>
      </c>
      <c r="V34" s="1038">
        <f>Q34+Q35+R34+R35</f>
        <v>35.213627000000002</v>
      </c>
      <c r="W34" s="277">
        <v>17.594999999999999</v>
      </c>
      <c r="X34" s="449">
        <f>-17.595</f>
        <v>-17.594999999999999</v>
      </c>
      <c r="Y34" s="277">
        <f>W34+X34</f>
        <v>0</v>
      </c>
      <c r="Z34" s="448"/>
      <c r="AA34" s="277">
        <f t="shared" si="2"/>
        <v>0</v>
      </c>
      <c r="AB34" s="1038">
        <f>W34+W35+X34+X35</f>
        <v>0.16905400000000093</v>
      </c>
      <c r="AC34" s="277">
        <v>29.911999999999999</v>
      </c>
      <c r="AD34" s="447">
        <f>-29.912</f>
        <v>-29.911999999999999</v>
      </c>
      <c r="AE34" s="277">
        <f>AC34+AD34</f>
        <v>0</v>
      </c>
      <c r="AF34" s="277"/>
      <c r="AG34" s="277">
        <f t="shared" si="3"/>
        <v>0</v>
      </c>
      <c r="AH34" s="1038">
        <f>AC34+AC35+AD34+AD35</f>
        <v>0.18291580000000174</v>
      </c>
      <c r="AI34" s="277">
        <v>29.619</v>
      </c>
      <c r="AJ34" s="447">
        <f>-29.619</f>
        <v>-29.619</v>
      </c>
      <c r="AK34" s="277">
        <f>AI34+AJ34</f>
        <v>0</v>
      </c>
      <c r="AL34" s="277"/>
      <c r="AM34" s="277">
        <f t="shared" si="4"/>
        <v>0</v>
      </c>
      <c r="AN34" s="1151">
        <f>AI34+AI35+AJ34+AJ35</f>
        <v>0.21991840000000096</v>
      </c>
      <c r="AO34" s="277">
        <v>29.911999999999999</v>
      </c>
      <c r="AP34" s="447">
        <f>-29.912</f>
        <v>-29.911999999999999</v>
      </c>
      <c r="AQ34" s="277">
        <f>AO34+AP34</f>
        <v>0</v>
      </c>
      <c r="AR34" s="277"/>
      <c r="AS34" s="277">
        <f t="shared" si="5"/>
        <v>0</v>
      </c>
      <c r="AT34" s="1038">
        <f>AO34+AO35+AP34+AP35</f>
        <v>0.18291580000000174</v>
      </c>
      <c r="AU34" s="450">
        <f t="shared" si="6"/>
        <v>118.071</v>
      </c>
      <c r="AV34" s="458">
        <f>F34+L34+R34+X34+AD34+AJ34+AP34</f>
        <v>-116.422</v>
      </c>
      <c r="AW34" s="277">
        <f>AU34+AV34</f>
        <v>1.6490000000000009</v>
      </c>
      <c r="AX34" s="277">
        <f t="shared" si="13"/>
        <v>0</v>
      </c>
      <c r="AY34" s="277">
        <f t="shared" si="8"/>
        <v>1.6490000000000009</v>
      </c>
      <c r="AZ34" s="448">
        <f>AX34/AW34</f>
        <v>0</v>
      </c>
      <c r="BA34" s="930">
        <f t="shared" ref="BA34" si="72">AU34+AU35</f>
        <v>147.57999999999998</v>
      </c>
      <c r="BB34" s="930">
        <f t="shared" ref="BB34" si="73">AV34+AV35</f>
        <v>-109.559569</v>
      </c>
      <c r="BC34" s="930">
        <f t="shared" ref="BC34" si="74">BA34+BB34</f>
        <v>38.020430999999988</v>
      </c>
      <c r="BD34" s="1038">
        <f>AX34+AX35</f>
        <v>0.25</v>
      </c>
      <c r="BE34" s="930">
        <f t="shared" ref="BE34" si="75">BC34-BD34</f>
        <v>37.770430999999988</v>
      </c>
      <c r="BF34" s="1107">
        <f t="shared" ref="BF34" si="76">BD34/BC34</f>
        <v>6.5754120462232554E-3</v>
      </c>
    </row>
    <row r="35" spans="1:58">
      <c r="A35" s="889"/>
      <c r="B35" s="1149"/>
      <c r="C35" s="146">
        <v>42278</v>
      </c>
      <c r="D35" s="147">
        <v>42369</v>
      </c>
      <c r="E35" s="425">
        <v>7.2999999999999995E-2</v>
      </c>
      <c r="F35" s="425"/>
      <c r="G35" s="425">
        <f>E35+F35+I34</f>
        <v>0.36599999999999999</v>
      </c>
      <c r="H35" s="426"/>
      <c r="I35" s="427">
        <f t="shared" si="17"/>
        <v>0.36599999999999999</v>
      </c>
      <c r="J35" s="1131"/>
      <c r="K35" s="278">
        <v>0.33</v>
      </c>
      <c r="L35" s="451"/>
      <c r="M35" s="278">
        <f>K35+L35+O34</f>
        <v>1.6860000000000002</v>
      </c>
      <c r="N35" s="278"/>
      <c r="O35" s="278">
        <f t="shared" si="0"/>
        <v>1.6860000000000002</v>
      </c>
      <c r="P35" s="1032"/>
      <c r="Q35" s="278">
        <v>2.3460000000000001</v>
      </c>
      <c r="R35" s="452">
        <f>-2.132373+35</f>
        <v>32.867626999999999</v>
      </c>
      <c r="S35" s="278">
        <f>Q35+R35+U34</f>
        <v>35.213627000000002</v>
      </c>
      <c r="T35" s="453">
        <v>0.25</v>
      </c>
      <c r="U35" s="278">
        <f t="shared" si="1"/>
        <v>34.963627000000002</v>
      </c>
      <c r="V35" s="1032"/>
      <c r="W35" s="278">
        <v>4.399</v>
      </c>
      <c r="X35" s="517">
        <f>-4.229946</f>
        <v>-4.229946</v>
      </c>
      <c r="Y35" s="454">
        <f>W35+X35+AA34</f>
        <v>0.16905400000000004</v>
      </c>
      <c r="Z35" s="453"/>
      <c r="AA35" s="278">
        <f t="shared" si="2"/>
        <v>0.16905400000000004</v>
      </c>
      <c r="AB35" s="1032"/>
      <c r="AC35" s="278">
        <v>7.4779999999999998</v>
      </c>
      <c r="AD35" s="451">
        <f>-7.2950842</f>
        <v>-7.2950841999999998</v>
      </c>
      <c r="AE35" s="278">
        <f>AC35+AD35+AG34</f>
        <v>0.18291579999999996</v>
      </c>
      <c r="AF35" s="278"/>
      <c r="AG35" s="278">
        <f t="shared" si="3"/>
        <v>0.18291579999999996</v>
      </c>
      <c r="AH35" s="1032"/>
      <c r="AI35" s="278">
        <v>7.4050000000000002</v>
      </c>
      <c r="AJ35" s="451">
        <f>-7.1850816</f>
        <v>-7.1850816000000002</v>
      </c>
      <c r="AK35" s="278">
        <f>AI35+AJ35+AM34</f>
        <v>0.21991840000000007</v>
      </c>
      <c r="AL35" s="278"/>
      <c r="AM35" s="278">
        <f t="shared" si="4"/>
        <v>0.21991840000000007</v>
      </c>
      <c r="AN35" s="1152"/>
      <c r="AO35" s="278">
        <v>7.4779999999999998</v>
      </c>
      <c r="AP35" s="451">
        <f>-7.2950842</f>
        <v>-7.2950841999999998</v>
      </c>
      <c r="AQ35" s="278">
        <f>AO35+AP35+AS34</f>
        <v>0.18291579999999996</v>
      </c>
      <c r="AR35" s="278"/>
      <c r="AS35" s="278">
        <f t="shared" si="5"/>
        <v>0.18291579999999996</v>
      </c>
      <c r="AT35" s="1032"/>
      <c r="AU35" s="455">
        <f t="shared" si="6"/>
        <v>29.509</v>
      </c>
      <c r="AV35" s="431">
        <f>F35+L35+R35+X35+AD35+AJ35+AP35</f>
        <v>6.8624310000000026</v>
      </c>
      <c r="AW35" s="278">
        <f>AU35+AV35+AY34</f>
        <v>38.020431000000002</v>
      </c>
      <c r="AX35" s="278">
        <f t="shared" si="13"/>
        <v>0.25</v>
      </c>
      <c r="AY35" s="278">
        <f t="shared" si="8"/>
        <v>37.770431000000002</v>
      </c>
      <c r="AZ35" s="453">
        <f>AX35/AW35</f>
        <v>6.5754120462232528E-3</v>
      </c>
      <c r="BA35" s="931"/>
      <c r="BB35" s="931"/>
      <c r="BC35" s="931"/>
      <c r="BD35" s="1032"/>
      <c r="BE35" s="931"/>
      <c r="BF35" s="1127"/>
    </row>
    <row r="36" spans="1:58" s="344" customFormat="1">
      <c r="A36" s="889"/>
      <c r="B36" s="1009" t="s">
        <v>65</v>
      </c>
      <c r="C36" s="142">
        <v>41640</v>
      </c>
      <c r="D36" s="143">
        <v>42216</v>
      </c>
      <c r="E36" s="419">
        <v>0.34699999999999998</v>
      </c>
      <c r="F36" s="432">
        <f>-0.347</f>
        <v>-0.34699999999999998</v>
      </c>
      <c r="G36" s="419">
        <f>E36+F36</f>
        <v>0</v>
      </c>
      <c r="H36" s="419"/>
      <c r="I36" s="277">
        <f t="shared" si="17"/>
        <v>0</v>
      </c>
      <c r="J36" s="1151">
        <f t="shared" si="36"/>
        <v>0</v>
      </c>
      <c r="K36" s="277">
        <v>1.607</v>
      </c>
      <c r="L36" s="447">
        <f>-1.607</f>
        <v>-1.607</v>
      </c>
      <c r="M36" s="277">
        <f>K36+L36</f>
        <v>0</v>
      </c>
      <c r="N36" s="277"/>
      <c r="O36" s="277">
        <f t="shared" si="0"/>
        <v>0</v>
      </c>
      <c r="P36" s="1038">
        <f>K36+K37+L36+L37</f>
        <v>0</v>
      </c>
      <c r="Q36" s="277">
        <v>11.117000000000001</v>
      </c>
      <c r="R36" s="447">
        <f>-11.117</f>
        <v>-11.117000000000001</v>
      </c>
      <c r="S36" s="277">
        <f>Q36+R36</f>
        <v>0</v>
      </c>
      <c r="T36" s="627"/>
      <c r="U36" s="277">
        <f t="shared" si="1"/>
        <v>0</v>
      </c>
      <c r="V36" s="1038">
        <f>Q36+Q37+R36+R37</f>
        <v>0</v>
      </c>
      <c r="W36" s="277">
        <v>20.844000000000001</v>
      </c>
      <c r="X36" s="447">
        <f>-20.844</f>
        <v>-20.844000000000001</v>
      </c>
      <c r="Y36" s="277">
        <f>W36+X36</f>
        <v>0</v>
      </c>
      <c r="Z36" s="277"/>
      <c r="AA36" s="277">
        <f t="shared" si="2"/>
        <v>0</v>
      </c>
      <c r="AB36" s="1038">
        <f>W36+W37+X36+X37</f>
        <v>0</v>
      </c>
      <c r="AC36" s="277">
        <v>35.435000000000002</v>
      </c>
      <c r="AD36" s="447">
        <f>-35.435</f>
        <v>-35.435000000000002</v>
      </c>
      <c r="AE36" s="277">
        <f>AC36+AD36</f>
        <v>0</v>
      </c>
      <c r="AF36" s="277"/>
      <c r="AG36" s="277">
        <f t="shared" si="3"/>
        <v>0</v>
      </c>
      <c r="AH36" s="1038">
        <f>AC36+AC37+AD36+AD37</f>
        <v>0</v>
      </c>
      <c r="AI36" s="277">
        <v>35.087000000000003</v>
      </c>
      <c r="AJ36" s="447">
        <f>-35.087</f>
        <v>-35.087000000000003</v>
      </c>
      <c r="AK36" s="277">
        <f>AI36+AJ36</f>
        <v>0</v>
      </c>
      <c r="AL36" s="277"/>
      <c r="AM36" s="277">
        <f t="shared" si="4"/>
        <v>0</v>
      </c>
      <c r="AN36" s="1151">
        <f>AI36+AI37+AJ36+AJ37</f>
        <v>0</v>
      </c>
      <c r="AO36" s="277">
        <v>35.435000000000002</v>
      </c>
      <c r="AP36" s="447">
        <f>-35.435</f>
        <v>-35.435000000000002</v>
      </c>
      <c r="AQ36" s="277">
        <f>AO36+AP36</f>
        <v>0</v>
      </c>
      <c r="AR36" s="277"/>
      <c r="AS36" s="277">
        <f t="shared" si="5"/>
        <v>0</v>
      </c>
      <c r="AT36" s="1132">
        <f>AO36+AO37+AP36+AP37</f>
        <v>0</v>
      </c>
      <c r="AU36" s="277">
        <f t="shared" si="6"/>
        <v>139.87200000000001</v>
      </c>
      <c r="AV36" s="458">
        <f t="shared" si="7"/>
        <v>-139.87200000000001</v>
      </c>
      <c r="AW36" s="277">
        <f>AU36+AV36</f>
        <v>0</v>
      </c>
      <c r="AX36" s="277">
        <f t="shared" si="13"/>
        <v>0</v>
      </c>
      <c r="AY36" s="277">
        <f t="shared" si="8"/>
        <v>0</v>
      </c>
      <c r="AZ36" s="627" t="e">
        <f t="shared" si="12"/>
        <v>#DIV/0!</v>
      </c>
      <c r="BA36" s="1038">
        <f t="shared" ref="BA36" si="77">AU36+AU37</f>
        <v>174.83</v>
      </c>
      <c r="BB36" s="1038">
        <f t="shared" ref="BB36" si="78">AV36+AV37</f>
        <v>-174.83</v>
      </c>
      <c r="BC36" s="1038">
        <f t="shared" ref="BC36" si="79">BA36+BB36</f>
        <v>0</v>
      </c>
      <c r="BD36" s="1038">
        <f>AX36+AX37</f>
        <v>0</v>
      </c>
      <c r="BE36" s="1038">
        <f t="shared" ref="BE36" si="80">BC36-BD36</f>
        <v>0</v>
      </c>
      <c r="BF36" s="1178" t="e">
        <f t="shared" ref="BF36" si="81">BD36/BC36</f>
        <v>#DIV/0!</v>
      </c>
    </row>
    <row r="37" spans="1:58" s="344" customFormat="1">
      <c r="A37" s="889"/>
      <c r="B37" s="1149"/>
      <c r="C37" s="146">
        <v>42278</v>
      </c>
      <c r="D37" s="147">
        <v>42369</v>
      </c>
      <c r="E37" s="425">
        <v>8.6999999999999994E-2</v>
      </c>
      <c r="F37" s="444">
        <f>-0.087</f>
        <v>-8.6999999999999994E-2</v>
      </c>
      <c r="G37" s="425">
        <f>E37+F37+I36</f>
        <v>0</v>
      </c>
      <c r="H37" s="425"/>
      <c r="I37" s="278">
        <f t="shared" si="17"/>
        <v>0</v>
      </c>
      <c r="J37" s="1152"/>
      <c r="K37" s="278">
        <v>0.39100000000000001</v>
      </c>
      <c r="L37" s="451">
        <f>-0.391</f>
        <v>-0.39100000000000001</v>
      </c>
      <c r="M37" s="278">
        <f>K37+L37+O36</f>
        <v>0</v>
      </c>
      <c r="N37" s="278"/>
      <c r="O37" s="278">
        <f t="shared" si="0"/>
        <v>0</v>
      </c>
      <c r="P37" s="1032"/>
      <c r="Q37" s="278">
        <v>2.7789999999999999</v>
      </c>
      <c r="R37" s="451">
        <f>-2.779</f>
        <v>-2.7789999999999999</v>
      </c>
      <c r="S37" s="278">
        <f>Q37+R37+U36</f>
        <v>0</v>
      </c>
      <c r="T37" s="626"/>
      <c r="U37" s="278">
        <f t="shared" si="1"/>
        <v>0</v>
      </c>
      <c r="V37" s="1032"/>
      <c r="W37" s="278">
        <v>5.2110000000000003</v>
      </c>
      <c r="X37" s="451">
        <f>-5.211</f>
        <v>-5.2110000000000003</v>
      </c>
      <c r="Y37" s="278">
        <f>W37+X37+AA36</f>
        <v>0</v>
      </c>
      <c r="Z37" s="278"/>
      <c r="AA37" s="278">
        <f t="shared" si="2"/>
        <v>0</v>
      </c>
      <c r="AB37" s="1032"/>
      <c r="AC37" s="278">
        <v>8.859</v>
      </c>
      <c r="AD37" s="451">
        <f>-8.859</f>
        <v>-8.859</v>
      </c>
      <c r="AE37" s="278">
        <f>AC37+AD37+AG36</f>
        <v>0</v>
      </c>
      <c r="AF37" s="278"/>
      <c r="AG37" s="278">
        <f t="shared" si="3"/>
        <v>0</v>
      </c>
      <c r="AH37" s="1032"/>
      <c r="AI37" s="278">
        <v>8.7720000000000002</v>
      </c>
      <c r="AJ37" s="451">
        <f>-8.772</f>
        <v>-8.7720000000000002</v>
      </c>
      <c r="AK37" s="278">
        <f>AI37+AJ37+AM36</f>
        <v>0</v>
      </c>
      <c r="AL37" s="278"/>
      <c r="AM37" s="278">
        <f t="shared" si="4"/>
        <v>0</v>
      </c>
      <c r="AN37" s="1152"/>
      <c r="AO37" s="278">
        <v>8.859</v>
      </c>
      <c r="AP37" s="451">
        <f>-8.859</f>
        <v>-8.859</v>
      </c>
      <c r="AQ37" s="278">
        <f>AO37+AP37+AS36</f>
        <v>0</v>
      </c>
      <c r="AR37" s="626"/>
      <c r="AS37" s="278">
        <f t="shared" si="5"/>
        <v>0</v>
      </c>
      <c r="AT37" s="1133"/>
      <c r="AU37" s="278">
        <f t="shared" si="6"/>
        <v>34.957999999999998</v>
      </c>
      <c r="AV37" s="454">
        <f t="shared" si="7"/>
        <v>-34.957999999999998</v>
      </c>
      <c r="AW37" s="278">
        <f>AU37+AV37+AY36</f>
        <v>0</v>
      </c>
      <c r="AX37" s="278">
        <f t="shared" si="13"/>
        <v>0</v>
      </c>
      <c r="AY37" s="278">
        <f t="shared" si="8"/>
        <v>0</v>
      </c>
      <c r="AZ37" s="626" t="e">
        <f t="shared" si="12"/>
        <v>#DIV/0!</v>
      </c>
      <c r="BA37" s="1032"/>
      <c r="BB37" s="1032"/>
      <c r="BC37" s="1032"/>
      <c r="BD37" s="1032"/>
      <c r="BE37" s="1032"/>
      <c r="BF37" s="1179"/>
    </row>
    <row r="38" spans="1:58">
      <c r="A38" s="889"/>
      <c r="B38" s="1009" t="s">
        <v>325</v>
      </c>
      <c r="C38" s="142">
        <v>41640</v>
      </c>
      <c r="D38" s="143">
        <v>42216</v>
      </c>
      <c r="E38" s="419">
        <v>0</v>
      </c>
      <c r="F38" s="432"/>
      <c r="G38" s="419">
        <f>E38+F38</f>
        <v>0</v>
      </c>
      <c r="H38" s="420"/>
      <c r="I38" s="421">
        <f t="shared" ref="I38:I43" si="82">G38-H38</f>
        <v>0</v>
      </c>
      <c r="J38" s="1130">
        <f>E38+E39+F38+F39</f>
        <v>0</v>
      </c>
      <c r="K38" s="421">
        <v>0</v>
      </c>
      <c r="L38" s="433"/>
      <c r="M38" s="421">
        <f>K38+L38</f>
        <v>0</v>
      </c>
      <c r="N38" s="421"/>
      <c r="O38" s="421">
        <f t="shared" ref="O38:O43" si="83">M38-N38</f>
        <v>0</v>
      </c>
      <c r="P38" s="930">
        <f>K38+K39+L38+L39</f>
        <v>0</v>
      </c>
      <c r="Q38" s="421">
        <v>0</v>
      </c>
      <c r="R38" s="384">
        <v>4.0259999999999997E-2</v>
      </c>
      <c r="S38" s="421">
        <f>Q38+R38</f>
        <v>4.0259999999999997E-2</v>
      </c>
      <c r="T38" s="500"/>
      <c r="U38" s="421">
        <f t="shared" ref="U38:U43" si="84">S38-T38</f>
        <v>4.0259999999999997E-2</v>
      </c>
      <c r="V38" s="930">
        <f>Q38+Q39+R38+R39</f>
        <v>4.0259999999999997E-2</v>
      </c>
      <c r="W38" s="421">
        <v>0</v>
      </c>
      <c r="X38" s="384">
        <v>4.0259999999999997E-2</v>
      </c>
      <c r="Y38" s="421">
        <f>W38+X38</f>
        <v>4.0259999999999997E-2</v>
      </c>
      <c r="Z38" s="421"/>
      <c r="AA38" s="421">
        <f t="shared" ref="AA38:AA43" si="85">Y38-Z38</f>
        <v>4.0259999999999997E-2</v>
      </c>
      <c r="AB38" s="930">
        <f>W38+W39+X38+X39</f>
        <v>4.0259999999999997E-2</v>
      </c>
      <c r="AC38" s="421">
        <v>0</v>
      </c>
      <c r="AD38" s="384">
        <v>4.0259999999999997E-2</v>
      </c>
      <c r="AE38" s="421">
        <f>AC38+AD38</f>
        <v>4.0259999999999997E-2</v>
      </c>
      <c r="AF38" s="421"/>
      <c r="AG38" s="421">
        <f t="shared" ref="AG38:AG43" si="86">AE38-AF38</f>
        <v>4.0259999999999997E-2</v>
      </c>
      <c r="AH38" s="930">
        <f>AC38+AC39+AD38+AD39</f>
        <v>4.0259999999999997E-2</v>
      </c>
      <c r="AI38" s="421">
        <v>0</v>
      </c>
      <c r="AJ38" s="384">
        <v>4.0259999999999997E-2</v>
      </c>
      <c r="AK38" s="421">
        <f>AI38+AJ38</f>
        <v>4.0259999999999997E-2</v>
      </c>
      <c r="AL38" s="421"/>
      <c r="AM38" s="421">
        <f t="shared" ref="AM38:AM43" si="87">AK38-AL38</f>
        <v>4.0259999999999997E-2</v>
      </c>
      <c r="AN38" s="1130">
        <f>AI38+AI39+AJ38+AJ39</f>
        <v>4.0259999999999997E-2</v>
      </c>
      <c r="AO38" s="421">
        <v>0</v>
      </c>
      <c r="AP38" s="384">
        <v>4.0259999999999997E-2</v>
      </c>
      <c r="AQ38" s="421">
        <f>AO38+AP38</f>
        <v>4.0259999999999997E-2</v>
      </c>
      <c r="AR38" s="421"/>
      <c r="AS38" s="421">
        <f t="shared" ref="AS38:AS43" si="88">AQ38-AR38</f>
        <v>4.0259999999999997E-2</v>
      </c>
      <c r="AT38" s="1109">
        <f>AO38+AO39+AP38+AP39</f>
        <v>4.0259999999999997E-2</v>
      </c>
      <c r="AU38" s="421">
        <f t="shared" ref="AU38:AV41" si="89">E38+K38+Q38+W38+AC38+AI38+AO38</f>
        <v>0</v>
      </c>
      <c r="AV38" s="521">
        <f t="shared" si="89"/>
        <v>0.20129999999999998</v>
      </c>
      <c r="AW38" s="421">
        <f>AU38+AV38</f>
        <v>0.20129999999999998</v>
      </c>
      <c r="AX38" s="421">
        <f t="shared" ref="AX38:AX43" si="90">H38+N38+T38+Z38+AF38+AL38+AR38</f>
        <v>0</v>
      </c>
      <c r="AY38" s="421">
        <f t="shared" ref="AY38:AY43" si="91">AW38-AX38</f>
        <v>0.20129999999999998</v>
      </c>
      <c r="AZ38" s="500">
        <f t="shared" ref="AZ38:AZ43" si="92">AX38/AW38</f>
        <v>0</v>
      </c>
      <c r="BA38" s="930">
        <f t="shared" ref="BA38" si="93">AU38+AU39</f>
        <v>0</v>
      </c>
      <c r="BB38" s="1013">
        <f t="shared" ref="BB38" si="94">AV38+AV39</f>
        <v>0.20129999999999998</v>
      </c>
      <c r="BC38" s="930">
        <f t="shared" ref="BC38" si="95">BA38+BB38</f>
        <v>0.20129999999999998</v>
      </c>
      <c r="BD38" s="930">
        <f>AX38+AX39</f>
        <v>0</v>
      </c>
      <c r="BE38" s="930">
        <f t="shared" ref="BE38" si="96">BC38-BD38</f>
        <v>0.20129999999999998</v>
      </c>
      <c r="BF38" s="1107">
        <f t="shared" ref="BF38" si="97">BD38/BC38</f>
        <v>0</v>
      </c>
    </row>
    <row r="39" spans="1:58">
      <c r="A39" s="889"/>
      <c r="B39" s="1149"/>
      <c r="C39" s="146">
        <v>42278</v>
      </c>
      <c r="D39" s="147">
        <v>42369</v>
      </c>
      <c r="E39" s="425">
        <v>0</v>
      </c>
      <c r="F39" s="444"/>
      <c r="G39" s="425">
        <f>E39+F39+I38</f>
        <v>0</v>
      </c>
      <c r="H39" s="426"/>
      <c r="I39" s="427">
        <f t="shared" si="82"/>
        <v>0</v>
      </c>
      <c r="J39" s="1131"/>
      <c r="K39" s="278">
        <v>0</v>
      </c>
      <c r="L39" s="441"/>
      <c r="M39" s="427">
        <f>K39+L39+O38</f>
        <v>0</v>
      </c>
      <c r="N39" s="427"/>
      <c r="O39" s="427">
        <f t="shared" si="83"/>
        <v>0</v>
      </c>
      <c r="P39" s="931"/>
      <c r="Q39" s="278">
        <v>0</v>
      </c>
      <c r="R39" s="441"/>
      <c r="S39" s="427">
        <f>Q39+R39+U38</f>
        <v>4.0259999999999997E-2</v>
      </c>
      <c r="T39" s="501"/>
      <c r="U39" s="427">
        <f t="shared" si="84"/>
        <v>4.0259999999999997E-2</v>
      </c>
      <c r="V39" s="931"/>
      <c r="W39" s="278">
        <v>0</v>
      </c>
      <c r="X39" s="441"/>
      <c r="Y39" s="427">
        <f>W39+X39+AA38</f>
        <v>4.0259999999999997E-2</v>
      </c>
      <c r="Z39" s="427"/>
      <c r="AA39" s="427">
        <f t="shared" si="85"/>
        <v>4.0259999999999997E-2</v>
      </c>
      <c r="AB39" s="931"/>
      <c r="AC39" s="278">
        <v>0</v>
      </c>
      <c r="AD39" s="441"/>
      <c r="AE39" s="427">
        <f>AC39+AD39+AG38</f>
        <v>4.0259999999999997E-2</v>
      </c>
      <c r="AF39" s="427"/>
      <c r="AG39" s="427">
        <f t="shared" si="86"/>
        <v>4.0259999999999997E-2</v>
      </c>
      <c r="AH39" s="931"/>
      <c r="AI39" s="278">
        <v>0</v>
      </c>
      <c r="AJ39" s="441"/>
      <c r="AK39" s="427">
        <f>AI39+AJ39+AM38</f>
        <v>4.0259999999999997E-2</v>
      </c>
      <c r="AL39" s="427"/>
      <c r="AM39" s="427">
        <f t="shared" si="87"/>
        <v>4.0259999999999997E-2</v>
      </c>
      <c r="AN39" s="1131"/>
      <c r="AO39" s="278">
        <v>0</v>
      </c>
      <c r="AP39" s="441"/>
      <c r="AQ39" s="427">
        <f>AO39+AP39+AS38</f>
        <v>4.0259999999999997E-2</v>
      </c>
      <c r="AR39" s="501"/>
      <c r="AS39" s="427">
        <f t="shared" si="88"/>
        <v>4.0259999999999997E-2</v>
      </c>
      <c r="AT39" s="1124"/>
      <c r="AU39" s="427">
        <f t="shared" si="89"/>
        <v>0</v>
      </c>
      <c r="AV39" s="456">
        <f t="shared" si="89"/>
        <v>0</v>
      </c>
      <c r="AW39" s="427">
        <f>AU39+AV39+AY38</f>
        <v>0.20129999999999998</v>
      </c>
      <c r="AX39" s="427">
        <f t="shared" si="90"/>
        <v>0</v>
      </c>
      <c r="AY39" s="427">
        <f t="shared" si="91"/>
        <v>0.20129999999999998</v>
      </c>
      <c r="AZ39" s="501">
        <f t="shared" si="92"/>
        <v>0</v>
      </c>
      <c r="BA39" s="931"/>
      <c r="BB39" s="1014"/>
      <c r="BC39" s="931"/>
      <c r="BD39" s="931"/>
      <c r="BE39" s="931"/>
      <c r="BF39" s="1127"/>
    </row>
    <row r="40" spans="1:58">
      <c r="A40" s="889"/>
      <c r="B40" s="1128" t="s">
        <v>343</v>
      </c>
      <c r="C40" s="142">
        <v>41640</v>
      </c>
      <c r="D40" s="143">
        <v>42216</v>
      </c>
      <c r="E40" s="419">
        <v>0</v>
      </c>
      <c r="F40" s="432"/>
      <c r="G40" s="419">
        <f>E40+F40</f>
        <v>0</v>
      </c>
      <c r="H40" s="420"/>
      <c r="I40" s="421">
        <f t="shared" si="82"/>
        <v>0</v>
      </c>
      <c r="J40" s="1130"/>
      <c r="K40" s="421">
        <v>0</v>
      </c>
      <c r="L40" s="433"/>
      <c r="M40" s="421">
        <f>K40+L40</f>
        <v>0</v>
      </c>
      <c r="N40" s="421"/>
      <c r="O40" s="421">
        <f t="shared" si="83"/>
        <v>0</v>
      </c>
      <c r="P40" s="930">
        <f>K40+K41+L40+L41</f>
        <v>0</v>
      </c>
      <c r="Q40" s="421">
        <v>0</v>
      </c>
      <c r="R40" s="384"/>
      <c r="S40" s="421">
        <f>Q40+R40</f>
        <v>0</v>
      </c>
      <c r="T40" s="576"/>
      <c r="U40" s="421">
        <f t="shared" si="84"/>
        <v>0</v>
      </c>
      <c r="V40" s="930">
        <f>Q40+Q41+R40+R41</f>
        <v>0</v>
      </c>
      <c r="W40" s="421">
        <v>0</v>
      </c>
      <c r="X40" s="384">
        <f>0.1</f>
        <v>0.1</v>
      </c>
      <c r="Y40" s="421">
        <f>W40+X40</f>
        <v>0.1</v>
      </c>
      <c r="Z40" s="421"/>
      <c r="AA40" s="421">
        <f t="shared" si="85"/>
        <v>0.1</v>
      </c>
      <c r="AB40" s="930">
        <f>W40+W41+X40+X41</f>
        <v>0.1</v>
      </c>
      <c r="AC40" s="421">
        <v>0</v>
      </c>
      <c r="AD40" s="384"/>
      <c r="AE40" s="421">
        <f>AC40+AD40</f>
        <v>0</v>
      </c>
      <c r="AF40" s="421"/>
      <c r="AG40" s="421">
        <f t="shared" si="86"/>
        <v>0</v>
      </c>
      <c r="AH40" s="930">
        <f>AC40+AC41+AD40+AD41</f>
        <v>0</v>
      </c>
      <c r="AI40" s="421">
        <v>0</v>
      </c>
      <c r="AJ40" s="384"/>
      <c r="AK40" s="421">
        <f>AI40+AJ40</f>
        <v>0</v>
      </c>
      <c r="AL40" s="421"/>
      <c r="AM40" s="421">
        <f t="shared" si="87"/>
        <v>0</v>
      </c>
      <c r="AN40" s="1130">
        <f>AI40+AI41+AJ40+AJ41</f>
        <v>0</v>
      </c>
      <c r="AO40" s="421">
        <v>0</v>
      </c>
      <c r="AP40" s="384"/>
      <c r="AQ40" s="421">
        <f>AO40+AP40</f>
        <v>0</v>
      </c>
      <c r="AR40" s="421"/>
      <c r="AS40" s="421">
        <f t="shared" si="88"/>
        <v>0</v>
      </c>
      <c r="AT40" s="1109">
        <f>AO40+AO41+AP40+AP41</f>
        <v>0</v>
      </c>
      <c r="AU40" s="421">
        <f t="shared" si="89"/>
        <v>0</v>
      </c>
      <c r="AV40" s="521">
        <f t="shared" si="89"/>
        <v>0.1</v>
      </c>
      <c r="AW40" s="421">
        <f>AU40+AV40</f>
        <v>0.1</v>
      </c>
      <c r="AX40" s="421">
        <f t="shared" si="90"/>
        <v>0</v>
      </c>
      <c r="AY40" s="421">
        <f t="shared" si="91"/>
        <v>0.1</v>
      </c>
      <c r="AZ40" s="576">
        <f t="shared" si="92"/>
        <v>0</v>
      </c>
      <c r="BA40" s="930">
        <f t="shared" ref="BA40" si="98">AU40+AU41</f>
        <v>0</v>
      </c>
      <c r="BB40" s="1013">
        <f t="shared" ref="BB40" si="99">AV40+AV41</f>
        <v>0.1</v>
      </c>
      <c r="BC40" s="930">
        <f t="shared" ref="BC40" si="100">BA40+BB40</f>
        <v>0.1</v>
      </c>
      <c r="BD40" s="930">
        <f>AX40+AX41</f>
        <v>0</v>
      </c>
      <c r="BE40" s="930">
        <f t="shared" ref="BE40" si="101">BC40-BD40</f>
        <v>0.1</v>
      </c>
      <c r="BF40" s="1107">
        <f t="shared" ref="BF40" si="102">BD40/BC40</f>
        <v>0</v>
      </c>
    </row>
    <row r="41" spans="1:58">
      <c r="A41" s="889"/>
      <c r="B41" s="1129"/>
      <c r="C41" s="146">
        <v>42278</v>
      </c>
      <c r="D41" s="147">
        <v>42369</v>
      </c>
      <c r="E41" s="425">
        <v>0</v>
      </c>
      <c r="F41" s="444"/>
      <c r="G41" s="425">
        <f>E41+F41+I40</f>
        <v>0</v>
      </c>
      <c r="H41" s="426"/>
      <c r="I41" s="427">
        <f t="shared" si="82"/>
        <v>0</v>
      </c>
      <c r="J41" s="1131"/>
      <c r="K41" s="278">
        <v>0</v>
      </c>
      <c r="L41" s="441"/>
      <c r="M41" s="427">
        <f>K41+L41+O40</f>
        <v>0</v>
      </c>
      <c r="N41" s="427"/>
      <c r="O41" s="427">
        <f t="shared" si="83"/>
        <v>0</v>
      </c>
      <c r="P41" s="931"/>
      <c r="Q41" s="278">
        <v>0</v>
      </c>
      <c r="R41" s="441"/>
      <c r="S41" s="427">
        <f>Q41+R41+U40</f>
        <v>0</v>
      </c>
      <c r="T41" s="577"/>
      <c r="U41" s="427">
        <f t="shared" si="84"/>
        <v>0</v>
      </c>
      <c r="V41" s="931"/>
      <c r="W41" s="278">
        <v>0</v>
      </c>
      <c r="X41" s="441"/>
      <c r="Y41" s="427">
        <f>W41+X41+AA40</f>
        <v>0.1</v>
      </c>
      <c r="Z41" s="427"/>
      <c r="AA41" s="427">
        <f t="shared" si="85"/>
        <v>0.1</v>
      </c>
      <c r="AB41" s="931"/>
      <c r="AC41" s="278">
        <v>0</v>
      </c>
      <c r="AD41" s="441"/>
      <c r="AE41" s="427">
        <f>AC41+AD41+AG40</f>
        <v>0</v>
      </c>
      <c r="AF41" s="427"/>
      <c r="AG41" s="427">
        <f t="shared" si="86"/>
        <v>0</v>
      </c>
      <c r="AH41" s="931"/>
      <c r="AI41" s="278">
        <v>0</v>
      </c>
      <c r="AJ41" s="441"/>
      <c r="AK41" s="427">
        <f>AI41+AJ41+AM40</f>
        <v>0</v>
      </c>
      <c r="AL41" s="427"/>
      <c r="AM41" s="427">
        <f t="shared" si="87"/>
        <v>0</v>
      </c>
      <c r="AN41" s="1131"/>
      <c r="AO41" s="278">
        <v>0</v>
      </c>
      <c r="AP41" s="441"/>
      <c r="AQ41" s="427">
        <f>AO41+AP41+AS40</f>
        <v>0</v>
      </c>
      <c r="AR41" s="577"/>
      <c r="AS41" s="427">
        <f t="shared" si="88"/>
        <v>0</v>
      </c>
      <c r="AT41" s="1124"/>
      <c r="AU41" s="427">
        <f t="shared" si="89"/>
        <v>0</v>
      </c>
      <c r="AV41" s="456">
        <f t="shared" si="89"/>
        <v>0</v>
      </c>
      <c r="AW41" s="427">
        <f>AU41+AV41+AY40</f>
        <v>0.1</v>
      </c>
      <c r="AX41" s="427">
        <f t="shared" si="90"/>
        <v>0</v>
      </c>
      <c r="AY41" s="427">
        <f t="shared" si="91"/>
        <v>0.1</v>
      </c>
      <c r="AZ41" s="577">
        <f t="shared" si="92"/>
        <v>0</v>
      </c>
      <c r="BA41" s="931"/>
      <c r="BB41" s="1014"/>
      <c r="BC41" s="931"/>
      <c r="BD41" s="931"/>
      <c r="BE41" s="931"/>
      <c r="BF41" s="1127"/>
    </row>
    <row r="42" spans="1:58">
      <c r="A42" s="889"/>
      <c r="B42" s="1128" t="s">
        <v>365</v>
      </c>
      <c r="C42" s="142">
        <v>41640</v>
      </c>
      <c r="D42" s="143">
        <v>42216</v>
      </c>
      <c r="E42" s="419">
        <v>0</v>
      </c>
      <c r="F42" s="432"/>
      <c r="G42" s="419">
        <f>E42+F42</f>
        <v>0</v>
      </c>
      <c r="H42" s="420"/>
      <c r="I42" s="421">
        <f t="shared" si="82"/>
        <v>0</v>
      </c>
      <c r="J42" s="1130"/>
      <c r="K42" s="421">
        <v>0</v>
      </c>
      <c r="L42" s="433"/>
      <c r="M42" s="421">
        <f>K42+L42</f>
        <v>0</v>
      </c>
      <c r="N42" s="421"/>
      <c r="O42" s="421">
        <f t="shared" si="83"/>
        <v>0</v>
      </c>
      <c r="P42" s="930">
        <f>K42+K43+L42+L43</f>
        <v>0</v>
      </c>
      <c r="Q42" s="421">
        <v>0</v>
      </c>
      <c r="R42" s="384"/>
      <c r="S42" s="421">
        <f>Q42+R42</f>
        <v>0</v>
      </c>
      <c r="T42" s="618"/>
      <c r="U42" s="421">
        <f t="shared" si="84"/>
        <v>0</v>
      </c>
      <c r="V42" s="930">
        <f>Q42+Q43+R42+R43</f>
        <v>0</v>
      </c>
      <c r="W42" s="421">
        <v>0</v>
      </c>
      <c r="X42" s="384">
        <f>0.0040269</f>
        <v>4.0268999999999999E-3</v>
      </c>
      <c r="Y42" s="421">
        <f>W42+X42</f>
        <v>4.0268999999999999E-3</v>
      </c>
      <c r="Z42" s="421">
        <v>0</v>
      </c>
      <c r="AA42" s="421">
        <f t="shared" si="85"/>
        <v>4.0268999999999999E-3</v>
      </c>
      <c r="AB42" s="930">
        <f>W42+W43+X42+X43</f>
        <v>4.0268999999999999E-3</v>
      </c>
      <c r="AC42" s="421">
        <v>0</v>
      </c>
      <c r="AD42" s="384"/>
      <c r="AE42" s="421">
        <f>AC42+AD42</f>
        <v>0</v>
      </c>
      <c r="AF42" s="421"/>
      <c r="AG42" s="421">
        <f t="shared" si="86"/>
        <v>0</v>
      </c>
      <c r="AH42" s="930">
        <f>AC42+AC43+AD42+AD43</f>
        <v>0</v>
      </c>
      <c r="AI42" s="421">
        <v>0</v>
      </c>
      <c r="AJ42" s="384"/>
      <c r="AK42" s="421">
        <f>AI42+AJ42</f>
        <v>0</v>
      </c>
      <c r="AL42" s="421"/>
      <c r="AM42" s="421">
        <f t="shared" si="87"/>
        <v>0</v>
      </c>
      <c r="AN42" s="1130">
        <f>AI42+AI43+AJ42+AJ43</f>
        <v>0</v>
      </c>
      <c r="AO42" s="421">
        <v>0</v>
      </c>
      <c r="AP42" s="384"/>
      <c r="AQ42" s="421">
        <f>AO42+AP42</f>
        <v>0</v>
      </c>
      <c r="AR42" s="421"/>
      <c r="AS42" s="421">
        <f t="shared" si="88"/>
        <v>0</v>
      </c>
      <c r="AT42" s="1109">
        <f>AO42+AO43+AP42+AP43</f>
        <v>0</v>
      </c>
      <c r="AU42" s="421">
        <f t="shared" ref="AU42:AU43" si="103">E42+K42+Q42+W42+AC42+AI42+AO42</f>
        <v>0</v>
      </c>
      <c r="AV42" s="521">
        <f t="shared" ref="AV42:AV43" si="104">F42+L42+R42+X42+AD42+AJ42+AP42</f>
        <v>4.0268999999999999E-3</v>
      </c>
      <c r="AW42" s="421">
        <f>AU42+AV42</f>
        <v>4.0268999999999999E-3</v>
      </c>
      <c r="AX42" s="421">
        <f t="shared" si="90"/>
        <v>0</v>
      </c>
      <c r="AY42" s="421">
        <f t="shared" si="91"/>
        <v>4.0268999999999999E-3</v>
      </c>
      <c r="AZ42" s="618">
        <f t="shared" si="92"/>
        <v>0</v>
      </c>
      <c r="BA42" s="930">
        <f t="shared" ref="BA42" si="105">AU42+AU43</f>
        <v>0</v>
      </c>
      <c r="BB42" s="1013">
        <f t="shared" ref="BB42" si="106">AV42+AV43</f>
        <v>4.0268999999999999E-3</v>
      </c>
      <c r="BC42" s="930">
        <f t="shared" ref="BC42" si="107">BA42+BB42</f>
        <v>4.0268999999999999E-3</v>
      </c>
      <c r="BD42" s="930">
        <f>AX42+AX43</f>
        <v>0</v>
      </c>
      <c r="BE42" s="930">
        <f t="shared" ref="BE42" si="108">BC42-BD42</f>
        <v>4.0268999999999999E-3</v>
      </c>
      <c r="BF42" s="1107">
        <f>BD42/BC42</f>
        <v>0</v>
      </c>
    </row>
    <row r="43" spans="1:58">
      <c r="A43" s="889"/>
      <c r="B43" s="1129"/>
      <c r="C43" s="146">
        <v>42278</v>
      </c>
      <c r="D43" s="147">
        <v>42369</v>
      </c>
      <c r="E43" s="425">
        <v>0</v>
      </c>
      <c r="F43" s="444"/>
      <c r="G43" s="425">
        <f>E43+F43+I42</f>
        <v>0</v>
      </c>
      <c r="H43" s="426"/>
      <c r="I43" s="427">
        <f t="shared" si="82"/>
        <v>0</v>
      </c>
      <c r="J43" s="1131"/>
      <c r="K43" s="278">
        <v>0</v>
      </c>
      <c r="L43" s="441"/>
      <c r="M43" s="427">
        <f>K43+L43+O42</f>
        <v>0</v>
      </c>
      <c r="N43" s="427"/>
      <c r="O43" s="427">
        <f t="shared" si="83"/>
        <v>0</v>
      </c>
      <c r="P43" s="931"/>
      <c r="Q43" s="278">
        <v>0</v>
      </c>
      <c r="R43" s="441"/>
      <c r="S43" s="427">
        <f>Q43+R43+U42</f>
        <v>0</v>
      </c>
      <c r="T43" s="619"/>
      <c r="U43" s="427">
        <f t="shared" si="84"/>
        <v>0</v>
      </c>
      <c r="V43" s="931"/>
      <c r="W43" s="278">
        <v>0</v>
      </c>
      <c r="X43" s="441"/>
      <c r="Y43" s="427">
        <f>W43+X43+AA42</f>
        <v>4.0268999999999999E-3</v>
      </c>
      <c r="Z43" s="427"/>
      <c r="AA43" s="427">
        <f t="shared" si="85"/>
        <v>4.0268999999999999E-3</v>
      </c>
      <c r="AB43" s="931"/>
      <c r="AC43" s="278">
        <v>0</v>
      </c>
      <c r="AD43" s="441"/>
      <c r="AE43" s="427">
        <f>AC43+AD43+AG42</f>
        <v>0</v>
      </c>
      <c r="AF43" s="427"/>
      <c r="AG43" s="427">
        <f t="shared" si="86"/>
        <v>0</v>
      </c>
      <c r="AH43" s="931"/>
      <c r="AI43" s="278">
        <v>0</v>
      </c>
      <c r="AJ43" s="441"/>
      <c r="AK43" s="427">
        <f>AI43+AJ43+AM42</f>
        <v>0</v>
      </c>
      <c r="AL43" s="427"/>
      <c r="AM43" s="427">
        <f t="shared" si="87"/>
        <v>0</v>
      </c>
      <c r="AN43" s="1131"/>
      <c r="AO43" s="278">
        <v>0</v>
      </c>
      <c r="AP43" s="441"/>
      <c r="AQ43" s="427">
        <f>AO43+AP43+AS42</f>
        <v>0</v>
      </c>
      <c r="AR43" s="619"/>
      <c r="AS43" s="427">
        <f t="shared" si="88"/>
        <v>0</v>
      </c>
      <c r="AT43" s="1124"/>
      <c r="AU43" s="427">
        <f t="shared" si="103"/>
        <v>0</v>
      </c>
      <c r="AV43" s="456">
        <f t="shared" si="104"/>
        <v>0</v>
      </c>
      <c r="AW43" s="427">
        <f>AU43+AV43+AY42</f>
        <v>4.0268999999999999E-3</v>
      </c>
      <c r="AX43" s="427">
        <f t="shared" si="90"/>
        <v>0</v>
      </c>
      <c r="AY43" s="427">
        <f t="shared" si="91"/>
        <v>4.0268999999999999E-3</v>
      </c>
      <c r="AZ43" s="619">
        <f t="shared" si="92"/>
        <v>0</v>
      </c>
      <c r="BA43" s="931"/>
      <c r="BB43" s="1014"/>
      <c r="BC43" s="931"/>
      <c r="BD43" s="931"/>
      <c r="BE43" s="931"/>
      <c r="BF43" s="1127"/>
    </row>
    <row r="44" spans="1:58">
      <c r="A44" s="889"/>
      <c r="B44" s="1128" t="s">
        <v>359</v>
      </c>
      <c r="C44" s="142">
        <v>41640</v>
      </c>
      <c r="D44" s="143">
        <v>42216</v>
      </c>
      <c r="E44" s="419">
        <v>0</v>
      </c>
      <c r="F44" s="432"/>
      <c r="G44" s="419">
        <f>E44+F44</f>
        <v>0</v>
      </c>
      <c r="H44" s="420"/>
      <c r="I44" s="421">
        <f t="shared" ref="I44:I45" si="109">G44-H44</f>
        <v>0</v>
      </c>
      <c r="J44" s="1130"/>
      <c r="K44" s="421">
        <v>0</v>
      </c>
      <c r="L44" s="433"/>
      <c r="M44" s="421">
        <f>K44+L44</f>
        <v>0</v>
      </c>
      <c r="N44" s="421"/>
      <c r="O44" s="421">
        <f t="shared" ref="O44:O45" si="110">M44-N44</f>
        <v>0</v>
      </c>
      <c r="P44" s="930">
        <f>K44+K45+L44+L45</f>
        <v>0</v>
      </c>
      <c r="Q44" s="421">
        <v>0</v>
      </c>
      <c r="R44" s="384"/>
      <c r="S44" s="421">
        <f>Q44+R44</f>
        <v>0</v>
      </c>
      <c r="T44" s="620"/>
      <c r="U44" s="421">
        <f t="shared" ref="U44:U45" si="111">S44-T44</f>
        <v>0</v>
      </c>
      <c r="V44" s="930">
        <f>Q44+Q45+R44+R45</f>
        <v>0</v>
      </c>
      <c r="W44" s="421">
        <v>0</v>
      </c>
      <c r="X44" s="384">
        <f>0.0040269</f>
        <v>4.0268999999999999E-3</v>
      </c>
      <c r="Y44" s="421">
        <f>W44+X44</f>
        <v>4.0268999999999999E-3</v>
      </c>
      <c r="Z44" s="421">
        <v>0</v>
      </c>
      <c r="AA44" s="421">
        <f t="shared" ref="AA44:AA45" si="112">Y44-Z44</f>
        <v>4.0268999999999999E-3</v>
      </c>
      <c r="AB44" s="930">
        <f>W44+W45+X44+X45</f>
        <v>4.0268999999999999E-3</v>
      </c>
      <c r="AC44" s="421">
        <v>0</v>
      </c>
      <c r="AD44" s="384"/>
      <c r="AE44" s="421">
        <f>AC44+AD44</f>
        <v>0</v>
      </c>
      <c r="AF44" s="421"/>
      <c r="AG44" s="421">
        <f t="shared" ref="AG44:AG45" si="113">AE44-AF44</f>
        <v>0</v>
      </c>
      <c r="AH44" s="930">
        <f>AC44+AC45+AD44+AD45</f>
        <v>0</v>
      </c>
      <c r="AI44" s="421">
        <v>0</v>
      </c>
      <c r="AJ44" s="384"/>
      <c r="AK44" s="421">
        <f>AI44+AJ44</f>
        <v>0</v>
      </c>
      <c r="AL44" s="421"/>
      <c r="AM44" s="421">
        <f t="shared" ref="AM44:AM45" si="114">AK44-AL44</f>
        <v>0</v>
      </c>
      <c r="AN44" s="1130">
        <f>AI44+AI45+AJ44+AJ45</f>
        <v>0</v>
      </c>
      <c r="AO44" s="421">
        <v>0</v>
      </c>
      <c r="AP44" s="384"/>
      <c r="AQ44" s="421">
        <f>AO44+AP44</f>
        <v>0</v>
      </c>
      <c r="AR44" s="421"/>
      <c r="AS44" s="421">
        <f t="shared" ref="AS44:AS45" si="115">AQ44-AR44</f>
        <v>0</v>
      </c>
      <c r="AT44" s="1109">
        <f>AO44+AO45+AP44+AP45</f>
        <v>0</v>
      </c>
      <c r="AU44" s="421">
        <f t="shared" ref="AU44:AU45" si="116">E44+K44+Q44+W44+AC44+AI44+AO44</f>
        <v>0</v>
      </c>
      <c r="AV44" s="521">
        <f t="shared" ref="AV44:AV45" si="117">F44+L44+R44+X44+AD44+AJ44+AP44</f>
        <v>4.0268999999999999E-3</v>
      </c>
      <c r="AW44" s="421">
        <f>AU44+AV44</f>
        <v>4.0268999999999999E-3</v>
      </c>
      <c r="AX44" s="421">
        <f t="shared" ref="AX44:AX45" si="118">H44+N44+T44+Z44+AF44+AL44+AR44</f>
        <v>0</v>
      </c>
      <c r="AY44" s="421">
        <f t="shared" ref="AY44:AY45" si="119">AW44-AX44</f>
        <v>4.0268999999999999E-3</v>
      </c>
      <c r="AZ44" s="620">
        <f t="shared" ref="AZ44:AZ45" si="120">AX44/AW44</f>
        <v>0</v>
      </c>
      <c r="BA44" s="930">
        <f t="shared" ref="BA44" si="121">AU44+AU45</f>
        <v>0</v>
      </c>
      <c r="BB44" s="1013">
        <f t="shared" ref="BB44" si="122">AV44+AV45</f>
        <v>4.0268999999999999E-3</v>
      </c>
      <c r="BC44" s="930">
        <f t="shared" ref="BC44" si="123">BA44+BB44</f>
        <v>4.0268999999999999E-3</v>
      </c>
      <c r="BD44" s="930">
        <f>AX44+AX45</f>
        <v>0</v>
      </c>
      <c r="BE44" s="930">
        <f t="shared" ref="BE44" si="124">BC44-BD44</f>
        <v>4.0268999999999999E-3</v>
      </c>
      <c r="BF44" s="1107">
        <f>BD44/BC44</f>
        <v>0</v>
      </c>
    </row>
    <row r="45" spans="1:58">
      <c r="A45" s="889"/>
      <c r="B45" s="1129"/>
      <c r="C45" s="146">
        <v>42278</v>
      </c>
      <c r="D45" s="147">
        <v>42369</v>
      </c>
      <c r="E45" s="425">
        <v>0</v>
      </c>
      <c r="F45" s="444"/>
      <c r="G45" s="425">
        <f>E45+F45+I44</f>
        <v>0</v>
      </c>
      <c r="H45" s="426"/>
      <c r="I45" s="427">
        <f t="shared" si="109"/>
        <v>0</v>
      </c>
      <c r="J45" s="1131"/>
      <c r="K45" s="278">
        <v>0</v>
      </c>
      <c r="L45" s="441"/>
      <c r="M45" s="427">
        <f>K45+L45+O44</f>
        <v>0</v>
      </c>
      <c r="N45" s="427"/>
      <c r="O45" s="427">
        <f t="shared" si="110"/>
        <v>0</v>
      </c>
      <c r="P45" s="931"/>
      <c r="Q45" s="278">
        <v>0</v>
      </c>
      <c r="R45" s="441"/>
      <c r="S45" s="427">
        <f>Q45+R45+U44</f>
        <v>0</v>
      </c>
      <c r="T45" s="621"/>
      <c r="U45" s="427">
        <f t="shared" si="111"/>
        <v>0</v>
      </c>
      <c r="V45" s="931"/>
      <c r="W45" s="278">
        <v>0</v>
      </c>
      <c r="X45" s="441"/>
      <c r="Y45" s="427">
        <f>W45+X45+AA44</f>
        <v>4.0268999999999999E-3</v>
      </c>
      <c r="Z45" s="427"/>
      <c r="AA45" s="427">
        <f t="shared" si="112"/>
        <v>4.0268999999999999E-3</v>
      </c>
      <c r="AB45" s="931"/>
      <c r="AC45" s="278">
        <v>0</v>
      </c>
      <c r="AD45" s="441"/>
      <c r="AE45" s="427">
        <f>AC45+AD45+AG44</f>
        <v>0</v>
      </c>
      <c r="AF45" s="427"/>
      <c r="AG45" s="427">
        <f t="shared" si="113"/>
        <v>0</v>
      </c>
      <c r="AH45" s="931"/>
      <c r="AI45" s="278">
        <v>0</v>
      </c>
      <c r="AJ45" s="441"/>
      <c r="AK45" s="427">
        <f>AI45+AJ45+AM44</f>
        <v>0</v>
      </c>
      <c r="AL45" s="427"/>
      <c r="AM45" s="427">
        <f t="shared" si="114"/>
        <v>0</v>
      </c>
      <c r="AN45" s="1131"/>
      <c r="AO45" s="278">
        <v>0</v>
      </c>
      <c r="AP45" s="441"/>
      <c r="AQ45" s="427">
        <f>AO45+AP45+AS44</f>
        <v>0</v>
      </c>
      <c r="AR45" s="621"/>
      <c r="AS45" s="427">
        <f t="shared" si="115"/>
        <v>0</v>
      </c>
      <c r="AT45" s="1124"/>
      <c r="AU45" s="427">
        <f t="shared" si="116"/>
        <v>0</v>
      </c>
      <c r="AV45" s="456">
        <f t="shared" si="117"/>
        <v>0</v>
      </c>
      <c r="AW45" s="427">
        <f>AU45+AV45+AY44</f>
        <v>4.0268999999999999E-3</v>
      </c>
      <c r="AX45" s="427">
        <f t="shared" si="118"/>
        <v>0</v>
      </c>
      <c r="AY45" s="427">
        <f t="shared" si="119"/>
        <v>4.0268999999999999E-3</v>
      </c>
      <c r="AZ45" s="621">
        <f t="shared" si="120"/>
        <v>0</v>
      </c>
      <c r="BA45" s="931"/>
      <c r="BB45" s="1014"/>
      <c r="BC45" s="931"/>
      <c r="BD45" s="931"/>
      <c r="BE45" s="931"/>
      <c r="BF45" s="1127"/>
    </row>
    <row r="46" spans="1:58">
      <c r="A46" s="889"/>
      <c r="B46" s="1128" t="s">
        <v>366</v>
      </c>
      <c r="C46" s="142">
        <v>41640</v>
      </c>
      <c r="D46" s="143">
        <v>42216</v>
      </c>
      <c r="E46" s="419">
        <v>0</v>
      </c>
      <c r="F46" s="432"/>
      <c r="G46" s="419">
        <f>E46+F46</f>
        <v>0</v>
      </c>
      <c r="H46" s="420"/>
      <c r="I46" s="421">
        <f t="shared" ref="I46:I47" si="125">G46-H46</f>
        <v>0</v>
      </c>
      <c r="J46" s="1130"/>
      <c r="K46" s="421">
        <v>0</v>
      </c>
      <c r="L46" s="433"/>
      <c r="M46" s="421">
        <f>K46+L46</f>
        <v>0</v>
      </c>
      <c r="N46" s="421"/>
      <c r="O46" s="421">
        <f t="shared" ref="O46:O47" si="126">M46-N46</f>
        <v>0</v>
      </c>
      <c r="P46" s="930">
        <f>K46+K47+L46+L47</f>
        <v>0</v>
      </c>
      <c r="Q46" s="421">
        <v>0</v>
      </c>
      <c r="R46" s="384"/>
      <c r="S46" s="421">
        <f>Q46+R46</f>
        <v>0</v>
      </c>
      <c r="T46" s="620"/>
      <c r="U46" s="421">
        <f t="shared" ref="U46:U47" si="127">S46-T46</f>
        <v>0</v>
      </c>
      <c r="V46" s="930">
        <f>Q46+Q47+R46+R47</f>
        <v>0</v>
      </c>
      <c r="W46" s="421">
        <v>0</v>
      </c>
      <c r="X46" s="384">
        <f>0.0040269</f>
        <v>4.0268999999999999E-3</v>
      </c>
      <c r="Y46" s="421">
        <f>W46+X46</f>
        <v>4.0268999999999999E-3</v>
      </c>
      <c r="Z46" s="421">
        <v>0</v>
      </c>
      <c r="AA46" s="421">
        <f t="shared" ref="AA46:AA47" si="128">Y46-Z46</f>
        <v>4.0268999999999999E-3</v>
      </c>
      <c r="AB46" s="930">
        <f>W46+W47+X46+X47</f>
        <v>4.0268999999999999E-3</v>
      </c>
      <c r="AC46" s="421">
        <v>0</v>
      </c>
      <c r="AD46" s="384"/>
      <c r="AE46" s="421">
        <f>AC46+AD46</f>
        <v>0</v>
      </c>
      <c r="AF46" s="421"/>
      <c r="AG46" s="421">
        <f t="shared" ref="AG46:AG47" si="129">AE46-AF46</f>
        <v>0</v>
      </c>
      <c r="AH46" s="930">
        <f>AC46+AC47+AD46+AD47</f>
        <v>0</v>
      </c>
      <c r="AI46" s="421">
        <v>0</v>
      </c>
      <c r="AJ46" s="384"/>
      <c r="AK46" s="421">
        <f>AI46+AJ46</f>
        <v>0</v>
      </c>
      <c r="AL46" s="421"/>
      <c r="AM46" s="421">
        <f t="shared" ref="AM46:AM47" si="130">AK46-AL46</f>
        <v>0</v>
      </c>
      <c r="AN46" s="1130">
        <f>AI46+AI47+AJ46+AJ47</f>
        <v>0</v>
      </c>
      <c r="AO46" s="421">
        <v>0</v>
      </c>
      <c r="AP46" s="384"/>
      <c r="AQ46" s="421">
        <f>AO46+AP46</f>
        <v>0</v>
      </c>
      <c r="AR46" s="421"/>
      <c r="AS46" s="421">
        <f t="shared" ref="AS46:AS47" si="131">AQ46-AR46</f>
        <v>0</v>
      </c>
      <c r="AT46" s="1109">
        <f>AO46+AO47+AP46+AP47</f>
        <v>0</v>
      </c>
      <c r="AU46" s="421">
        <f t="shared" ref="AU46:AU47" si="132">E46+K46+Q46+W46+AC46+AI46+AO46</f>
        <v>0</v>
      </c>
      <c r="AV46" s="521">
        <f t="shared" ref="AV46:AV47" si="133">F46+L46+R46+X46+AD46+AJ46+AP46</f>
        <v>4.0268999999999999E-3</v>
      </c>
      <c r="AW46" s="421">
        <f>AU46+AV46</f>
        <v>4.0268999999999999E-3</v>
      </c>
      <c r="AX46" s="421">
        <f t="shared" ref="AX46:AX47" si="134">H46+N46+T46+Z46+AF46+AL46+AR46</f>
        <v>0</v>
      </c>
      <c r="AY46" s="421">
        <f t="shared" ref="AY46:AY47" si="135">AW46-AX46</f>
        <v>4.0268999999999999E-3</v>
      </c>
      <c r="AZ46" s="620">
        <f t="shared" ref="AZ46:AZ47" si="136">AX46/AW46</f>
        <v>0</v>
      </c>
      <c r="BA46" s="930">
        <f t="shared" ref="BA46" si="137">AU46+AU47</f>
        <v>0</v>
      </c>
      <c r="BB46" s="1013">
        <f t="shared" ref="BB46" si="138">AV46+AV47</f>
        <v>4.0268999999999999E-3</v>
      </c>
      <c r="BC46" s="930">
        <f t="shared" ref="BC46" si="139">BA46+BB46</f>
        <v>4.0268999999999999E-3</v>
      </c>
      <c r="BD46" s="930">
        <f>AX46+AX47</f>
        <v>0</v>
      </c>
      <c r="BE46" s="930">
        <f t="shared" ref="BE46" si="140">BC46-BD46</f>
        <v>4.0268999999999999E-3</v>
      </c>
      <c r="BF46" s="1107">
        <f>BD46/BC46</f>
        <v>0</v>
      </c>
    </row>
    <row r="47" spans="1:58">
      <c r="A47" s="889"/>
      <c r="B47" s="1129"/>
      <c r="C47" s="146">
        <v>42278</v>
      </c>
      <c r="D47" s="147">
        <v>42369</v>
      </c>
      <c r="E47" s="425">
        <v>0</v>
      </c>
      <c r="F47" s="444"/>
      <c r="G47" s="425">
        <f>E47+F47+I46</f>
        <v>0</v>
      </c>
      <c r="H47" s="426"/>
      <c r="I47" s="427">
        <f t="shared" si="125"/>
        <v>0</v>
      </c>
      <c r="J47" s="1131"/>
      <c r="K47" s="278">
        <v>0</v>
      </c>
      <c r="L47" s="441"/>
      <c r="M47" s="427">
        <f>K47+L47+O46</f>
        <v>0</v>
      </c>
      <c r="N47" s="427"/>
      <c r="O47" s="427">
        <f t="shared" si="126"/>
        <v>0</v>
      </c>
      <c r="P47" s="931"/>
      <c r="Q47" s="278">
        <v>0</v>
      </c>
      <c r="R47" s="441"/>
      <c r="S47" s="427">
        <f>Q47+R47+U46</f>
        <v>0</v>
      </c>
      <c r="T47" s="621"/>
      <c r="U47" s="427">
        <f t="shared" si="127"/>
        <v>0</v>
      </c>
      <c r="V47" s="931"/>
      <c r="W47" s="278">
        <v>0</v>
      </c>
      <c r="X47" s="441"/>
      <c r="Y47" s="427">
        <f>W47+X47+AA46</f>
        <v>4.0268999999999999E-3</v>
      </c>
      <c r="Z47" s="427"/>
      <c r="AA47" s="427">
        <f t="shared" si="128"/>
        <v>4.0268999999999999E-3</v>
      </c>
      <c r="AB47" s="931"/>
      <c r="AC47" s="278">
        <v>0</v>
      </c>
      <c r="AD47" s="441"/>
      <c r="AE47" s="427">
        <f>AC47+AD47+AG46</f>
        <v>0</v>
      </c>
      <c r="AF47" s="427"/>
      <c r="AG47" s="427">
        <f t="shared" si="129"/>
        <v>0</v>
      </c>
      <c r="AH47" s="931"/>
      <c r="AI47" s="278">
        <v>0</v>
      </c>
      <c r="AJ47" s="441"/>
      <c r="AK47" s="427">
        <f>AI47+AJ47+AM46</f>
        <v>0</v>
      </c>
      <c r="AL47" s="427"/>
      <c r="AM47" s="427">
        <f t="shared" si="130"/>
        <v>0</v>
      </c>
      <c r="AN47" s="1131"/>
      <c r="AO47" s="278">
        <v>0</v>
      </c>
      <c r="AP47" s="441"/>
      <c r="AQ47" s="427">
        <f>AO47+AP47+AS46</f>
        <v>0</v>
      </c>
      <c r="AR47" s="621"/>
      <c r="AS47" s="427">
        <f t="shared" si="131"/>
        <v>0</v>
      </c>
      <c r="AT47" s="1124"/>
      <c r="AU47" s="427">
        <f t="shared" si="132"/>
        <v>0</v>
      </c>
      <c r="AV47" s="456">
        <f t="shared" si="133"/>
        <v>0</v>
      </c>
      <c r="AW47" s="427">
        <f>AU47+AV47+AY46</f>
        <v>4.0268999999999999E-3</v>
      </c>
      <c r="AX47" s="427">
        <f t="shared" si="134"/>
        <v>0</v>
      </c>
      <c r="AY47" s="427">
        <f t="shared" si="135"/>
        <v>4.0268999999999999E-3</v>
      </c>
      <c r="AZ47" s="621">
        <f t="shared" si="136"/>
        <v>0</v>
      </c>
      <c r="BA47" s="931"/>
      <c r="BB47" s="1014"/>
      <c r="BC47" s="931"/>
      <c r="BD47" s="931"/>
      <c r="BE47" s="931"/>
      <c r="BF47" s="1127"/>
    </row>
    <row r="48" spans="1:58" s="682" customFormat="1">
      <c r="A48" s="816"/>
      <c r="B48" s="1128" t="s">
        <v>412</v>
      </c>
      <c r="C48" s="142">
        <v>41640</v>
      </c>
      <c r="D48" s="143">
        <v>42216</v>
      </c>
      <c r="E48" s="419">
        <v>0</v>
      </c>
      <c r="F48" s="432"/>
      <c r="G48" s="419">
        <f>E48+F48</f>
        <v>0</v>
      </c>
      <c r="H48" s="420"/>
      <c r="I48" s="421">
        <f t="shared" ref="I48:I49" si="141">G48-H48</f>
        <v>0</v>
      </c>
      <c r="J48" s="1130"/>
      <c r="K48" s="421">
        <v>0</v>
      </c>
      <c r="L48" s="433"/>
      <c r="M48" s="421">
        <f>K48+L48</f>
        <v>0</v>
      </c>
      <c r="N48" s="421"/>
      <c r="O48" s="421">
        <f t="shared" ref="O48:O49" si="142">M48-N48</f>
        <v>0</v>
      </c>
      <c r="P48" s="930">
        <f>K48+K49+L48+L49</f>
        <v>0</v>
      </c>
      <c r="Q48" s="421">
        <v>0</v>
      </c>
      <c r="R48" s="384"/>
      <c r="S48" s="421">
        <f>Q48+R48</f>
        <v>0</v>
      </c>
      <c r="T48" s="811"/>
      <c r="U48" s="421">
        <f t="shared" ref="U48:U49" si="143">S48-T48</f>
        <v>0</v>
      </c>
      <c r="V48" s="930">
        <f>Q48+Q49+R48+R49</f>
        <v>0</v>
      </c>
      <c r="W48" s="421">
        <v>0</v>
      </c>
      <c r="X48" s="384">
        <f>0.0040269</f>
        <v>4.0268999999999999E-3</v>
      </c>
      <c r="Y48" s="421">
        <f>W48+X48</f>
        <v>4.0268999999999999E-3</v>
      </c>
      <c r="Z48" s="421">
        <v>0</v>
      </c>
      <c r="AA48" s="421">
        <f t="shared" ref="AA48:AA49" si="144">Y48-Z48</f>
        <v>4.0268999999999999E-3</v>
      </c>
      <c r="AB48" s="930">
        <f>W48+W49+X48+X49</f>
        <v>4.0268999999999999E-3</v>
      </c>
      <c r="AC48" s="421">
        <v>0</v>
      </c>
      <c r="AD48" s="384"/>
      <c r="AE48" s="421">
        <f>AC48+AD48</f>
        <v>0</v>
      </c>
      <c r="AF48" s="421"/>
      <c r="AG48" s="421">
        <f t="shared" ref="AG48:AG49" si="145">AE48-AF48</f>
        <v>0</v>
      </c>
      <c r="AH48" s="930">
        <f>AC48+AC49+AD48+AD49</f>
        <v>0</v>
      </c>
      <c r="AI48" s="421">
        <v>0</v>
      </c>
      <c r="AJ48" s="384"/>
      <c r="AK48" s="421">
        <f>AI48+AJ48</f>
        <v>0</v>
      </c>
      <c r="AL48" s="421"/>
      <c r="AM48" s="421">
        <f t="shared" ref="AM48:AM49" si="146">AK48-AL48</f>
        <v>0</v>
      </c>
      <c r="AN48" s="1130">
        <f>AI48+AI49+AJ48+AJ49</f>
        <v>0</v>
      </c>
      <c r="AO48" s="421">
        <v>0</v>
      </c>
      <c r="AP48" s="384"/>
      <c r="AQ48" s="421">
        <f>AO48+AP48</f>
        <v>0</v>
      </c>
      <c r="AR48" s="421"/>
      <c r="AS48" s="421">
        <f t="shared" ref="AS48:AS49" si="147">AQ48-AR48</f>
        <v>0</v>
      </c>
      <c r="AT48" s="1109">
        <f>AO48+AO49+AP48+AP49</f>
        <v>0</v>
      </c>
      <c r="AU48" s="421">
        <f t="shared" ref="AU48:AU49" si="148">E48+K48+Q48+W48+AC48+AI48+AO48</f>
        <v>0</v>
      </c>
      <c r="AV48" s="521">
        <v>0.16104015999999999</v>
      </c>
      <c r="AW48" s="421">
        <f>AU48+AV48</f>
        <v>0.16104015999999999</v>
      </c>
      <c r="AX48" s="421">
        <f t="shared" ref="AX48:AX49" si="149">H48+N48+T48+Z48+AF48+AL48+AR48</f>
        <v>0</v>
      </c>
      <c r="AY48" s="421">
        <f t="shared" ref="AY48:AY49" si="150">AW48-AX48</f>
        <v>0.16104015999999999</v>
      </c>
      <c r="AZ48" s="811">
        <f t="shared" ref="AZ48:AZ49" si="151">AX48/AW48</f>
        <v>0</v>
      </c>
      <c r="BA48" s="930">
        <f t="shared" ref="BA48" si="152">AU48+AU49</f>
        <v>0</v>
      </c>
      <c r="BB48" s="1013">
        <f>AV48+AV49</f>
        <v>0.16104015999999999</v>
      </c>
      <c r="BC48" s="930">
        <f t="shared" ref="BC48" si="153">BA48+BB48</f>
        <v>0.16104015999999999</v>
      </c>
      <c r="BD48" s="930">
        <f>AX48+AX49</f>
        <v>0</v>
      </c>
      <c r="BE48" s="930">
        <f t="shared" ref="BE48" si="154">BC48-BD48</f>
        <v>0.16104015999999999</v>
      </c>
      <c r="BF48" s="1107">
        <f>BD48/BC48</f>
        <v>0</v>
      </c>
    </row>
    <row r="49" spans="1:58" s="682" customFormat="1">
      <c r="A49" s="816"/>
      <c r="B49" s="1129"/>
      <c r="C49" s="146">
        <v>42278</v>
      </c>
      <c r="D49" s="147">
        <v>42369</v>
      </c>
      <c r="E49" s="425">
        <v>0</v>
      </c>
      <c r="F49" s="444"/>
      <c r="G49" s="425">
        <f>E49+F49+I48</f>
        <v>0</v>
      </c>
      <c r="H49" s="426"/>
      <c r="I49" s="813">
        <f t="shared" si="141"/>
        <v>0</v>
      </c>
      <c r="J49" s="1131"/>
      <c r="K49" s="278">
        <v>0</v>
      </c>
      <c r="L49" s="441"/>
      <c r="M49" s="813">
        <f>K49+L49+O48</f>
        <v>0</v>
      </c>
      <c r="N49" s="813"/>
      <c r="O49" s="813">
        <f t="shared" si="142"/>
        <v>0</v>
      </c>
      <c r="P49" s="931"/>
      <c r="Q49" s="278">
        <v>0</v>
      </c>
      <c r="R49" s="441"/>
      <c r="S49" s="813">
        <f>Q49+R49+U48</f>
        <v>0</v>
      </c>
      <c r="T49" s="812"/>
      <c r="U49" s="813">
        <f t="shared" si="143"/>
        <v>0</v>
      </c>
      <c r="V49" s="931"/>
      <c r="W49" s="278">
        <v>0</v>
      </c>
      <c r="X49" s="441"/>
      <c r="Y49" s="813">
        <f>W49+X49+AA48</f>
        <v>4.0268999999999999E-3</v>
      </c>
      <c r="Z49" s="813"/>
      <c r="AA49" s="813">
        <f t="shared" si="144"/>
        <v>4.0268999999999999E-3</v>
      </c>
      <c r="AB49" s="931"/>
      <c r="AC49" s="278">
        <v>0</v>
      </c>
      <c r="AD49" s="441"/>
      <c r="AE49" s="813">
        <f>AC49+AD49+AG48</f>
        <v>0</v>
      </c>
      <c r="AF49" s="813"/>
      <c r="AG49" s="813">
        <f t="shared" si="145"/>
        <v>0</v>
      </c>
      <c r="AH49" s="931"/>
      <c r="AI49" s="278">
        <v>0</v>
      </c>
      <c r="AJ49" s="441"/>
      <c r="AK49" s="813">
        <f>AI49+AJ49+AM48</f>
        <v>0</v>
      </c>
      <c r="AL49" s="813"/>
      <c r="AM49" s="813">
        <f t="shared" si="146"/>
        <v>0</v>
      </c>
      <c r="AN49" s="1131"/>
      <c r="AO49" s="278">
        <v>0</v>
      </c>
      <c r="AP49" s="441"/>
      <c r="AQ49" s="813">
        <f>AO49+AP49+AS48</f>
        <v>0</v>
      </c>
      <c r="AR49" s="812"/>
      <c r="AS49" s="813">
        <f t="shared" si="147"/>
        <v>0</v>
      </c>
      <c r="AT49" s="1124"/>
      <c r="AU49" s="813">
        <f t="shared" si="148"/>
        <v>0</v>
      </c>
      <c r="AV49" s="456">
        <f t="shared" ref="AV49" si="155">F49+L49+R49+X49+AD49+AJ49+AP49</f>
        <v>0</v>
      </c>
      <c r="AW49" s="813">
        <f>AU49+AV49+AY48</f>
        <v>0.16104015999999999</v>
      </c>
      <c r="AX49" s="813">
        <f t="shared" si="149"/>
        <v>0</v>
      </c>
      <c r="AY49" s="813">
        <f t="shared" si="150"/>
        <v>0.16104015999999999</v>
      </c>
      <c r="AZ49" s="812">
        <f t="shared" si="151"/>
        <v>0</v>
      </c>
      <c r="BA49" s="931"/>
      <c r="BB49" s="1014"/>
      <c r="BC49" s="931"/>
      <c r="BD49" s="931"/>
      <c r="BE49" s="931"/>
      <c r="BF49" s="1127"/>
    </row>
    <row r="50" spans="1:58" s="682" customFormat="1">
      <c r="A50" s="438"/>
      <c r="B50" s="438"/>
      <c r="C50" s="140"/>
      <c r="D50" s="140"/>
      <c r="E50" s="434"/>
      <c r="F50" s="435"/>
      <c r="G50" s="434"/>
      <c r="H50" s="436"/>
      <c r="I50" s="437"/>
      <c r="J50" s="800"/>
      <c r="K50" s="280"/>
      <c r="L50" s="438"/>
      <c r="M50" s="437"/>
      <c r="N50" s="437"/>
      <c r="O50" s="437"/>
      <c r="P50" s="799"/>
      <c r="Q50" s="280"/>
      <c r="R50" s="438"/>
      <c r="S50" s="437"/>
      <c r="T50" s="799"/>
      <c r="U50" s="437"/>
      <c r="V50" s="799"/>
      <c r="W50" s="280"/>
      <c r="X50" s="438"/>
      <c r="Y50" s="437"/>
      <c r="Z50" s="437"/>
      <c r="AA50" s="437"/>
      <c r="AB50" s="799"/>
      <c r="AC50" s="280"/>
      <c r="AD50" s="438"/>
      <c r="AE50" s="437"/>
      <c r="AF50" s="437"/>
      <c r="AG50" s="437"/>
      <c r="AH50" s="799"/>
      <c r="AI50" s="280"/>
      <c r="AJ50" s="438"/>
      <c r="AK50" s="437"/>
      <c r="AL50" s="437"/>
      <c r="AM50" s="437"/>
      <c r="AN50" s="800"/>
      <c r="AO50" s="280"/>
      <c r="AP50" s="438"/>
      <c r="AQ50" s="437"/>
      <c r="AR50" s="799"/>
      <c r="AS50" s="437"/>
      <c r="AT50" s="799"/>
      <c r="AU50" s="437"/>
      <c r="AV50" s="457"/>
      <c r="AW50" s="437"/>
      <c r="AX50" s="437"/>
      <c r="AY50" s="437"/>
      <c r="AZ50" s="799"/>
      <c r="BA50" s="799"/>
      <c r="BB50" s="443"/>
      <c r="BC50" s="799"/>
      <c r="BD50" s="799"/>
      <c r="BE50" s="799"/>
      <c r="BF50" s="801"/>
    </row>
    <row r="51" spans="1:58">
      <c r="A51" s="149"/>
      <c r="B51" s="149"/>
      <c r="C51" s="113"/>
      <c r="D51" s="93"/>
      <c r="E51" s="113"/>
      <c r="F51" s="113"/>
      <c r="G51" s="113"/>
      <c r="H51" s="118"/>
    </row>
    <row r="52" spans="1:58" ht="15.75">
      <c r="A52" s="55"/>
      <c r="B52" s="55"/>
      <c r="C52" s="968" t="s">
        <v>199</v>
      </c>
      <c r="D52" s="955"/>
      <c r="E52" s="1115" t="s">
        <v>207</v>
      </c>
      <c r="F52" s="1116"/>
      <c r="G52" s="1117"/>
      <c r="H52" s="1115" t="s">
        <v>223</v>
      </c>
      <c r="I52" s="1117"/>
      <c r="J52" s="120"/>
      <c r="K52" s="1113" t="s">
        <v>209</v>
      </c>
      <c r="L52" s="1118"/>
      <c r="M52" s="1114"/>
      <c r="N52" s="1113" t="s">
        <v>210</v>
      </c>
      <c r="O52" s="1114"/>
      <c r="Q52" s="1143" t="s">
        <v>226</v>
      </c>
      <c r="R52" s="1143"/>
      <c r="S52" s="1143"/>
      <c r="T52" s="1143"/>
      <c r="U52" s="1143"/>
      <c r="V52" s="1143"/>
      <c r="W52" s="1143" t="s">
        <v>339</v>
      </c>
      <c r="X52" s="1143"/>
      <c r="Y52" s="1143"/>
      <c r="Z52" s="1143"/>
      <c r="AA52" s="1143"/>
      <c r="AB52" s="1143"/>
    </row>
    <row r="53" spans="1:58" ht="54.75" customHeight="1">
      <c r="A53" s="55"/>
      <c r="B53" s="119" t="s">
        <v>103</v>
      </c>
      <c r="C53" s="86" t="s">
        <v>197</v>
      </c>
      <c r="D53" s="86" t="s">
        <v>198</v>
      </c>
      <c r="E53" s="83" t="s">
        <v>200</v>
      </c>
      <c r="F53" s="83" t="s">
        <v>201</v>
      </c>
      <c r="G53" s="83" t="s">
        <v>202</v>
      </c>
      <c r="H53" s="87" t="s">
        <v>3</v>
      </c>
      <c r="I53" s="87" t="s">
        <v>4</v>
      </c>
      <c r="J53" s="98" t="s">
        <v>219</v>
      </c>
      <c r="K53" s="103" t="s">
        <v>200</v>
      </c>
      <c r="L53" s="103" t="s">
        <v>201</v>
      </c>
      <c r="M53" s="103" t="s">
        <v>202</v>
      </c>
      <c r="N53" s="104" t="s">
        <v>3</v>
      </c>
      <c r="O53" s="104" t="s">
        <v>4</v>
      </c>
      <c r="P53" s="111" t="s">
        <v>219</v>
      </c>
      <c r="Q53" s="125" t="s">
        <v>224</v>
      </c>
      <c r="R53" s="125" t="s">
        <v>257</v>
      </c>
      <c r="S53" s="125" t="s">
        <v>202</v>
      </c>
      <c r="T53" s="126" t="s">
        <v>225</v>
      </c>
      <c r="U53" s="126" t="s">
        <v>4</v>
      </c>
      <c r="V53" s="126" t="s">
        <v>5</v>
      </c>
      <c r="W53" s="126" t="s">
        <v>219</v>
      </c>
      <c r="X53" s="125" t="s">
        <v>257</v>
      </c>
      <c r="Y53" s="125" t="s">
        <v>202</v>
      </c>
      <c r="Z53" s="126" t="s">
        <v>3</v>
      </c>
      <c r="AA53" s="126" t="s">
        <v>4</v>
      </c>
      <c r="AB53" s="126" t="s">
        <v>5</v>
      </c>
    </row>
    <row r="54" spans="1:58">
      <c r="A54" s="1121" t="s">
        <v>35</v>
      </c>
      <c r="B54" s="1148" t="s">
        <v>33</v>
      </c>
      <c r="C54" s="142">
        <v>42064</v>
      </c>
      <c r="D54" s="143">
        <v>42246</v>
      </c>
      <c r="E54" s="419">
        <v>136.512</v>
      </c>
      <c r="F54" s="419"/>
      <c r="G54" s="419">
        <f>E54+F54</f>
        <v>136.512</v>
      </c>
      <c r="H54" s="420">
        <v>78.334999999999994</v>
      </c>
      <c r="I54" s="421">
        <f>G54-H54</f>
        <v>58.177000000000007</v>
      </c>
      <c r="J54" s="930">
        <f>E54+E55+F54+F55</f>
        <v>151.767</v>
      </c>
      <c r="K54" s="421">
        <v>490.11399999999998</v>
      </c>
      <c r="L54" s="421"/>
      <c r="M54" s="421">
        <f>K54+L54</f>
        <v>490.11399999999998</v>
      </c>
      <c r="N54" s="525">
        <v>411.84199999999998</v>
      </c>
      <c r="O54" s="442">
        <f>M54-N54</f>
        <v>78.271999999999991</v>
      </c>
      <c r="P54" s="930">
        <f>K54+K55+L54+L55</f>
        <v>544.48399999999992</v>
      </c>
      <c r="Q54" s="424">
        <f>E54+K54</f>
        <v>626.62599999999998</v>
      </c>
      <c r="R54" s="533">
        <f>F54+L54</f>
        <v>0</v>
      </c>
      <c r="S54" s="421">
        <f>Q54+R54</f>
        <v>626.62599999999998</v>
      </c>
      <c r="T54" s="421">
        <f t="shared" ref="T54:T73" si="156">H54+N54</f>
        <v>490.17699999999996</v>
      </c>
      <c r="U54" s="442">
        <f>S54-T54</f>
        <v>136.44900000000001</v>
      </c>
      <c r="V54" s="421">
        <f>T54/S54</f>
        <v>0.78224810333436534</v>
      </c>
      <c r="W54" s="1109">
        <f>Q54+Q55</f>
        <v>696.25099999999998</v>
      </c>
      <c r="X54" s="1023">
        <f>R54+R55</f>
        <v>0</v>
      </c>
      <c r="Y54" s="1023">
        <f>W54+X54</f>
        <v>696.25099999999998</v>
      </c>
      <c r="Z54" s="1023">
        <f>T54+T55</f>
        <v>695.63499999999999</v>
      </c>
      <c r="AA54" s="930">
        <f>Y54-Z54</f>
        <v>0.61599999999998545</v>
      </c>
      <c r="AB54" s="1141">
        <f>Z54/Y54</f>
        <v>0.9991152615938792</v>
      </c>
    </row>
    <row r="55" spans="1:58">
      <c r="A55" s="1122"/>
      <c r="B55" s="1137"/>
      <c r="C55" s="144">
        <v>42278</v>
      </c>
      <c r="D55" s="145">
        <v>42368</v>
      </c>
      <c r="E55" s="434">
        <v>15.255000000000001</v>
      </c>
      <c r="F55" s="434"/>
      <c r="G55" s="434">
        <f>E55+F55+I54</f>
        <v>73.432000000000002</v>
      </c>
      <c r="H55" s="436">
        <v>72.438000000000002</v>
      </c>
      <c r="I55" s="437">
        <f t="shared" ref="I55:I73" si="157">G55-H55</f>
        <v>0.99399999999999977</v>
      </c>
      <c r="J55" s="1030"/>
      <c r="K55" s="437">
        <v>54.37</v>
      </c>
      <c r="L55" s="437"/>
      <c r="M55" s="437">
        <f>K55+L55+O54</f>
        <v>132.642</v>
      </c>
      <c r="N55" s="527">
        <v>133.02000000000001</v>
      </c>
      <c r="O55" s="457">
        <f t="shared" ref="O55:O73" si="158">M55-N55</f>
        <v>-0.37800000000001432</v>
      </c>
      <c r="P55" s="1030"/>
      <c r="Q55" s="440">
        <f t="shared" ref="Q55:Q75" si="159">E55+K55</f>
        <v>69.625</v>
      </c>
      <c r="R55" s="535">
        <f t="shared" ref="R55:R73" si="160">F55+L55</f>
        <v>0</v>
      </c>
      <c r="S55" s="437">
        <f>Q55+R55+U54</f>
        <v>206.07400000000001</v>
      </c>
      <c r="T55" s="437">
        <f t="shared" si="156"/>
        <v>205.45800000000003</v>
      </c>
      <c r="U55" s="457">
        <f t="shared" ref="U55:U73" si="161">S55-T55</f>
        <v>0.61599999999998545</v>
      </c>
      <c r="V55" s="421">
        <f t="shared" ref="V55:V73" si="162">T55/S55</f>
        <v>0.99701078253442943</v>
      </c>
      <c r="W55" s="1110"/>
      <c r="X55" s="1024"/>
      <c r="Y55" s="1024"/>
      <c r="Z55" s="1098"/>
      <c r="AA55" s="1030"/>
      <c r="AB55" s="1142"/>
    </row>
    <row r="56" spans="1:58">
      <c r="A56" s="1122"/>
      <c r="B56" s="1148" t="s">
        <v>27</v>
      </c>
      <c r="C56" s="142">
        <v>42064</v>
      </c>
      <c r="D56" s="143">
        <v>42246</v>
      </c>
      <c r="E56" s="419">
        <v>9.8480000000000008</v>
      </c>
      <c r="F56" s="432">
        <f>-9.848</f>
        <v>-9.8480000000000008</v>
      </c>
      <c r="G56" s="419">
        <f>E56+F56</f>
        <v>0</v>
      </c>
      <c r="H56" s="420"/>
      <c r="I56" s="421">
        <f t="shared" si="157"/>
        <v>0</v>
      </c>
      <c r="J56" s="930">
        <f>E56+E57+F56+F57</f>
        <v>0</v>
      </c>
      <c r="K56" s="277">
        <v>35.356999999999999</v>
      </c>
      <c r="L56" s="433">
        <f>-35.357</f>
        <v>-35.356999999999999</v>
      </c>
      <c r="M56" s="421">
        <f>K56+L56</f>
        <v>0</v>
      </c>
      <c r="N56" s="421"/>
      <c r="O56" s="421">
        <f t="shared" si="158"/>
        <v>0</v>
      </c>
      <c r="P56" s="930">
        <f>K56+K57+L56+L57</f>
        <v>0</v>
      </c>
      <c r="Q56" s="424">
        <f t="shared" si="159"/>
        <v>45.204999999999998</v>
      </c>
      <c r="R56" s="433">
        <f t="shared" si="160"/>
        <v>-45.204999999999998</v>
      </c>
      <c r="S56" s="421">
        <f>Q56+R56</f>
        <v>0</v>
      </c>
      <c r="T56" s="421">
        <f t="shared" si="156"/>
        <v>0</v>
      </c>
      <c r="U56" s="421">
        <f t="shared" si="161"/>
        <v>0</v>
      </c>
      <c r="V56" s="537" t="e">
        <f t="shared" si="162"/>
        <v>#DIV/0!</v>
      </c>
      <c r="W56" s="1109">
        <f>Q56+Q57</f>
        <v>50.227999999999994</v>
      </c>
      <c r="X56" s="1023">
        <f t="shared" ref="X56" si="163">R56+R57</f>
        <v>-50.227999999999994</v>
      </c>
      <c r="Y56" s="1023">
        <f t="shared" ref="Y56" si="164">W56+X56</f>
        <v>0</v>
      </c>
      <c r="Z56" s="1023">
        <f>T56+T57</f>
        <v>0</v>
      </c>
      <c r="AA56" s="930">
        <f t="shared" ref="AA56" si="165">Y56-Z56</f>
        <v>0</v>
      </c>
      <c r="AB56" s="1107" t="e">
        <f t="shared" ref="AB56" si="166">Z56/Y56</f>
        <v>#DIV/0!</v>
      </c>
    </row>
    <row r="57" spans="1:58">
      <c r="A57" s="1122"/>
      <c r="B57" s="1137"/>
      <c r="C57" s="144">
        <v>42278</v>
      </c>
      <c r="D57" s="145">
        <v>42368</v>
      </c>
      <c r="E57" s="434">
        <v>1.101</v>
      </c>
      <c r="F57" s="435">
        <f>-1.101</f>
        <v>-1.101</v>
      </c>
      <c r="G57" s="434">
        <f>E57+F57+I56</f>
        <v>0</v>
      </c>
      <c r="H57" s="436"/>
      <c r="I57" s="437">
        <f t="shared" si="157"/>
        <v>0</v>
      </c>
      <c r="J57" s="1030"/>
      <c r="K57" s="280">
        <v>3.9220000000000002</v>
      </c>
      <c r="L57" s="441">
        <f>-3.922</f>
        <v>-3.9220000000000002</v>
      </c>
      <c r="M57" s="437">
        <f>K57+L57+O56</f>
        <v>0</v>
      </c>
      <c r="N57" s="437"/>
      <c r="O57" s="437">
        <f t="shared" si="158"/>
        <v>0</v>
      </c>
      <c r="P57" s="1030"/>
      <c r="Q57" s="440">
        <f t="shared" si="159"/>
        <v>5.0229999999999997</v>
      </c>
      <c r="R57" s="441">
        <f t="shared" si="160"/>
        <v>-5.0229999999999997</v>
      </c>
      <c r="S57" s="437">
        <f>Q57+R57+U56</f>
        <v>0</v>
      </c>
      <c r="T57" s="437">
        <f t="shared" si="156"/>
        <v>0</v>
      </c>
      <c r="U57" s="437">
        <f t="shared" si="161"/>
        <v>0</v>
      </c>
      <c r="V57" s="537" t="e">
        <f t="shared" si="162"/>
        <v>#DIV/0!</v>
      </c>
      <c r="W57" s="1110"/>
      <c r="X57" s="1024"/>
      <c r="Y57" s="1024"/>
      <c r="Z57" s="1098"/>
      <c r="AA57" s="1030"/>
      <c r="AB57" s="1108"/>
    </row>
    <row r="58" spans="1:58">
      <c r="A58" s="1122"/>
      <c r="B58" s="1136" t="s">
        <v>28</v>
      </c>
      <c r="C58" s="142">
        <v>42064</v>
      </c>
      <c r="D58" s="143">
        <v>42246</v>
      </c>
      <c r="E58" s="419">
        <v>142.15600000000001</v>
      </c>
      <c r="F58" s="419"/>
      <c r="G58" s="419">
        <f>E58+F58</f>
        <v>142.15600000000001</v>
      </c>
      <c r="H58" s="420"/>
      <c r="I58" s="421">
        <f>G58-H58</f>
        <v>142.15600000000001</v>
      </c>
      <c r="J58" s="930">
        <f>E58+E59+F58+F59</f>
        <v>158.042</v>
      </c>
      <c r="K58" s="277">
        <v>510.37700000000001</v>
      </c>
      <c r="L58" s="589">
        <f>-1+136.5</f>
        <v>135.5</v>
      </c>
      <c r="M58" s="421">
        <f>K58+L58</f>
        <v>645.87699999999995</v>
      </c>
      <c r="N58" s="525">
        <v>411.80200000000002</v>
      </c>
      <c r="O58" s="421">
        <f>M58-N58</f>
        <v>234.07499999999993</v>
      </c>
      <c r="P58" s="930">
        <f>K58+K59+L58+L59</f>
        <v>702.495</v>
      </c>
      <c r="Q58" s="424">
        <f t="shared" si="159"/>
        <v>652.53300000000002</v>
      </c>
      <c r="R58" s="538">
        <f t="shared" si="160"/>
        <v>135.5</v>
      </c>
      <c r="S58" s="421">
        <f>Q58+R58</f>
        <v>788.03300000000002</v>
      </c>
      <c r="T58" s="421">
        <f>H58+N58</f>
        <v>411.80200000000002</v>
      </c>
      <c r="U58" s="421">
        <f t="shared" si="161"/>
        <v>376.23099999999999</v>
      </c>
      <c r="V58" s="537">
        <f t="shared" si="162"/>
        <v>0.52256948630323863</v>
      </c>
      <c r="W58" s="1109">
        <f>Q58+Q59</f>
        <v>725.03700000000003</v>
      </c>
      <c r="X58" s="1023">
        <f t="shared" ref="X58" si="167">R58+R59</f>
        <v>135.5</v>
      </c>
      <c r="Y58" s="1023">
        <f t="shared" ref="Y58" si="168">W58+X58</f>
        <v>860.53700000000003</v>
      </c>
      <c r="Z58" s="1023">
        <f>T58+T59</f>
        <v>690.12599999999998</v>
      </c>
      <c r="AA58" s="930">
        <f t="shared" ref="AA58" si="169">Y58-Z58</f>
        <v>170.41100000000006</v>
      </c>
      <c r="AB58" s="1141">
        <f t="shared" ref="AB58" si="170">Z58/Y58</f>
        <v>0.8019713272061515</v>
      </c>
    </row>
    <row r="59" spans="1:58">
      <c r="A59" s="1122"/>
      <c r="B59" s="1137"/>
      <c r="C59" s="144">
        <v>42278</v>
      </c>
      <c r="D59" s="145">
        <v>42368</v>
      </c>
      <c r="E59" s="434">
        <v>15.885999999999999</v>
      </c>
      <c r="F59" s="434"/>
      <c r="G59" s="434">
        <f>E59+F59+I58</f>
        <v>158.042</v>
      </c>
      <c r="H59" s="436"/>
      <c r="I59" s="437">
        <f>G59-H59</f>
        <v>158.042</v>
      </c>
      <c r="J59" s="1030"/>
      <c r="K59" s="280">
        <v>56.618000000000002</v>
      </c>
      <c r="L59" s="427"/>
      <c r="M59" s="437">
        <f>K59+L59+O58</f>
        <v>290.69299999999993</v>
      </c>
      <c r="N59" s="527">
        <v>278.32400000000001</v>
      </c>
      <c r="O59" s="437">
        <f>M59-N59</f>
        <v>12.368999999999915</v>
      </c>
      <c r="P59" s="1030"/>
      <c r="Q59" s="440">
        <f t="shared" si="159"/>
        <v>72.504000000000005</v>
      </c>
      <c r="R59" s="539">
        <f t="shared" si="160"/>
        <v>0</v>
      </c>
      <c r="S59" s="437">
        <f>Q59+R59+U58</f>
        <v>448.73500000000001</v>
      </c>
      <c r="T59" s="437">
        <f>H59+N59</f>
        <v>278.32400000000001</v>
      </c>
      <c r="U59" s="437">
        <f t="shared" si="161"/>
        <v>170.411</v>
      </c>
      <c r="V59" s="537">
        <f t="shared" si="162"/>
        <v>0.62024134511459994</v>
      </c>
      <c r="W59" s="1110"/>
      <c r="X59" s="1024"/>
      <c r="Y59" s="1024"/>
      <c r="Z59" s="1098"/>
      <c r="AA59" s="1030"/>
      <c r="AB59" s="1142"/>
    </row>
    <row r="60" spans="1:58" ht="15" customHeight="1">
      <c r="A60" s="1122"/>
      <c r="B60" s="1134" t="s">
        <v>68</v>
      </c>
      <c r="C60" s="142">
        <v>42064</v>
      </c>
      <c r="D60" s="143">
        <v>42246</v>
      </c>
      <c r="E60" s="419">
        <v>7.0999999999999994E-2</v>
      </c>
      <c r="F60" s="419"/>
      <c r="G60" s="419">
        <f>E60+F60</f>
        <v>7.0999999999999994E-2</v>
      </c>
      <c r="H60" s="420"/>
      <c r="I60" s="421">
        <f t="shared" si="157"/>
        <v>7.0999999999999994E-2</v>
      </c>
      <c r="J60" s="930">
        <f>E60+E61+F60+F61</f>
        <v>7.8999999999999987E-2</v>
      </c>
      <c r="K60" s="277">
        <v>0.255</v>
      </c>
      <c r="L60" s="540">
        <f>1</f>
        <v>1</v>
      </c>
      <c r="M60" s="421">
        <f>K60+L60</f>
        <v>1.2549999999999999</v>
      </c>
      <c r="N60" s="421"/>
      <c r="O60" s="421">
        <f t="shared" si="158"/>
        <v>1.2549999999999999</v>
      </c>
      <c r="P60" s="930">
        <f>K60+K61+L60+L61</f>
        <v>1.2829999999999999</v>
      </c>
      <c r="Q60" s="424">
        <f t="shared" si="159"/>
        <v>0.32600000000000001</v>
      </c>
      <c r="R60" s="541">
        <f t="shared" si="160"/>
        <v>1</v>
      </c>
      <c r="S60" s="421">
        <f>Q60+R60</f>
        <v>1.3260000000000001</v>
      </c>
      <c r="T60" s="421">
        <f t="shared" si="156"/>
        <v>0</v>
      </c>
      <c r="U60" s="421">
        <f t="shared" si="161"/>
        <v>1.3260000000000001</v>
      </c>
      <c r="V60" s="537">
        <f t="shared" si="162"/>
        <v>0</v>
      </c>
      <c r="W60" s="1109">
        <f>Q60+Q61</f>
        <v>0.36199999999999999</v>
      </c>
      <c r="X60" s="1023">
        <f t="shared" ref="X60" si="171">R60+R61</f>
        <v>1</v>
      </c>
      <c r="Y60" s="1023">
        <f t="shared" ref="Y60" si="172">W60+X60</f>
        <v>1.3620000000000001</v>
      </c>
      <c r="Z60" s="1023">
        <f>T60+T61</f>
        <v>0</v>
      </c>
      <c r="AA60" s="930">
        <f t="shared" ref="AA60" si="173">Y60-Z60</f>
        <v>1.3620000000000001</v>
      </c>
      <c r="AB60" s="1107">
        <f t="shared" ref="AB60" si="174">Z60/Y60</f>
        <v>0</v>
      </c>
    </row>
    <row r="61" spans="1:58" ht="15" customHeight="1">
      <c r="A61" s="1122"/>
      <c r="B61" s="1135"/>
      <c r="C61" s="144">
        <v>42278</v>
      </c>
      <c r="D61" s="145">
        <v>42368</v>
      </c>
      <c r="E61" s="434">
        <v>8.0000000000000002E-3</v>
      </c>
      <c r="F61" s="434"/>
      <c r="G61" s="434">
        <f>E61+F61+I60</f>
        <v>7.8999999999999987E-2</v>
      </c>
      <c r="H61" s="436"/>
      <c r="I61" s="437">
        <f t="shared" si="157"/>
        <v>7.8999999999999987E-2</v>
      </c>
      <c r="J61" s="1030"/>
      <c r="K61" s="280">
        <v>2.8000000000000001E-2</v>
      </c>
      <c r="L61" s="437"/>
      <c r="M61" s="437">
        <f>K61+L61+O60</f>
        <v>1.2829999999999999</v>
      </c>
      <c r="N61" s="437"/>
      <c r="O61" s="437">
        <f t="shared" si="158"/>
        <v>1.2829999999999999</v>
      </c>
      <c r="P61" s="1030"/>
      <c r="Q61" s="430">
        <f t="shared" si="159"/>
        <v>3.6000000000000004E-2</v>
      </c>
      <c r="R61" s="539">
        <f t="shared" si="160"/>
        <v>0</v>
      </c>
      <c r="S61" s="437">
        <f>Q61+R61+U60</f>
        <v>1.3620000000000001</v>
      </c>
      <c r="T61" s="427">
        <f t="shared" si="156"/>
        <v>0</v>
      </c>
      <c r="U61" s="427">
        <f t="shared" si="161"/>
        <v>1.3620000000000001</v>
      </c>
      <c r="V61" s="542">
        <f t="shared" si="162"/>
        <v>0</v>
      </c>
      <c r="W61" s="1110"/>
      <c r="X61" s="1024"/>
      <c r="Y61" s="1024"/>
      <c r="Z61" s="1098"/>
      <c r="AA61" s="1030"/>
      <c r="AB61" s="1108"/>
    </row>
    <row r="62" spans="1:58" ht="15" customHeight="1">
      <c r="A62" s="1122"/>
      <c r="B62" s="1136" t="s">
        <v>17</v>
      </c>
      <c r="C62" s="142">
        <v>42064</v>
      </c>
      <c r="D62" s="143">
        <v>42246</v>
      </c>
      <c r="E62" s="419">
        <v>18.013000000000002</v>
      </c>
      <c r="F62" s="445">
        <f>8.894</f>
        <v>8.8940000000000001</v>
      </c>
      <c r="G62" s="419">
        <f>E62+F62</f>
        <v>26.907000000000004</v>
      </c>
      <c r="H62" s="420">
        <v>18.265000000000001</v>
      </c>
      <c r="I62" s="421">
        <f t="shared" si="157"/>
        <v>8.642000000000003</v>
      </c>
      <c r="J62" s="930">
        <f>E62+E63+F62+F63</f>
        <v>29.914000000000001</v>
      </c>
      <c r="K62" s="277">
        <v>64.67</v>
      </c>
      <c r="L62" s="422">
        <f>31.932</f>
        <v>31.931999999999999</v>
      </c>
      <c r="M62" s="421">
        <f>K62+L62</f>
        <v>96.602000000000004</v>
      </c>
      <c r="N62" s="709">
        <v>80.099999999999994</v>
      </c>
      <c r="O62" s="421">
        <f t="shared" si="158"/>
        <v>16.50200000000001</v>
      </c>
      <c r="P62" s="930">
        <f>K62+K63+L62+L63</f>
        <v>107.31800000000001</v>
      </c>
      <c r="Q62" s="440">
        <f t="shared" si="159"/>
        <v>82.683000000000007</v>
      </c>
      <c r="R62" s="443">
        <f t="shared" si="160"/>
        <v>40.826000000000001</v>
      </c>
      <c r="S62" s="421">
        <f>Q62+R62</f>
        <v>123.50900000000001</v>
      </c>
      <c r="T62" s="437">
        <f t="shared" si="156"/>
        <v>98.364999999999995</v>
      </c>
      <c r="U62" s="437">
        <f t="shared" si="161"/>
        <v>25.14400000000002</v>
      </c>
      <c r="V62" s="543">
        <f t="shared" si="162"/>
        <v>0.79641969411136015</v>
      </c>
      <c r="W62" s="1109">
        <f>Q62+Q63</f>
        <v>91.87</v>
      </c>
      <c r="X62" s="1104">
        <f t="shared" ref="X62" si="175">R62+R63</f>
        <v>45.362000000000002</v>
      </c>
      <c r="Y62" s="1023">
        <f t="shared" ref="Y62" si="176">W62+X62</f>
        <v>137.232</v>
      </c>
      <c r="Z62" s="1023">
        <f>T62+T63</f>
        <v>135.87700000000001</v>
      </c>
      <c r="AA62" s="930">
        <f t="shared" ref="AA62" si="177">Y62-Z62</f>
        <v>1.3549999999999898</v>
      </c>
      <c r="AB62" s="1141">
        <f t="shared" ref="AB62" si="178">Z62/Y62</f>
        <v>0.99012620963040698</v>
      </c>
    </row>
    <row r="63" spans="1:58" ht="15" customHeight="1">
      <c r="A63" s="1122"/>
      <c r="B63" s="1160"/>
      <c r="C63" s="144">
        <v>42278</v>
      </c>
      <c r="D63" s="145">
        <v>42368</v>
      </c>
      <c r="E63" s="434">
        <v>2.0129999999999999</v>
      </c>
      <c r="F63" s="544">
        <f>0.994</f>
        <v>0.99399999999999999</v>
      </c>
      <c r="G63" s="434">
        <f>E63+F63+I62</f>
        <v>11.649000000000003</v>
      </c>
      <c r="H63" s="436">
        <v>10.236000000000001</v>
      </c>
      <c r="I63" s="437">
        <f t="shared" si="157"/>
        <v>1.413000000000002</v>
      </c>
      <c r="J63" s="1030"/>
      <c r="K63" s="280">
        <v>7.1740000000000004</v>
      </c>
      <c r="L63" s="443">
        <f>3.542</f>
        <v>3.5419999999999998</v>
      </c>
      <c r="M63" s="437">
        <f>K63+L63+O62</f>
        <v>27.218000000000011</v>
      </c>
      <c r="N63" s="527">
        <v>27.276</v>
      </c>
      <c r="O63" s="437">
        <f t="shared" si="158"/>
        <v>-5.7999999999989171E-2</v>
      </c>
      <c r="P63" s="1030"/>
      <c r="Q63" s="440">
        <f t="shared" si="159"/>
        <v>9.1870000000000012</v>
      </c>
      <c r="R63" s="443">
        <f t="shared" si="160"/>
        <v>4.5359999999999996</v>
      </c>
      <c r="S63" s="437">
        <f>Q63+R63+U62</f>
        <v>38.867000000000019</v>
      </c>
      <c r="T63" s="437">
        <f t="shared" si="156"/>
        <v>37.512</v>
      </c>
      <c r="U63" s="437">
        <f t="shared" si="161"/>
        <v>1.3550000000000182</v>
      </c>
      <c r="V63" s="537">
        <f t="shared" si="162"/>
        <v>0.96513752026140387</v>
      </c>
      <c r="W63" s="1110"/>
      <c r="X63" s="1105"/>
      <c r="Y63" s="1024"/>
      <c r="Z63" s="1098"/>
      <c r="AA63" s="1030"/>
      <c r="AB63" s="1142"/>
    </row>
    <row r="64" spans="1:58" ht="15.75" customHeight="1">
      <c r="A64" s="1122"/>
      <c r="B64" s="1148" t="s">
        <v>29</v>
      </c>
      <c r="C64" s="142">
        <v>42064</v>
      </c>
      <c r="D64" s="143">
        <v>42246</v>
      </c>
      <c r="E64" s="419">
        <v>2.448</v>
      </c>
      <c r="F64" s="432">
        <f>-2.448</f>
        <v>-2.448</v>
      </c>
      <c r="G64" s="419">
        <f>E64+F64</f>
        <v>0</v>
      </c>
      <c r="H64" s="420"/>
      <c r="I64" s="421">
        <f t="shared" si="157"/>
        <v>0</v>
      </c>
      <c r="J64" s="930">
        <f>E64+E65+F64+F65</f>
        <v>0</v>
      </c>
      <c r="K64" s="277">
        <v>8.7910000000000004</v>
      </c>
      <c r="L64" s="433">
        <f>-8.791</f>
        <v>-8.7910000000000004</v>
      </c>
      <c r="M64" s="421">
        <f>K64+L64</f>
        <v>0</v>
      </c>
      <c r="N64" s="421"/>
      <c r="O64" s="421">
        <f t="shared" si="158"/>
        <v>0</v>
      </c>
      <c r="P64" s="930">
        <f>K64+K65+L64+L65</f>
        <v>0</v>
      </c>
      <c r="Q64" s="424">
        <f t="shared" si="159"/>
        <v>11.239000000000001</v>
      </c>
      <c r="R64" s="433">
        <f t="shared" si="160"/>
        <v>-11.239000000000001</v>
      </c>
      <c r="S64" s="421">
        <f>Q64+R64</f>
        <v>0</v>
      </c>
      <c r="T64" s="421">
        <f t="shared" si="156"/>
        <v>0</v>
      </c>
      <c r="U64" s="421">
        <f t="shared" si="161"/>
        <v>0</v>
      </c>
      <c r="V64" s="537" t="e">
        <f t="shared" si="162"/>
        <v>#DIV/0!</v>
      </c>
      <c r="W64" s="1109">
        <f t="shared" ref="W64" si="179">Q64+Q65</f>
        <v>12.488000000000001</v>
      </c>
      <c r="X64" s="1023">
        <f t="shared" ref="X64" si="180">R64+R65</f>
        <v>-12.488000000000001</v>
      </c>
      <c r="Y64" s="1023">
        <f t="shared" ref="Y64" si="181">W64+X64</f>
        <v>0</v>
      </c>
      <c r="Z64" s="1023">
        <f>T64+T65</f>
        <v>0</v>
      </c>
      <c r="AA64" s="930">
        <f t="shared" ref="AA64" si="182">Y64-Z64</f>
        <v>0</v>
      </c>
      <c r="AB64" s="1107" t="e">
        <f t="shared" ref="AB64" si="183">Z64/Y64</f>
        <v>#DIV/0!</v>
      </c>
    </row>
    <row r="65" spans="1:55">
      <c r="A65" s="1122"/>
      <c r="B65" s="1137"/>
      <c r="C65" s="144">
        <v>42278</v>
      </c>
      <c r="D65" s="145">
        <v>42368</v>
      </c>
      <c r="E65" s="434">
        <v>0.27400000000000002</v>
      </c>
      <c r="F65" s="435">
        <f>-0.274</f>
        <v>-0.27400000000000002</v>
      </c>
      <c r="G65" s="434">
        <f>E65+F65+I64</f>
        <v>0</v>
      </c>
      <c r="H65" s="436"/>
      <c r="I65" s="437">
        <f t="shared" si="157"/>
        <v>0</v>
      </c>
      <c r="J65" s="1030"/>
      <c r="K65" s="280">
        <v>0.97499999999999998</v>
      </c>
      <c r="L65" s="438">
        <f>-0.975</f>
        <v>-0.97499999999999998</v>
      </c>
      <c r="M65" s="437">
        <f>K65+L65+O64</f>
        <v>0</v>
      </c>
      <c r="N65" s="437"/>
      <c r="O65" s="437">
        <f t="shared" si="158"/>
        <v>0</v>
      </c>
      <c r="P65" s="1030"/>
      <c r="Q65" s="430">
        <f t="shared" si="159"/>
        <v>1.2490000000000001</v>
      </c>
      <c r="R65" s="441">
        <f t="shared" si="160"/>
        <v>-1.2490000000000001</v>
      </c>
      <c r="S65" s="437">
        <f>Q65+R65+U64</f>
        <v>0</v>
      </c>
      <c r="T65" s="427">
        <f t="shared" si="156"/>
        <v>0</v>
      </c>
      <c r="U65" s="427">
        <f t="shared" si="161"/>
        <v>0</v>
      </c>
      <c r="V65" s="542" t="e">
        <f t="shared" si="162"/>
        <v>#DIV/0!</v>
      </c>
      <c r="W65" s="1110"/>
      <c r="X65" s="1024"/>
      <c r="Y65" s="1024"/>
      <c r="Z65" s="1098"/>
      <c r="AA65" s="1030"/>
      <c r="AB65" s="1108"/>
    </row>
    <row r="66" spans="1:55">
      <c r="A66" s="1122"/>
      <c r="B66" s="1148" t="s">
        <v>34</v>
      </c>
      <c r="C66" s="142">
        <v>42064</v>
      </c>
      <c r="D66" s="143">
        <v>42246</v>
      </c>
      <c r="E66" s="419">
        <v>1.099</v>
      </c>
      <c r="F66" s="432">
        <f>-1.099</f>
        <v>-1.099</v>
      </c>
      <c r="G66" s="419">
        <f>E66+F66</f>
        <v>0</v>
      </c>
      <c r="H66" s="420"/>
      <c r="I66" s="421">
        <f t="shared" si="157"/>
        <v>0</v>
      </c>
      <c r="J66" s="930">
        <f>E66+E67+F66+F67</f>
        <v>0</v>
      </c>
      <c r="K66" s="277">
        <v>3.9460000000000002</v>
      </c>
      <c r="L66" s="433">
        <f>-3.946</f>
        <v>-3.9460000000000002</v>
      </c>
      <c r="M66" s="421">
        <f>K66+L66</f>
        <v>0</v>
      </c>
      <c r="N66" s="421"/>
      <c r="O66" s="421">
        <f t="shared" si="158"/>
        <v>0</v>
      </c>
      <c r="P66" s="930">
        <f>K66+K67+L66+L67</f>
        <v>0</v>
      </c>
      <c r="Q66" s="440">
        <f t="shared" si="159"/>
        <v>5.0449999999999999</v>
      </c>
      <c r="R66" s="438">
        <f t="shared" si="160"/>
        <v>-5.0449999999999999</v>
      </c>
      <c r="S66" s="421">
        <f>Q66+R66</f>
        <v>0</v>
      </c>
      <c r="T66" s="437">
        <f t="shared" si="156"/>
        <v>0</v>
      </c>
      <c r="U66" s="437">
        <f t="shared" si="161"/>
        <v>0</v>
      </c>
      <c r="V66" s="543" t="e">
        <f t="shared" si="162"/>
        <v>#DIV/0!</v>
      </c>
      <c r="W66" s="1109">
        <f t="shared" ref="W66" si="184">Q66+Q67</f>
        <v>5.6059999999999999</v>
      </c>
      <c r="X66" s="1023">
        <f t="shared" ref="X66" si="185">R66+R67</f>
        <v>-5.6059999999999999</v>
      </c>
      <c r="Y66" s="1023">
        <f t="shared" ref="Y66" si="186">W66+X66</f>
        <v>0</v>
      </c>
      <c r="Z66" s="1023">
        <f>T66+T67</f>
        <v>0</v>
      </c>
      <c r="AA66" s="930">
        <f t="shared" ref="AA66" si="187">Y66-Z66</f>
        <v>0</v>
      </c>
      <c r="AB66" s="1107" t="e">
        <f t="shared" ref="AB66" si="188">Z66/Y66</f>
        <v>#DIV/0!</v>
      </c>
    </row>
    <row r="67" spans="1:55">
      <c r="A67" s="1122"/>
      <c r="B67" s="1137"/>
      <c r="C67" s="144">
        <v>42278</v>
      </c>
      <c r="D67" s="145">
        <v>42368</v>
      </c>
      <c r="E67" s="434">
        <v>0.123</v>
      </c>
      <c r="F67" s="435">
        <f>-0.123</f>
        <v>-0.123</v>
      </c>
      <c r="G67" s="434">
        <f>E67+F67+I66</f>
        <v>0</v>
      </c>
      <c r="H67" s="436"/>
      <c r="I67" s="437">
        <f t="shared" si="157"/>
        <v>0</v>
      </c>
      <c r="J67" s="1030"/>
      <c r="K67" s="280">
        <v>0.438</v>
      </c>
      <c r="L67" s="438">
        <f>-0.438</f>
        <v>-0.438</v>
      </c>
      <c r="M67" s="437">
        <f>K67+L67+O66</f>
        <v>0</v>
      </c>
      <c r="N67" s="437"/>
      <c r="O67" s="437">
        <f t="shared" si="158"/>
        <v>0</v>
      </c>
      <c r="P67" s="1030"/>
      <c r="Q67" s="440">
        <f t="shared" si="159"/>
        <v>0.56099999999999994</v>
      </c>
      <c r="R67" s="438">
        <f t="shared" si="160"/>
        <v>-0.56099999999999994</v>
      </c>
      <c r="S67" s="437">
        <f>Q67+R67+U66</f>
        <v>0</v>
      </c>
      <c r="T67" s="437">
        <f t="shared" si="156"/>
        <v>0</v>
      </c>
      <c r="U67" s="437">
        <f t="shared" si="161"/>
        <v>0</v>
      </c>
      <c r="V67" s="537" t="e">
        <f t="shared" si="162"/>
        <v>#DIV/0!</v>
      </c>
      <c r="W67" s="1110"/>
      <c r="X67" s="1024"/>
      <c r="Y67" s="1024"/>
      <c r="Z67" s="1098"/>
      <c r="AA67" s="1030"/>
      <c r="AB67" s="1108"/>
    </row>
    <row r="68" spans="1:55">
      <c r="A68" s="1122"/>
      <c r="B68" s="1136" t="s">
        <v>157</v>
      </c>
      <c r="C68" s="142">
        <v>42064</v>
      </c>
      <c r="D68" s="143">
        <v>42246</v>
      </c>
      <c r="E68" s="419">
        <v>11.711</v>
      </c>
      <c r="F68" s="445">
        <f>1.099+2.448+9.848</f>
        <v>13.395</v>
      </c>
      <c r="G68" s="419">
        <f>E68+F68</f>
        <v>25.106000000000002</v>
      </c>
      <c r="H68" s="545"/>
      <c r="I68" s="421">
        <f t="shared" si="157"/>
        <v>25.106000000000002</v>
      </c>
      <c r="J68" s="930">
        <f>E68+E69+F68+F69</f>
        <v>27.913</v>
      </c>
      <c r="K68" s="277">
        <v>42.046999999999997</v>
      </c>
      <c r="L68" s="422">
        <f>3.946+8.791+35.357-0.1</f>
        <v>47.994</v>
      </c>
      <c r="M68" s="421">
        <f>K68+L68</f>
        <v>90.040999999999997</v>
      </c>
      <c r="N68" s="525">
        <v>67.603999999999999</v>
      </c>
      <c r="O68" s="421">
        <f t="shared" si="158"/>
        <v>22.436999999999998</v>
      </c>
      <c r="P68" s="930">
        <f>K68+K69+L68+L69</f>
        <v>100.0222</v>
      </c>
      <c r="Q68" s="424">
        <f t="shared" si="159"/>
        <v>53.757999999999996</v>
      </c>
      <c r="R68" s="422">
        <f>F68+L68</f>
        <v>61.388999999999996</v>
      </c>
      <c r="S68" s="421">
        <f>Q68+R68</f>
        <v>115.14699999999999</v>
      </c>
      <c r="T68" s="421">
        <f t="shared" si="156"/>
        <v>67.603999999999999</v>
      </c>
      <c r="U68" s="421">
        <f t="shared" si="161"/>
        <v>47.542999999999992</v>
      </c>
      <c r="V68" s="537">
        <f t="shared" si="162"/>
        <v>0.58711038932842374</v>
      </c>
      <c r="W68" s="1109">
        <f t="shared" ref="W68" si="189">Q68+Q69</f>
        <v>59.730999999999995</v>
      </c>
      <c r="X68" s="1104">
        <f t="shared" ref="X68" si="190">R68+R69</f>
        <v>68.2042</v>
      </c>
      <c r="Y68" s="1023">
        <f t="shared" ref="Y68" si="191">W68+X68</f>
        <v>127.93519999999999</v>
      </c>
      <c r="Z68" s="1023">
        <f>T68+T69</f>
        <v>68.688999999999993</v>
      </c>
      <c r="AA68" s="930">
        <f t="shared" ref="AA68" si="192">Y68-Z68</f>
        <v>59.246200000000002</v>
      </c>
      <c r="AB68" s="1107">
        <f t="shared" ref="AB68" si="193">Z68/Y68</f>
        <v>0.53690462046410992</v>
      </c>
    </row>
    <row r="69" spans="1:55">
      <c r="A69" s="1122"/>
      <c r="B69" s="1137"/>
      <c r="C69" s="144">
        <v>42278</v>
      </c>
      <c r="D69" s="145">
        <v>42368</v>
      </c>
      <c r="E69" s="434">
        <v>1.3089999999999999</v>
      </c>
      <c r="F69" s="544">
        <f>0.123+0.274+1.101</f>
        <v>1.498</v>
      </c>
      <c r="G69" s="434">
        <f>E69+F69+I68</f>
        <v>27.913</v>
      </c>
      <c r="H69" s="546"/>
      <c r="I69" s="437">
        <f t="shared" si="157"/>
        <v>27.913</v>
      </c>
      <c r="J69" s="1030"/>
      <c r="K69" s="280">
        <v>4.6639999999999997</v>
      </c>
      <c r="L69" s="443">
        <f>0.438+0.975+3.922-0.0178</f>
        <v>5.3171999999999997</v>
      </c>
      <c r="M69" s="437">
        <f>K69+L69+O68</f>
        <v>32.418199999999999</v>
      </c>
      <c r="N69" s="817">
        <v>1.085</v>
      </c>
      <c r="O69" s="437">
        <f t="shared" si="158"/>
        <v>31.333199999999998</v>
      </c>
      <c r="P69" s="1030"/>
      <c r="Q69" s="430">
        <f t="shared" si="159"/>
        <v>5.9729999999999999</v>
      </c>
      <c r="R69" s="428">
        <f>F69+L69</f>
        <v>6.8151999999999999</v>
      </c>
      <c r="S69" s="437">
        <f>Q69+R69+U68</f>
        <v>60.331199999999995</v>
      </c>
      <c r="T69" s="427">
        <f t="shared" si="156"/>
        <v>1.085</v>
      </c>
      <c r="U69" s="427">
        <f t="shared" si="161"/>
        <v>59.246199999999995</v>
      </c>
      <c r="V69" s="547">
        <f t="shared" si="162"/>
        <v>1.7984061314875222E-2</v>
      </c>
      <c r="W69" s="1110"/>
      <c r="X69" s="1105"/>
      <c r="Y69" s="1024"/>
      <c r="Z69" s="1098"/>
      <c r="AA69" s="1030"/>
      <c r="AB69" s="1108"/>
    </row>
    <row r="70" spans="1:55">
      <c r="A70" s="1122"/>
      <c r="B70" s="1138" t="s">
        <v>63</v>
      </c>
      <c r="C70" s="142">
        <v>42064</v>
      </c>
      <c r="D70" s="143">
        <v>42246</v>
      </c>
      <c r="E70" s="419">
        <v>18.247</v>
      </c>
      <c r="F70" s="432"/>
      <c r="G70" s="419">
        <f>E70+F70</f>
        <v>18.247</v>
      </c>
      <c r="H70" s="420"/>
      <c r="I70" s="421">
        <f t="shared" si="157"/>
        <v>18.247</v>
      </c>
      <c r="J70" s="930">
        <f>E70+E71+F70+F71</f>
        <v>20.286000000000001</v>
      </c>
      <c r="K70" s="277">
        <v>65.510999999999996</v>
      </c>
      <c r="L70" s="433"/>
      <c r="M70" s="421">
        <f>K70+L70</f>
        <v>65.510999999999996</v>
      </c>
      <c r="N70" s="421"/>
      <c r="O70" s="421">
        <f t="shared" si="158"/>
        <v>65.510999999999996</v>
      </c>
      <c r="P70" s="930">
        <f>K70+K71+L70+L71</f>
        <v>72.777999999999992</v>
      </c>
      <c r="Q70" s="424">
        <f t="shared" si="159"/>
        <v>83.757999999999996</v>
      </c>
      <c r="R70" s="535">
        <f>F70+L70</f>
        <v>0</v>
      </c>
      <c r="S70" s="421">
        <f>Q70+R70</f>
        <v>83.757999999999996</v>
      </c>
      <c r="T70" s="437">
        <f t="shared" si="156"/>
        <v>0</v>
      </c>
      <c r="U70" s="437">
        <f t="shared" si="161"/>
        <v>83.757999999999996</v>
      </c>
      <c r="V70" s="437">
        <f t="shared" si="162"/>
        <v>0</v>
      </c>
      <c r="W70" s="1109">
        <f t="shared" ref="W70" si="194">Q70+Q71</f>
        <v>93.063999999999993</v>
      </c>
      <c r="X70" s="1023">
        <f t="shared" ref="X70" si="195">R70+R71</f>
        <v>0</v>
      </c>
      <c r="Y70" s="1023">
        <f t="shared" ref="Y70" si="196">W70+X70</f>
        <v>93.063999999999993</v>
      </c>
      <c r="Z70" s="1023">
        <f>T70+T71</f>
        <v>55.347999999999999</v>
      </c>
      <c r="AA70" s="930">
        <f t="shared" ref="AA70" si="197">Y70-Z70</f>
        <v>37.715999999999994</v>
      </c>
      <c r="AB70" s="1107">
        <f t="shared" ref="AB70" si="198">Z70/Y70</f>
        <v>0.59473050803747962</v>
      </c>
    </row>
    <row r="71" spans="1:55">
      <c r="A71" s="1122"/>
      <c r="B71" s="1139"/>
      <c r="C71" s="144">
        <v>42278</v>
      </c>
      <c r="D71" s="145">
        <v>42368</v>
      </c>
      <c r="E71" s="434">
        <v>2.0390000000000001</v>
      </c>
      <c r="F71" s="435"/>
      <c r="G71" s="434">
        <f>E71+F71+I70</f>
        <v>20.286000000000001</v>
      </c>
      <c r="H71" s="436">
        <v>4.3579999999999997</v>
      </c>
      <c r="I71" s="437">
        <f t="shared" si="157"/>
        <v>15.928000000000001</v>
      </c>
      <c r="J71" s="1030"/>
      <c r="K71" s="280">
        <v>7.2670000000000003</v>
      </c>
      <c r="L71" s="438"/>
      <c r="M71" s="437">
        <f>K71+L71+O70</f>
        <v>72.777999999999992</v>
      </c>
      <c r="N71" s="821">
        <f>8.54+42.45</f>
        <v>50.99</v>
      </c>
      <c r="O71" s="437">
        <f t="shared" si="158"/>
        <v>21.78799999999999</v>
      </c>
      <c r="P71" s="1030"/>
      <c r="Q71" s="440">
        <f t="shared" si="159"/>
        <v>9.3060000000000009</v>
      </c>
      <c r="R71" s="535">
        <f>F71+L71</f>
        <v>0</v>
      </c>
      <c r="S71" s="437">
        <f>Q71+R71+U70</f>
        <v>93.063999999999993</v>
      </c>
      <c r="T71" s="437">
        <f t="shared" si="156"/>
        <v>55.347999999999999</v>
      </c>
      <c r="U71" s="437">
        <f t="shared" si="161"/>
        <v>37.715999999999994</v>
      </c>
      <c r="V71" s="421">
        <f t="shared" si="162"/>
        <v>0.59473050803747962</v>
      </c>
      <c r="W71" s="1110"/>
      <c r="X71" s="1024"/>
      <c r="Y71" s="1024"/>
      <c r="Z71" s="1098"/>
      <c r="AA71" s="1030"/>
      <c r="AB71" s="1108"/>
      <c r="AD71">
        <v>55.908999999999999</v>
      </c>
      <c r="AE71" s="682" t="s">
        <v>413</v>
      </c>
    </row>
    <row r="72" spans="1:55">
      <c r="A72" s="1122"/>
      <c r="B72" s="1138" t="s">
        <v>65</v>
      </c>
      <c r="C72" s="142">
        <v>42064</v>
      </c>
      <c r="D72" s="143">
        <v>42246</v>
      </c>
      <c r="E72" s="419">
        <v>8.8940000000000001</v>
      </c>
      <c r="F72" s="432">
        <f>-8.894</f>
        <v>-8.8940000000000001</v>
      </c>
      <c r="G72" s="419">
        <f>E72+F72</f>
        <v>0</v>
      </c>
      <c r="H72" s="420"/>
      <c r="I72" s="421">
        <f t="shared" si="157"/>
        <v>0</v>
      </c>
      <c r="J72" s="930">
        <f>E72+E73+F72+F73</f>
        <v>0</v>
      </c>
      <c r="K72" s="277">
        <v>31.931999999999999</v>
      </c>
      <c r="L72" s="433">
        <f>-31.932</f>
        <v>-31.931999999999999</v>
      </c>
      <c r="M72" s="421">
        <f>K72+L72</f>
        <v>0</v>
      </c>
      <c r="N72" s="421"/>
      <c r="O72" s="421">
        <f t="shared" si="158"/>
        <v>0</v>
      </c>
      <c r="P72" s="930">
        <f>K72+K73+L72+L73</f>
        <v>0</v>
      </c>
      <c r="Q72" s="424">
        <f t="shared" si="159"/>
        <v>40.826000000000001</v>
      </c>
      <c r="R72" s="533">
        <f t="shared" si="160"/>
        <v>-40.826000000000001</v>
      </c>
      <c r="S72" s="421">
        <f>Q72+R72</f>
        <v>0</v>
      </c>
      <c r="T72" s="421">
        <f t="shared" si="156"/>
        <v>0</v>
      </c>
      <c r="U72" s="421">
        <f t="shared" si="161"/>
        <v>0</v>
      </c>
      <c r="V72" s="421" t="e">
        <f t="shared" si="162"/>
        <v>#DIV/0!</v>
      </c>
      <c r="W72" s="1109">
        <f t="shared" ref="W72" si="199">Q72+Q73</f>
        <v>45.362000000000002</v>
      </c>
      <c r="X72" s="1023">
        <f t="shared" ref="X72" si="200">R72+R73</f>
        <v>-45.362000000000002</v>
      </c>
      <c r="Y72" s="1023">
        <f t="shared" ref="Y72" si="201">W72+X72</f>
        <v>0</v>
      </c>
      <c r="Z72" s="1023">
        <f>T72+T73</f>
        <v>0</v>
      </c>
      <c r="AA72" s="930">
        <f t="shared" ref="AA72" si="202">Y72-Z72</f>
        <v>0</v>
      </c>
      <c r="AB72" s="1107" t="e">
        <f t="shared" ref="AB72" si="203">Z72/Y72</f>
        <v>#DIV/0!</v>
      </c>
      <c r="AE72" s="682"/>
    </row>
    <row r="73" spans="1:55">
      <c r="A73" s="1122"/>
      <c r="B73" s="1140"/>
      <c r="C73" s="146">
        <v>42278</v>
      </c>
      <c r="D73" s="147">
        <v>42368</v>
      </c>
      <c r="E73" s="425">
        <v>0.99399999999999999</v>
      </c>
      <c r="F73" s="444">
        <f>-0.994</f>
        <v>-0.99399999999999999</v>
      </c>
      <c r="G73" s="425">
        <f>E73+F73+I72</f>
        <v>0</v>
      </c>
      <c r="H73" s="426"/>
      <c r="I73" s="427">
        <f t="shared" si="157"/>
        <v>0</v>
      </c>
      <c r="J73" s="931"/>
      <c r="K73" s="278">
        <v>3.5419999999999998</v>
      </c>
      <c r="L73" s="441">
        <f>-3.542</f>
        <v>-3.5419999999999998</v>
      </c>
      <c r="M73" s="427">
        <f>K73+L73+O72</f>
        <v>0</v>
      </c>
      <c r="N73" s="427"/>
      <c r="O73" s="427">
        <f t="shared" si="158"/>
        <v>0</v>
      </c>
      <c r="P73" s="931"/>
      <c r="Q73" s="430">
        <f t="shared" si="159"/>
        <v>4.5359999999999996</v>
      </c>
      <c r="R73" s="548">
        <f t="shared" si="160"/>
        <v>-4.5359999999999996</v>
      </c>
      <c r="S73" s="437">
        <f>Q73+R73+U72</f>
        <v>0</v>
      </c>
      <c r="T73" s="427">
        <f t="shared" si="156"/>
        <v>0</v>
      </c>
      <c r="U73" s="427">
        <f t="shared" si="161"/>
        <v>0</v>
      </c>
      <c r="V73" s="547" t="e">
        <f t="shared" si="162"/>
        <v>#DIV/0!</v>
      </c>
      <c r="W73" s="1110"/>
      <c r="X73" s="1024"/>
      <c r="Y73" s="1024"/>
      <c r="Z73" s="1024"/>
      <c r="AA73" s="1030"/>
      <c r="AB73" s="1108"/>
    </row>
    <row r="74" spans="1:55">
      <c r="A74" s="1122"/>
      <c r="B74" s="1119" t="s">
        <v>343</v>
      </c>
      <c r="C74" s="142">
        <v>42064</v>
      </c>
      <c r="D74" s="143">
        <v>42246</v>
      </c>
      <c r="E74" s="747">
        <v>0</v>
      </c>
      <c r="F74" s="432"/>
      <c r="G74" s="419">
        <f>E74+F74</f>
        <v>0</v>
      </c>
      <c r="H74" s="420"/>
      <c r="I74" s="421">
        <f t="shared" ref="I74:I75" si="204">G74-H74</f>
        <v>0</v>
      </c>
      <c r="J74" s="930">
        <f>E74+E75+F74+F75</f>
        <v>0</v>
      </c>
      <c r="K74" s="277">
        <v>0</v>
      </c>
      <c r="L74" s="578">
        <f>0.1</f>
        <v>0.1</v>
      </c>
      <c r="M74" s="421">
        <f>K74+L74</f>
        <v>0.1</v>
      </c>
      <c r="N74" s="421"/>
      <c r="O74" s="421">
        <f t="shared" ref="O74:O75" si="205">M74-N74</f>
        <v>0.1</v>
      </c>
      <c r="P74" s="930">
        <f>K74+K75+L74+L75</f>
        <v>0.1</v>
      </c>
      <c r="Q74" s="440">
        <f t="shared" si="159"/>
        <v>0</v>
      </c>
      <c r="R74" s="533">
        <f t="shared" ref="R74:R75" si="206">F74+L74</f>
        <v>0.1</v>
      </c>
      <c r="S74" s="421">
        <f>Q74+R74</f>
        <v>0.1</v>
      </c>
      <c r="T74" s="421">
        <f t="shared" ref="T74:T75" si="207">H74+N74</f>
        <v>0</v>
      </c>
      <c r="U74" s="421">
        <f t="shared" ref="U74:U75" si="208">S74-T74</f>
        <v>0.1</v>
      </c>
      <c r="V74" s="421">
        <f t="shared" ref="V74:V75" si="209">T74/S74</f>
        <v>0</v>
      </c>
      <c r="W74" s="1109">
        <f t="shared" ref="W74" si="210">Q74+Q75</f>
        <v>0</v>
      </c>
      <c r="X74" s="1104">
        <f t="shared" ref="X74" si="211">R74+R75</f>
        <v>0.1</v>
      </c>
      <c r="Y74" s="1023">
        <f t="shared" ref="Y74" si="212">W74+X74</f>
        <v>0.1</v>
      </c>
      <c r="Z74" s="1023">
        <f>T74+T75</f>
        <v>0</v>
      </c>
      <c r="AA74" s="930">
        <f t="shared" ref="AA74" si="213">Y74-Z74</f>
        <v>0.1</v>
      </c>
      <c r="AB74" s="1107">
        <f t="shared" ref="AB74" si="214">Z74/Y74</f>
        <v>0</v>
      </c>
    </row>
    <row r="75" spans="1:55">
      <c r="A75" s="1122"/>
      <c r="B75" s="1126"/>
      <c r="C75" s="146">
        <v>42278</v>
      </c>
      <c r="D75" s="147">
        <v>42368</v>
      </c>
      <c r="E75" s="748">
        <v>0</v>
      </c>
      <c r="F75" s="444"/>
      <c r="G75" s="425">
        <f>E75+F75+I74</f>
        <v>0</v>
      </c>
      <c r="H75" s="426"/>
      <c r="I75" s="427">
        <f t="shared" si="204"/>
        <v>0</v>
      </c>
      <c r="J75" s="931"/>
      <c r="K75" s="278">
        <v>0</v>
      </c>
      <c r="L75" s="441"/>
      <c r="M75" s="427">
        <f>K75+L75+O74</f>
        <v>0.1</v>
      </c>
      <c r="N75" s="427"/>
      <c r="O75" s="427">
        <f t="shared" si="205"/>
        <v>0.1</v>
      </c>
      <c r="P75" s="931"/>
      <c r="Q75" s="430">
        <f t="shared" si="159"/>
        <v>0</v>
      </c>
      <c r="R75" s="548">
        <f t="shared" si="206"/>
        <v>0</v>
      </c>
      <c r="S75" s="427">
        <f>Q75+R75+U74</f>
        <v>0.1</v>
      </c>
      <c r="T75" s="427">
        <f t="shared" si="207"/>
        <v>0</v>
      </c>
      <c r="U75" s="427">
        <f t="shared" si="208"/>
        <v>0.1</v>
      </c>
      <c r="V75" s="547">
        <f t="shared" si="209"/>
        <v>0</v>
      </c>
      <c r="W75" s="1110"/>
      <c r="X75" s="1105"/>
      <c r="Y75" s="1024"/>
      <c r="Z75" s="1024"/>
      <c r="AA75" s="1030"/>
      <c r="AB75" s="1108"/>
    </row>
    <row r="76" spans="1:55" s="34" customFormat="1">
      <c r="A76" s="1122"/>
      <c r="B76" s="1119" t="s">
        <v>31</v>
      </c>
      <c r="C76" s="142">
        <v>42064</v>
      </c>
      <c r="D76" s="143">
        <v>42246</v>
      </c>
      <c r="E76" s="747">
        <v>0</v>
      </c>
      <c r="F76" s="432"/>
      <c r="G76" s="419">
        <f>E76+F76</f>
        <v>0</v>
      </c>
      <c r="H76" s="420"/>
      <c r="I76" s="421">
        <f t="shared" ref="I76:I77" si="215">G76-H76</f>
        <v>0</v>
      </c>
      <c r="J76" s="930">
        <f>E76+E77+F76+F77</f>
        <v>0</v>
      </c>
      <c r="K76" s="277">
        <v>0</v>
      </c>
      <c r="L76" s="796">
        <f>0.0178</f>
        <v>1.78E-2</v>
      </c>
      <c r="M76" s="421">
        <f>K76+L76</f>
        <v>1.78E-2</v>
      </c>
      <c r="N76" s="421"/>
      <c r="O76" s="421">
        <f t="shared" ref="O76:O77" si="216">M76-N76</f>
        <v>1.78E-2</v>
      </c>
      <c r="P76" s="930">
        <f>K76+K77+L76+L77</f>
        <v>1.78E-2</v>
      </c>
      <c r="Q76" s="440">
        <f t="shared" ref="Q76:Q77" si="217">E76+K76</f>
        <v>0</v>
      </c>
      <c r="R76" s="796">
        <f>F76+L76</f>
        <v>1.78E-2</v>
      </c>
      <c r="S76" s="421">
        <f>Q76+R76</f>
        <v>1.78E-2</v>
      </c>
      <c r="T76" s="421">
        <f t="shared" ref="T76:T77" si="218">H76+N76</f>
        <v>0</v>
      </c>
      <c r="U76" s="421">
        <f t="shared" ref="U76:U77" si="219">S76-T76</f>
        <v>1.78E-2</v>
      </c>
      <c r="V76" s="421">
        <f t="shared" ref="V76:V77" si="220">T76/S76</f>
        <v>0</v>
      </c>
      <c r="W76" s="1109">
        <f t="shared" ref="W76" si="221">Q76+Q77</f>
        <v>0</v>
      </c>
      <c r="X76" s="1104">
        <f t="shared" ref="X76" si="222">R76+R77</f>
        <v>1.78E-2</v>
      </c>
      <c r="Y76" s="1023">
        <f t="shared" ref="Y76" si="223">W76+X76</f>
        <v>1.78E-2</v>
      </c>
      <c r="Z76" s="1023">
        <f>T76+T77</f>
        <v>0</v>
      </c>
      <c r="AA76" s="930">
        <f t="shared" ref="AA76" si="224">Y76-Z76</f>
        <v>1.78E-2</v>
      </c>
      <c r="AB76" s="1107">
        <f t="shared" ref="AB76" si="225">Z76/Y76</f>
        <v>0</v>
      </c>
      <c r="BB76" s="344"/>
      <c r="BC76" s="344"/>
    </row>
    <row r="77" spans="1:55" s="344" customFormat="1">
      <c r="A77" s="1122"/>
      <c r="B77" s="1120"/>
      <c r="C77" s="146">
        <v>42278</v>
      </c>
      <c r="D77" s="147">
        <v>42368</v>
      </c>
      <c r="E77" s="748">
        <v>0</v>
      </c>
      <c r="F77" s="444"/>
      <c r="G77" s="425">
        <f>E77+F77+I76</f>
        <v>0</v>
      </c>
      <c r="H77" s="426"/>
      <c r="I77" s="795">
        <f t="shared" si="215"/>
        <v>0</v>
      </c>
      <c r="J77" s="931"/>
      <c r="K77" s="278">
        <v>0</v>
      </c>
      <c r="L77" s="441"/>
      <c r="M77" s="795">
        <f>K77+L77+O76</f>
        <v>1.78E-2</v>
      </c>
      <c r="N77" s="795"/>
      <c r="O77" s="795">
        <f t="shared" si="216"/>
        <v>1.78E-2</v>
      </c>
      <c r="P77" s="931"/>
      <c r="Q77" s="430">
        <f t="shared" si="217"/>
        <v>0</v>
      </c>
      <c r="R77" s="548">
        <f>F77+L77</f>
        <v>0</v>
      </c>
      <c r="S77" s="795">
        <f>Q77+R77+U76</f>
        <v>1.78E-2</v>
      </c>
      <c r="T77" s="795">
        <f t="shared" si="218"/>
        <v>0</v>
      </c>
      <c r="U77" s="795">
        <f t="shared" si="219"/>
        <v>1.78E-2</v>
      </c>
      <c r="V77" s="547">
        <f t="shared" si="220"/>
        <v>0</v>
      </c>
      <c r="W77" s="1110"/>
      <c r="X77" s="1105"/>
      <c r="Y77" s="1024"/>
      <c r="Z77" s="1024"/>
      <c r="AA77" s="1030"/>
      <c r="AB77" s="1108"/>
    </row>
    <row r="78" spans="1:55" s="344" customFormat="1">
      <c r="A78" s="149"/>
      <c r="B78" s="303"/>
      <c r="C78" s="140"/>
      <c r="D78" s="140"/>
      <c r="E78" s="113"/>
      <c r="F78" s="113"/>
      <c r="G78" s="113"/>
      <c r="H78" s="113"/>
    </row>
    <row r="79" spans="1:55">
      <c r="A79" s="55"/>
      <c r="B79" s="55"/>
      <c r="C79" s="113"/>
      <c r="D79" s="93"/>
      <c r="E79" s="113"/>
      <c r="F79" s="113"/>
      <c r="G79" s="113"/>
      <c r="H79" s="118"/>
      <c r="AG79" s="45"/>
    </row>
    <row r="80" spans="1:55" ht="15.75">
      <c r="A80" s="55"/>
      <c r="B80" s="55"/>
      <c r="C80" s="968" t="s">
        <v>199</v>
      </c>
      <c r="D80" s="955"/>
      <c r="E80" s="1115" t="s">
        <v>205</v>
      </c>
      <c r="F80" s="1116"/>
      <c r="G80" s="1117"/>
      <c r="H80" s="1115" t="s">
        <v>206</v>
      </c>
      <c r="I80" s="1117"/>
      <c r="K80" s="1113" t="s">
        <v>207</v>
      </c>
      <c r="L80" s="1118"/>
      <c r="M80" s="1114"/>
      <c r="N80" s="1113" t="s">
        <v>208</v>
      </c>
      <c r="O80" s="1114"/>
      <c r="Q80" s="1115" t="s">
        <v>209</v>
      </c>
      <c r="R80" s="1116"/>
      <c r="S80" s="1117"/>
      <c r="T80" s="1115" t="s">
        <v>210</v>
      </c>
      <c r="U80" s="1117"/>
      <c r="W80" s="1106" t="s">
        <v>338</v>
      </c>
      <c r="X80" s="1106"/>
      <c r="Y80" s="1106"/>
      <c r="Z80" s="1106"/>
      <c r="AA80" s="1106"/>
      <c r="AB80" s="1106"/>
      <c r="AC80" s="1106" t="s">
        <v>337</v>
      </c>
      <c r="AD80" s="1106"/>
      <c r="AE80" s="1106"/>
      <c r="AF80" s="1106"/>
      <c r="AG80" s="1106"/>
      <c r="AH80" s="1106"/>
    </row>
    <row r="81" spans="1:35" ht="51.75" thickBot="1">
      <c r="A81" s="55"/>
      <c r="B81" s="119" t="s">
        <v>103</v>
      </c>
      <c r="C81" s="86" t="s">
        <v>197</v>
      </c>
      <c r="D81" s="86" t="s">
        <v>198</v>
      </c>
      <c r="E81" s="83" t="s">
        <v>200</v>
      </c>
      <c r="F81" s="83" t="s">
        <v>201</v>
      </c>
      <c r="G81" s="83" t="s">
        <v>202</v>
      </c>
      <c r="H81" s="87" t="s">
        <v>3</v>
      </c>
      <c r="I81" s="87" t="s">
        <v>4</v>
      </c>
      <c r="J81" s="98" t="s">
        <v>219</v>
      </c>
      <c r="K81" s="103" t="s">
        <v>200</v>
      </c>
      <c r="L81" s="103" t="s">
        <v>201</v>
      </c>
      <c r="M81" s="103" t="s">
        <v>202</v>
      </c>
      <c r="N81" s="104" t="s">
        <v>3</v>
      </c>
      <c r="O81" s="104" t="s">
        <v>4</v>
      </c>
      <c r="P81" s="111" t="s">
        <v>219</v>
      </c>
      <c r="Q81" s="105" t="s">
        <v>200</v>
      </c>
      <c r="R81" s="105" t="s">
        <v>201</v>
      </c>
      <c r="S81" s="105" t="s">
        <v>202</v>
      </c>
      <c r="T81" s="106" t="s">
        <v>3</v>
      </c>
      <c r="U81" s="106" t="s">
        <v>4</v>
      </c>
      <c r="V81" s="151" t="s">
        <v>219</v>
      </c>
      <c r="W81" s="557" t="s">
        <v>224</v>
      </c>
      <c r="X81" s="558" t="s">
        <v>257</v>
      </c>
      <c r="Y81" s="559" t="s">
        <v>202</v>
      </c>
      <c r="Z81" s="560" t="s">
        <v>225</v>
      </c>
      <c r="AA81" s="560" t="s">
        <v>4</v>
      </c>
      <c r="AB81" s="560" t="s">
        <v>5</v>
      </c>
      <c r="AC81" s="561" t="s">
        <v>219</v>
      </c>
      <c r="AD81" s="558" t="s">
        <v>257</v>
      </c>
      <c r="AE81" s="558" t="s">
        <v>202</v>
      </c>
      <c r="AF81" s="562" t="s">
        <v>3</v>
      </c>
      <c r="AG81" s="562" t="s">
        <v>4</v>
      </c>
      <c r="AH81" s="563" t="s">
        <v>5</v>
      </c>
      <c r="AI81" s="45"/>
    </row>
    <row r="82" spans="1:35">
      <c r="A82" s="1123" t="s">
        <v>341</v>
      </c>
      <c r="B82" s="1111" t="s">
        <v>33</v>
      </c>
      <c r="C82" s="139">
        <v>42064</v>
      </c>
      <c r="D82" s="143">
        <v>42246</v>
      </c>
      <c r="E82" s="419">
        <v>1.2629999999999999</v>
      </c>
      <c r="F82" s="419"/>
      <c r="G82" s="419">
        <f>E82+F82</f>
        <v>1.2629999999999999</v>
      </c>
      <c r="H82" s="420"/>
      <c r="I82" s="525">
        <f>G82-H82</f>
        <v>1.2629999999999999</v>
      </c>
      <c r="J82" s="930">
        <f>E82+E83+F82+F83</f>
        <v>1.516</v>
      </c>
      <c r="K82" s="421">
        <v>7.8310000000000004</v>
      </c>
      <c r="L82" s="421"/>
      <c r="M82" s="421">
        <f>K82+L82</f>
        <v>7.8310000000000004</v>
      </c>
      <c r="N82" s="421"/>
      <c r="O82" s="421">
        <f>M82-N82</f>
        <v>7.8310000000000004</v>
      </c>
      <c r="P82" s="1109">
        <f>K82+K83+L82+L83</f>
        <v>8.8410000000000011</v>
      </c>
      <c r="Q82" s="421">
        <v>5.5570000000000004</v>
      </c>
      <c r="R82" s="728">
        <f>15</f>
        <v>15</v>
      </c>
      <c r="S82" s="442">
        <f>Q82+R82</f>
        <v>20.557000000000002</v>
      </c>
      <c r="T82" s="758"/>
      <c r="U82" s="442">
        <f>S82-T82</f>
        <v>20.557000000000002</v>
      </c>
      <c r="V82" s="930">
        <f>Q82+Q83+R82+R83</f>
        <v>21.315000000000001</v>
      </c>
      <c r="W82" s="549">
        <f>E82+K82+Q82</f>
        <v>14.651000000000002</v>
      </c>
      <c r="X82" s="535">
        <f>L82+R82+F82</f>
        <v>15</v>
      </c>
      <c r="Y82" s="550">
        <f>W82+X82</f>
        <v>29.651000000000003</v>
      </c>
      <c r="Z82" s="550">
        <f t="shared" ref="Z82:Z91" si="226">H82+N82+T82</f>
        <v>0</v>
      </c>
      <c r="AA82" s="550">
        <f t="shared" ref="AA82:AA91" si="227">Y82-Z82</f>
        <v>29.651000000000003</v>
      </c>
      <c r="AB82" s="550">
        <f t="shared" ref="AB82:AB92" si="228">Z82/Y82</f>
        <v>0</v>
      </c>
      <c r="AC82" s="1102">
        <f>W82+W83</f>
        <v>16.672000000000001</v>
      </c>
      <c r="AD82" s="1102">
        <f>X82+X83</f>
        <v>15</v>
      </c>
      <c r="AE82" s="1102">
        <f>AC82+AD82</f>
        <v>31.672000000000001</v>
      </c>
      <c r="AF82" s="1102">
        <f>Z82+Z83</f>
        <v>17.475000000000001</v>
      </c>
      <c r="AG82" s="1102">
        <f>AE82-AF82</f>
        <v>14.196999999999999</v>
      </c>
      <c r="AH82" s="1103">
        <f>AF82/AE82</f>
        <v>0.55174917908562771</v>
      </c>
    </row>
    <row r="83" spans="1:35">
      <c r="A83" s="1123"/>
      <c r="B83" s="1112"/>
      <c r="C83" s="140">
        <v>42278</v>
      </c>
      <c r="D83" s="145">
        <v>42368</v>
      </c>
      <c r="E83" s="434">
        <v>0.253</v>
      </c>
      <c r="F83" s="434"/>
      <c r="G83" s="434">
        <f>E83+F83+I82</f>
        <v>1.516</v>
      </c>
      <c r="H83" s="436"/>
      <c r="I83" s="527">
        <f t="shared" ref="I83:I91" si="229">G83-H83</f>
        <v>1.516</v>
      </c>
      <c r="J83" s="1030"/>
      <c r="K83" s="437">
        <v>1.01</v>
      </c>
      <c r="L83" s="437"/>
      <c r="M83" s="437">
        <f>K83+L83+O82</f>
        <v>8.8410000000000011</v>
      </c>
      <c r="N83" s="437"/>
      <c r="O83" s="437">
        <f t="shared" ref="O83:O91" si="230">M83-N83</f>
        <v>8.8410000000000011</v>
      </c>
      <c r="P83" s="1110"/>
      <c r="Q83" s="437">
        <v>0.75800000000000001</v>
      </c>
      <c r="R83" s="273"/>
      <c r="S83" s="457">
        <f>Q83+R83+U82</f>
        <v>21.315000000000001</v>
      </c>
      <c r="T83" s="759">
        <v>17.475000000000001</v>
      </c>
      <c r="U83" s="457">
        <f t="shared" ref="U83:U91" si="231">S83-T83</f>
        <v>3.84</v>
      </c>
      <c r="V83" s="1030"/>
      <c r="W83" s="551">
        <f t="shared" ref="W83:W91" si="232">E83+K83+Q83</f>
        <v>2.0209999999999999</v>
      </c>
      <c r="X83" s="535">
        <f t="shared" ref="X83:X91" si="233">L83+R83+F83</f>
        <v>0</v>
      </c>
      <c r="Y83" s="437">
        <f>W83+X83+AA82</f>
        <v>31.672000000000004</v>
      </c>
      <c r="Z83" s="437">
        <f t="shared" si="226"/>
        <v>17.475000000000001</v>
      </c>
      <c r="AA83" s="437">
        <f t="shared" si="227"/>
        <v>14.197000000000003</v>
      </c>
      <c r="AB83" s="437">
        <f t="shared" si="228"/>
        <v>0.55174917908562771</v>
      </c>
      <c r="AC83" s="1102"/>
      <c r="AD83" s="1102"/>
      <c r="AE83" s="1102"/>
      <c r="AF83" s="1102"/>
      <c r="AG83" s="1102"/>
      <c r="AH83" s="1103"/>
    </row>
    <row r="84" spans="1:35">
      <c r="A84" s="1123"/>
      <c r="B84" s="1111" t="s">
        <v>28</v>
      </c>
      <c r="C84" s="139">
        <v>42064</v>
      </c>
      <c r="D84" s="143">
        <v>42246</v>
      </c>
      <c r="E84" s="419">
        <v>2.528</v>
      </c>
      <c r="F84" s="419"/>
      <c r="G84" s="419">
        <f>E84+F84</f>
        <v>2.528</v>
      </c>
      <c r="H84" s="420"/>
      <c r="I84" s="525">
        <f t="shared" si="229"/>
        <v>2.528</v>
      </c>
      <c r="J84" s="930">
        <f>E84+E85+F84+F85</f>
        <v>3.0339999999999998</v>
      </c>
      <c r="K84" s="421">
        <v>15.676</v>
      </c>
      <c r="L84" s="421"/>
      <c r="M84" s="421">
        <f>K84+L84</f>
        <v>15.676</v>
      </c>
      <c r="N84" s="421"/>
      <c r="O84" s="421">
        <f t="shared" si="230"/>
        <v>15.676</v>
      </c>
      <c r="P84" s="1109">
        <f>K84+K85+L84+L85</f>
        <v>17.699000000000002</v>
      </c>
      <c r="Q84" s="421">
        <v>11.125</v>
      </c>
      <c r="R84" s="589">
        <f>-1-0.2+76.65</f>
        <v>75.45</v>
      </c>
      <c r="S84" s="421">
        <f>Q84+R84</f>
        <v>86.575000000000003</v>
      </c>
      <c r="T84" s="537">
        <v>17.625</v>
      </c>
      <c r="U84" s="421">
        <f t="shared" si="231"/>
        <v>68.95</v>
      </c>
      <c r="V84" s="930">
        <f>Q84+Q85+R84+R85</f>
        <v>88.091999999999999</v>
      </c>
      <c r="W84" s="552">
        <f t="shared" si="232"/>
        <v>29.329000000000001</v>
      </c>
      <c r="X84" s="433">
        <f t="shared" si="233"/>
        <v>75.45</v>
      </c>
      <c r="Y84" s="421">
        <f>W84+X84</f>
        <v>104.779</v>
      </c>
      <c r="Z84" s="421">
        <f t="shared" si="226"/>
        <v>17.625</v>
      </c>
      <c r="AA84" s="421">
        <f t="shared" si="227"/>
        <v>87.153999999999996</v>
      </c>
      <c r="AB84" s="421">
        <f t="shared" si="228"/>
        <v>0.16821118735624505</v>
      </c>
      <c r="AC84" s="1102">
        <f t="shared" ref="AC84" si="234">W84+W85</f>
        <v>33.375</v>
      </c>
      <c r="AD84" s="1102">
        <f t="shared" ref="AD84" si="235">X84+X85</f>
        <v>75.45</v>
      </c>
      <c r="AE84" s="1102">
        <f t="shared" ref="AE84" si="236">AC84+AD84</f>
        <v>108.825</v>
      </c>
      <c r="AF84" s="1102">
        <f>Z84+Z85</f>
        <v>25.416</v>
      </c>
      <c r="AG84" s="1102">
        <f t="shared" ref="AG84" si="237">AE84-AF84</f>
        <v>83.409000000000006</v>
      </c>
      <c r="AH84" s="1103">
        <f t="shared" ref="AH84" si="238">AF84/AE84</f>
        <v>0.23354927636113026</v>
      </c>
    </row>
    <row r="85" spans="1:35">
      <c r="A85" s="1123"/>
      <c r="B85" s="1112"/>
      <c r="C85" s="140">
        <v>42278</v>
      </c>
      <c r="D85" s="145">
        <v>42368</v>
      </c>
      <c r="E85" s="434">
        <v>0.50600000000000001</v>
      </c>
      <c r="F85" s="434"/>
      <c r="G85" s="434">
        <f>E85+F85+I84</f>
        <v>3.0339999999999998</v>
      </c>
      <c r="H85" s="436"/>
      <c r="I85" s="527">
        <f t="shared" si="229"/>
        <v>3.0339999999999998</v>
      </c>
      <c r="J85" s="1030"/>
      <c r="K85" s="280">
        <v>2.0230000000000001</v>
      </c>
      <c r="L85" s="437"/>
      <c r="M85" s="437">
        <f>K85+L85+O84</f>
        <v>17.699000000000002</v>
      </c>
      <c r="N85" s="437"/>
      <c r="O85" s="437">
        <f t="shared" si="230"/>
        <v>17.699000000000002</v>
      </c>
      <c r="P85" s="1110"/>
      <c r="Q85" s="280">
        <v>1.5169999999999999</v>
      </c>
      <c r="R85" s="553"/>
      <c r="S85" s="437">
        <f>Q85+R85+U84</f>
        <v>70.466999999999999</v>
      </c>
      <c r="T85" s="543">
        <v>7.7910000000000004</v>
      </c>
      <c r="U85" s="437">
        <f t="shared" si="231"/>
        <v>62.676000000000002</v>
      </c>
      <c r="V85" s="1030"/>
      <c r="W85" s="551">
        <f t="shared" si="232"/>
        <v>4.0459999999999994</v>
      </c>
      <c r="X85" s="535">
        <f t="shared" si="233"/>
        <v>0</v>
      </c>
      <c r="Y85" s="427">
        <f>W85+X85+AA84</f>
        <v>91.199999999999989</v>
      </c>
      <c r="Z85" s="437">
        <f t="shared" si="226"/>
        <v>7.7910000000000004</v>
      </c>
      <c r="AA85" s="437">
        <f t="shared" si="227"/>
        <v>83.408999999999992</v>
      </c>
      <c r="AB85" s="437">
        <f t="shared" si="228"/>
        <v>8.542763157894738E-2</v>
      </c>
      <c r="AC85" s="1102"/>
      <c r="AD85" s="1102"/>
      <c r="AE85" s="1102"/>
      <c r="AF85" s="1102"/>
      <c r="AG85" s="1102"/>
      <c r="AH85" s="1103"/>
    </row>
    <row r="86" spans="1:35" ht="15" customHeight="1">
      <c r="A86" s="1123"/>
      <c r="B86" s="1144" t="s">
        <v>69</v>
      </c>
      <c r="C86" s="139">
        <v>42064</v>
      </c>
      <c r="D86" s="143">
        <v>42246</v>
      </c>
      <c r="E86" s="419">
        <v>0.57599999999999996</v>
      </c>
      <c r="F86" s="445">
        <f>0.526</f>
        <v>0.52600000000000002</v>
      </c>
      <c r="G86" s="419">
        <f>E86+F86</f>
        <v>1.1019999999999999</v>
      </c>
      <c r="H86" s="420"/>
      <c r="I86" s="525">
        <f t="shared" si="229"/>
        <v>1.1019999999999999</v>
      </c>
      <c r="J86" s="930">
        <f>E86+E87+F86+F87</f>
        <v>1.3220000000000001</v>
      </c>
      <c r="K86" s="421">
        <v>3.5710000000000002</v>
      </c>
      <c r="L86" s="521">
        <f>3.264</f>
        <v>3.2639999999999998</v>
      </c>
      <c r="M86" s="421">
        <f>K86+L86</f>
        <v>6.835</v>
      </c>
      <c r="N86" s="421"/>
      <c r="O86" s="421">
        <f t="shared" si="230"/>
        <v>6.835</v>
      </c>
      <c r="P86" s="1109">
        <f>K86+K87+L86+L87</f>
        <v>7.7169999999999996</v>
      </c>
      <c r="Q86" s="421">
        <v>2.5339999999999998</v>
      </c>
      <c r="R86" s="625">
        <f>0.01+2.316</f>
        <v>2.3259999999999996</v>
      </c>
      <c r="S86" s="421">
        <f>Q86+R86</f>
        <v>4.8599999999999994</v>
      </c>
      <c r="T86" s="537"/>
      <c r="U86" s="421">
        <f t="shared" si="231"/>
        <v>4.8599999999999994</v>
      </c>
      <c r="V86" s="930">
        <f>Q86+Q87+R86+R87</f>
        <v>5.5219999999999994</v>
      </c>
      <c r="W86" s="552">
        <f t="shared" si="232"/>
        <v>6.681</v>
      </c>
      <c r="X86" s="422">
        <f t="shared" si="233"/>
        <v>6.1159999999999997</v>
      </c>
      <c r="Y86" s="421">
        <f>W86+X86</f>
        <v>12.797000000000001</v>
      </c>
      <c r="Z86" s="421">
        <f t="shared" si="226"/>
        <v>0</v>
      </c>
      <c r="AA86" s="421">
        <f t="shared" si="227"/>
        <v>12.797000000000001</v>
      </c>
      <c r="AB86" s="421">
        <f t="shared" si="228"/>
        <v>0</v>
      </c>
      <c r="AC86" s="1102">
        <f t="shared" ref="AC86" si="239">W86+W87</f>
        <v>7.6029999999999998</v>
      </c>
      <c r="AD86" s="1125">
        <f t="shared" ref="AD86" si="240">X86+X87</f>
        <v>6.9579999999999993</v>
      </c>
      <c r="AE86" s="1102">
        <f t="shared" ref="AE86" si="241">AC86+AD86</f>
        <v>14.561</v>
      </c>
      <c r="AF86" s="1102">
        <f>Z86+Z87</f>
        <v>0</v>
      </c>
      <c r="AG86" s="1102">
        <f t="shared" ref="AG86" si="242">AE86-AF86</f>
        <v>14.561</v>
      </c>
      <c r="AH86" s="1103">
        <f t="shared" ref="AH86" si="243">AF86/AE86</f>
        <v>0</v>
      </c>
    </row>
    <row r="87" spans="1:35" ht="15" customHeight="1">
      <c r="A87" s="1123"/>
      <c r="B87" s="1145"/>
      <c r="C87" s="140">
        <v>42278</v>
      </c>
      <c r="D87" s="145">
        <v>42368</v>
      </c>
      <c r="E87" s="434">
        <v>0.115</v>
      </c>
      <c r="F87" s="544">
        <f>0.105</f>
        <v>0.105</v>
      </c>
      <c r="G87" s="434">
        <f>E87+F87+I86</f>
        <v>1.3219999999999998</v>
      </c>
      <c r="H87" s="436"/>
      <c r="I87" s="527">
        <f t="shared" si="229"/>
        <v>1.3219999999999998</v>
      </c>
      <c r="J87" s="1030"/>
      <c r="K87" s="280">
        <v>0.46100000000000002</v>
      </c>
      <c r="L87" s="554">
        <f>0.421</f>
        <v>0.42099999999999999</v>
      </c>
      <c r="M87" s="437">
        <f>K87+L87+O86</f>
        <v>7.7169999999999996</v>
      </c>
      <c r="N87" s="437"/>
      <c r="O87" s="437">
        <f t="shared" si="230"/>
        <v>7.7169999999999996</v>
      </c>
      <c r="P87" s="1110"/>
      <c r="Q87" s="280">
        <v>0.34599999999999997</v>
      </c>
      <c r="R87" s="443">
        <f>0.316</f>
        <v>0.316</v>
      </c>
      <c r="S87" s="437">
        <f>Q87+R87+U86</f>
        <v>5.5219999999999994</v>
      </c>
      <c r="T87" s="543"/>
      <c r="U87" s="437">
        <f t="shared" si="231"/>
        <v>5.5219999999999994</v>
      </c>
      <c r="V87" s="1030"/>
      <c r="W87" s="551">
        <f t="shared" si="232"/>
        <v>0.92200000000000004</v>
      </c>
      <c r="X87" s="443">
        <f t="shared" si="233"/>
        <v>0.84199999999999997</v>
      </c>
      <c r="Y87" s="437">
        <f>W87+X87+AA86</f>
        <v>14.561</v>
      </c>
      <c r="Z87" s="437">
        <f t="shared" si="226"/>
        <v>0</v>
      </c>
      <c r="AA87" s="437">
        <f t="shared" si="227"/>
        <v>14.561</v>
      </c>
      <c r="AB87" s="437">
        <f t="shared" si="228"/>
        <v>0</v>
      </c>
      <c r="AC87" s="1102"/>
      <c r="AD87" s="1125"/>
      <c r="AE87" s="1102"/>
      <c r="AF87" s="1102"/>
      <c r="AG87" s="1102"/>
      <c r="AH87" s="1103"/>
    </row>
    <row r="88" spans="1:35">
      <c r="A88" s="1123"/>
      <c r="B88" s="1119" t="s">
        <v>63</v>
      </c>
      <c r="C88" s="139">
        <v>42064</v>
      </c>
      <c r="D88" s="143">
        <v>42246</v>
      </c>
      <c r="E88" s="419">
        <v>0.106</v>
      </c>
      <c r="F88" s="432"/>
      <c r="G88" s="419">
        <f>E88+F88</f>
        <v>0.106</v>
      </c>
      <c r="H88" s="420"/>
      <c r="I88" s="525">
        <f t="shared" si="229"/>
        <v>0.106</v>
      </c>
      <c r="J88" s="930">
        <f>E88+E89+F88+F89</f>
        <v>0.127</v>
      </c>
      <c r="K88" s="421">
        <v>0.65900000000000003</v>
      </c>
      <c r="L88" s="534"/>
      <c r="M88" s="421">
        <f>K88+L88</f>
        <v>0.65900000000000003</v>
      </c>
      <c r="N88" s="421"/>
      <c r="O88" s="421">
        <f t="shared" si="230"/>
        <v>0.65900000000000003</v>
      </c>
      <c r="P88" s="1109">
        <f>K88+K89+L88+L89</f>
        <v>0.74399999999999999</v>
      </c>
      <c r="Q88" s="421">
        <v>0.46800000000000003</v>
      </c>
      <c r="R88" s="433"/>
      <c r="S88" s="421">
        <f>Q88+R88</f>
        <v>0.46800000000000003</v>
      </c>
      <c r="T88" s="537"/>
      <c r="U88" s="421">
        <f t="shared" si="231"/>
        <v>0.46800000000000003</v>
      </c>
      <c r="V88" s="930">
        <f>Q88+Q89+R88+R89</f>
        <v>0.53200000000000003</v>
      </c>
      <c r="W88" s="552">
        <f>E88+K88+Q88</f>
        <v>1.2330000000000001</v>
      </c>
      <c r="X88" s="533">
        <f t="shared" si="233"/>
        <v>0</v>
      </c>
      <c r="Y88" s="421">
        <f>W88+X88</f>
        <v>1.2330000000000001</v>
      </c>
      <c r="Z88" s="421">
        <f t="shared" si="226"/>
        <v>0</v>
      </c>
      <c r="AA88" s="421">
        <f t="shared" si="227"/>
        <v>1.2330000000000001</v>
      </c>
      <c r="AB88" s="421">
        <f t="shared" si="228"/>
        <v>0</v>
      </c>
      <c r="AC88" s="1102">
        <f t="shared" ref="AC88" si="244">W88+W89</f>
        <v>1.403</v>
      </c>
      <c r="AD88" s="1102">
        <f t="shared" ref="AD88" si="245">X88+X89</f>
        <v>0</v>
      </c>
      <c r="AE88" s="1102">
        <f t="shared" ref="AE88" si="246">AC88+AD88</f>
        <v>1.403</v>
      </c>
      <c r="AF88" s="1102">
        <f>Z88+Z89</f>
        <v>0.94199999999999995</v>
      </c>
      <c r="AG88" s="1102">
        <f t="shared" ref="AG88" si="247">AE88-AF88</f>
        <v>0.46100000000000008</v>
      </c>
      <c r="AH88" s="1103">
        <f t="shared" ref="AH88" si="248">AF88/AE88</f>
        <v>0.67141838916607266</v>
      </c>
    </row>
    <row r="89" spans="1:35">
      <c r="A89" s="1123"/>
      <c r="B89" s="1146"/>
      <c r="C89" s="140">
        <v>42278</v>
      </c>
      <c r="D89" s="145">
        <v>42368</v>
      </c>
      <c r="E89" s="434">
        <v>2.1000000000000001E-2</v>
      </c>
      <c r="F89" s="435"/>
      <c r="G89" s="434">
        <f>E89+F89+I88</f>
        <v>0.127</v>
      </c>
      <c r="H89" s="436"/>
      <c r="I89" s="527">
        <f t="shared" si="229"/>
        <v>0.127</v>
      </c>
      <c r="J89" s="1030"/>
      <c r="K89" s="280">
        <v>8.5000000000000006E-2</v>
      </c>
      <c r="L89" s="536"/>
      <c r="M89" s="437">
        <f>K89+L89+O88</f>
        <v>0.74399999999999999</v>
      </c>
      <c r="N89" s="437"/>
      <c r="O89" s="437">
        <f t="shared" si="230"/>
        <v>0.74399999999999999</v>
      </c>
      <c r="P89" s="1110"/>
      <c r="Q89" s="280">
        <v>6.4000000000000001E-2</v>
      </c>
      <c r="R89" s="438"/>
      <c r="S89" s="437">
        <f>Q89+R89+U88</f>
        <v>0.53200000000000003</v>
      </c>
      <c r="T89" s="543">
        <v>0.94199999999999995</v>
      </c>
      <c r="U89" s="437">
        <f t="shared" si="231"/>
        <v>-0.40999999999999992</v>
      </c>
      <c r="V89" s="1030"/>
      <c r="W89" s="555">
        <f>E89+K89+Q89</f>
        <v>0.17</v>
      </c>
      <c r="X89" s="548">
        <f t="shared" si="233"/>
        <v>0</v>
      </c>
      <c r="Y89" s="427">
        <f>W89+X89+AA88</f>
        <v>1.403</v>
      </c>
      <c r="Z89" s="427">
        <f t="shared" si="226"/>
        <v>0.94199999999999995</v>
      </c>
      <c r="AA89" s="427">
        <f t="shared" si="227"/>
        <v>0.46100000000000008</v>
      </c>
      <c r="AB89" s="427">
        <f t="shared" si="228"/>
        <v>0.67141838916607266</v>
      </c>
      <c r="AC89" s="1102"/>
      <c r="AD89" s="1102"/>
      <c r="AE89" s="1102"/>
      <c r="AF89" s="1102"/>
      <c r="AG89" s="1102"/>
      <c r="AH89" s="1103"/>
    </row>
    <row r="90" spans="1:35">
      <c r="A90" s="1123"/>
      <c r="B90" s="1119" t="s">
        <v>65</v>
      </c>
      <c r="C90" s="139">
        <v>42064</v>
      </c>
      <c r="D90" s="143">
        <v>42246</v>
      </c>
      <c r="E90" s="419">
        <v>0.52600000000000002</v>
      </c>
      <c r="F90" s="432">
        <f>-0.526</f>
        <v>-0.52600000000000002</v>
      </c>
      <c r="G90" s="419">
        <f>E90+F90</f>
        <v>0</v>
      </c>
      <c r="H90" s="420"/>
      <c r="I90" s="525">
        <f t="shared" si="229"/>
        <v>0</v>
      </c>
      <c r="J90" s="930">
        <f>E90+E91+F90+F91</f>
        <v>0</v>
      </c>
      <c r="K90" s="421">
        <v>3.2639999999999998</v>
      </c>
      <c r="L90" s="534">
        <f>-3.264</f>
        <v>-3.2639999999999998</v>
      </c>
      <c r="M90" s="421">
        <f>K90+L90</f>
        <v>0</v>
      </c>
      <c r="N90" s="421"/>
      <c r="O90" s="421">
        <f t="shared" si="230"/>
        <v>0</v>
      </c>
      <c r="P90" s="1109">
        <f>K90+K91+L90+L91</f>
        <v>0</v>
      </c>
      <c r="Q90" s="421">
        <v>2.3159999999999998</v>
      </c>
      <c r="R90" s="433">
        <f>-2.316</f>
        <v>-2.3159999999999998</v>
      </c>
      <c r="S90" s="421">
        <f>Q90+R90</f>
        <v>0</v>
      </c>
      <c r="T90" s="537"/>
      <c r="U90" s="421">
        <f t="shared" si="231"/>
        <v>0</v>
      </c>
      <c r="V90" s="930">
        <f>Q90+Q91+R90+R91</f>
        <v>0</v>
      </c>
      <c r="W90" s="552">
        <f t="shared" si="232"/>
        <v>6.1059999999999999</v>
      </c>
      <c r="X90" s="533">
        <f t="shared" si="233"/>
        <v>-6.1059999999999999</v>
      </c>
      <c r="Y90" s="421">
        <f>W90+X90</f>
        <v>0</v>
      </c>
      <c r="Z90" s="421">
        <f t="shared" si="226"/>
        <v>0</v>
      </c>
      <c r="AA90" s="421">
        <f t="shared" si="227"/>
        <v>0</v>
      </c>
      <c r="AB90" s="421" t="e">
        <f t="shared" si="228"/>
        <v>#DIV/0!</v>
      </c>
      <c r="AC90" s="1102">
        <f t="shared" ref="AC90" si="249">W90+W91</f>
        <v>6.9480000000000004</v>
      </c>
      <c r="AD90" s="1102">
        <f t="shared" ref="AD90" si="250">X90+X91</f>
        <v>-6.9479999999999995</v>
      </c>
      <c r="AE90" s="1102">
        <f t="shared" ref="AE90" si="251">AC90+AD90</f>
        <v>0</v>
      </c>
      <c r="AF90" s="1102">
        <f>Z90+Z91</f>
        <v>0</v>
      </c>
      <c r="AG90" s="1102">
        <f t="shared" ref="AG90" si="252">AE90-AF90</f>
        <v>0</v>
      </c>
      <c r="AH90" s="1103" t="e">
        <f t="shared" ref="AH90" si="253">AF90/AE90</f>
        <v>#DIV/0!</v>
      </c>
    </row>
    <row r="91" spans="1:35">
      <c r="A91" s="1123"/>
      <c r="B91" s="1126"/>
      <c r="C91" s="141">
        <v>42278</v>
      </c>
      <c r="D91" s="147">
        <v>42368</v>
      </c>
      <c r="E91" s="425">
        <v>0.105</v>
      </c>
      <c r="F91" s="444">
        <f>-0.105</f>
        <v>-0.105</v>
      </c>
      <c r="G91" s="425">
        <f>E91+F91+I90</f>
        <v>0</v>
      </c>
      <c r="H91" s="426"/>
      <c r="I91" s="526">
        <f t="shared" si="229"/>
        <v>0</v>
      </c>
      <c r="J91" s="931"/>
      <c r="K91" s="427">
        <v>0.42099999999999999</v>
      </c>
      <c r="L91" s="556">
        <f>-0.421</f>
        <v>-0.42099999999999999</v>
      </c>
      <c r="M91" s="427">
        <f>K91+L91+O90</f>
        <v>0</v>
      </c>
      <c r="N91" s="427"/>
      <c r="O91" s="427">
        <f t="shared" si="230"/>
        <v>0</v>
      </c>
      <c r="P91" s="1124"/>
      <c r="Q91" s="427">
        <v>0.316</v>
      </c>
      <c r="R91" s="441">
        <f>-0.316</f>
        <v>-0.316</v>
      </c>
      <c r="S91" s="427">
        <f>Q91+R91+U90</f>
        <v>0</v>
      </c>
      <c r="T91" s="760"/>
      <c r="U91" s="427">
        <f t="shared" si="231"/>
        <v>0</v>
      </c>
      <c r="V91" s="931"/>
      <c r="W91" s="555">
        <f t="shared" si="232"/>
        <v>0.84200000000000008</v>
      </c>
      <c r="X91" s="548">
        <f t="shared" si="233"/>
        <v>-0.84199999999999997</v>
      </c>
      <c r="Y91" s="427">
        <f>W91+X91+AA90</f>
        <v>1.1102230246251565E-16</v>
      </c>
      <c r="Z91" s="427">
        <f t="shared" si="226"/>
        <v>0</v>
      </c>
      <c r="AA91" s="427">
        <f t="shared" si="227"/>
        <v>1.1102230246251565E-16</v>
      </c>
      <c r="AB91" s="427">
        <f>Z91/Y91</f>
        <v>0</v>
      </c>
      <c r="AC91" s="1102"/>
      <c r="AD91" s="1102"/>
      <c r="AE91" s="1102"/>
      <c r="AF91" s="1102"/>
      <c r="AG91" s="1102"/>
      <c r="AH91" s="1103"/>
    </row>
    <row r="92" spans="1:35">
      <c r="A92" s="1123"/>
      <c r="B92" s="1134" t="s">
        <v>68</v>
      </c>
      <c r="C92" s="139">
        <v>42064</v>
      </c>
      <c r="D92" s="143">
        <v>42246</v>
      </c>
      <c r="E92" s="419">
        <v>0</v>
      </c>
      <c r="F92" s="432"/>
      <c r="G92" s="419">
        <f>E92+F92</f>
        <v>0</v>
      </c>
      <c r="H92" s="420"/>
      <c r="I92" s="525">
        <f t="shared" ref="I92:I97" si="254">G92-H92</f>
        <v>0</v>
      </c>
      <c r="J92" s="930">
        <f>E92+E93+F92+F93</f>
        <v>0</v>
      </c>
      <c r="K92" s="421">
        <v>0</v>
      </c>
      <c r="L92" s="534"/>
      <c r="M92" s="421">
        <f>K92+L92</f>
        <v>0</v>
      </c>
      <c r="N92" s="421"/>
      <c r="O92" s="421">
        <f t="shared" ref="O92:O97" si="255">M92-N92</f>
        <v>0</v>
      </c>
      <c r="P92" s="1109">
        <f>K92+K93+L92+L93</f>
        <v>0</v>
      </c>
      <c r="Q92" s="421">
        <v>0</v>
      </c>
      <c r="R92" s="685">
        <f>1</f>
        <v>1</v>
      </c>
      <c r="S92" s="421">
        <f>Q92+R92</f>
        <v>1</v>
      </c>
      <c r="T92" s="537"/>
      <c r="U92" s="421">
        <f t="shared" ref="U92:U97" si="256">S92-T92</f>
        <v>1</v>
      </c>
      <c r="V92" s="930">
        <f>Q92+Q93+R92+R93</f>
        <v>1</v>
      </c>
      <c r="W92" s="552">
        <f t="shared" ref="W92:W97" si="257">E92+K92+Q92</f>
        <v>0</v>
      </c>
      <c r="X92" s="685">
        <f t="shared" ref="X92:X97" si="258">L92+R92+F92</f>
        <v>1</v>
      </c>
      <c r="Y92" s="421">
        <f>W92+X92</f>
        <v>1</v>
      </c>
      <c r="Z92" s="421">
        <f t="shared" ref="Z92:Z97" si="259">H92+N92+T92</f>
        <v>0</v>
      </c>
      <c r="AA92" s="421">
        <f t="shared" ref="AA92:AA97" si="260">Y92-Z92</f>
        <v>1</v>
      </c>
      <c r="AB92" s="421">
        <f t="shared" si="228"/>
        <v>0</v>
      </c>
      <c r="AC92" s="1102">
        <f t="shared" ref="AC92" si="261">W92+W93</f>
        <v>0</v>
      </c>
      <c r="AD92" s="1102">
        <f t="shared" ref="AD92" si="262">X92+X93</f>
        <v>1</v>
      </c>
      <c r="AE92" s="1102">
        <f t="shared" ref="AE92" si="263">AC92+AD92</f>
        <v>1</v>
      </c>
      <c r="AF92" s="1102">
        <f>Z92+Z93</f>
        <v>0</v>
      </c>
      <c r="AG92" s="1102">
        <f t="shared" ref="AG92" si="264">AE92-AF92</f>
        <v>1</v>
      </c>
      <c r="AH92" s="1103">
        <f t="shared" ref="AH92" si="265">AF92/AE92</f>
        <v>0</v>
      </c>
    </row>
    <row r="93" spans="1:35">
      <c r="A93" s="1123"/>
      <c r="B93" s="1147"/>
      <c r="C93" s="140">
        <v>42278</v>
      </c>
      <c r="D93" s="145">
        <v>42368</v>
      </c>
      <c r="E93" s="434">
        <v>0</v>
      </c>
      <c r="F93" s="435"/>
      <c r="G93" s="434">
        <f>E93+F93+I92</f>
        <v>0</v>
      </c>
      <c r="H93" s="436"/>
      <c r="I93" s="527">
        <f t="shared" si="254"/>
        <v>0</v>
      </c>
      <c r="J93" s="1030"/>
      <c r="K93" s="437">
        <v>0</v>
      </c>
      <c r="L93" s="536"/>
      <c r="M93" s="437">
        <f>K93+L93+O92</f>
        <v>0</v>
      </c>
      <c r="N93" s="437"/>
      <c r="O93" s="437">
        <f t="shared" si="255"/>
        <v>0</v>
      </c>
      <c r="P93" s="1110"/>
      <c r="Q93" s="437">
        <v>0</v>
      </c>
      <c r="R93" s="536"/>
      <c r="S93" s="437">
        <f>Q93+R93+U92</f>
        <v>1</v>
      </c>
      <c r="T93" s="543"/>
      <c r="U93" s="437">
        <f t="shared" si="256"/>
        <v>1</v>
      </c>
      <c r="V93" s="1030"/>
      <c r="W93" s="551">
        <f t="shared" si="257"/>
        <v>0</v>
      </c>
      <c r="X93" s="535">
        <f t="shared" si="258"/>
        <v>0</v>
      </c>
      <c r="Y93" s="437">
        <f>W93+X93+AA92</f>
        <v>1</v>
      </c>
      <c r="Z93" s="437">
        <f t="shared" si="259"/>
        <v>0</v>
      </c>
      <c r="AA93" s="437">
        <f t="shared" si="260"/>
        <v>1</v>
      </c>
      <c r="AB93" s="427">
        <f>Z93/Y93</f>
        <v>0</v>
      </c>
      <c r="AC93" s="1102"/>
      <c r="AD93" s="1102"/>
      <c r="AE93" s="1102"/>
      <c r="AF93" s="1102"/>
      <c r="AG93" s="1102"/>
      <c r="AH93" s="1103"/>
    </row>
    <row r="94" spans="1:35">
      <c r="A94" s="1123"/>
      <c r="B94" s="1026" t="s">
        <v>157</v>
      </c>
      <c r="C94" s="142">
        <v>42064</v>
      </c>
      <c r="D94" s="143">
        <v>42246</v>
      </c>
      <c r="E94" s="529">
        <v>0</v>
      </c>
      <c r="F94" s="421"/>
      <c r="G94" s="419">
        <f>E94+F94</f>
        <v>0</v>
      </c>
      <c r="H94" s="421"/>
      <c r="I94" s="525">
        <f t="shared" si="254"/>
        <v>0</v>
      </c>
      <c r="J94" s="930">
        <f>E94+E95+F94+F95</f>
        <v>0</v>
      </c>
      <c r="K94" s="421">
        <v>0</v>
      </c>
      <c r="L94" s="421"/>
      <c r="M94" s="421">
        <f>K94+L94</f>
        <v>0</v>
      </c>
      <c r="N94" s="421"/>
      <c r="O94" s="421">
        <f t="shared" si="255"/>
        <v>0</v>
      </c>
      <c r="P94" s="1109">
        <f>K94+K95+L94+L95</f>
        <v>0</v>
      </c>
      <c r="Q94" s="421">
        <v>0</v>
      </c>
      <c r="R94" s="422">
        <f>0.2-0.01056</f>
        <v>0.18944</v>
      </c>
      <c r="S94" s="421">
        <f>Q94+R94</f>
        <v>0.18944</v>
      </c>
      <c r="T94" s="537"/>
      <c r="U94" s="421">
        <f t="shared" si="256"/>
        <v>0.18944</v>
      </c>
      <c r="V94" s="930">
        <f>Q94+Q95+R94+R95</f>
        <v>0.18944</v>
      </c>
      <c r="W94" s="552">
        <f t="shared" si="257"/>
        <v>0</v>
      </c>
      <c r="X94" s="422">
        <f t="shared" si="258"/>
        <v>0.18944</v>
      </c>
      <c r="Y94" s="421">
        <f>W94+X94</f>
        <v>0.18944</v>
      </c>
      <c r="Z94" s="421">
        <f t="shared" si="259"/>
        <v>0</v>
      </c>
      <c r="AA94" s="421">
        <f t="shared" si="260"/>
        <v>0.18944</v>
      </c>
      <c r="AB94" s="421">
        <f>Z94/Y94</f>
        <v>0</v>
      </c>
      <c r="AC94" s="1102">
        <f t="shared" ref="AC94" si="266">W94+W95</f>
        <v>0</v>
      </c>
      <c r="AD94" s="1125">
        <f t="shared" ref="AD94" si="267">X94+X95</f>
        <v>0.18944</v>
      </c>
      <c r="AE94" s="1102">
        <f t="shared" ref="AE94" si="268">AC94+AD94</f>
        <v>0.18944</v>
      </c>
      <c r="AF94" s="1102">
        <f>Z94+Z95</f>
        <v>0</v>
      </c>
      <c r="AG94" s="1102">
        <f t="shared" ref="AG94" si="269">AE94-AF94</f>
        <v>0.18944</v>
      </c>
      <c r="AH94" s="1103">
        <f t="shared" ref="AH94" si="270">AF94/AE94</f>
        <v>0</v>
      </c>
    </row>
    <row r="95" spans="1:35">
      <c r="A95" s="1123"/>
      <c r="B95" s="1027"/>
      <c r="C95" s="146">
        <v>42278</v>
      </c>
      <c r="D95" s="147">
        <v>42368</v>
      </c>
      <c r="E95" s="528">
        <v>0</v>
      </c>
      <c r="F95" s="427"/>
      <c r="G95" s="425">
        <f>E95+F95+I94</f>
        <v>0</v>
      </c>
      <c r="H95" s="427"/>
      <c r="I95" s="526">
        <f t="shared" si="254"/>
        <v>0</v>
      </c>
      <c r="J95" s="931"/>
      <c r="K95" s="427">
        <v>0</v>
      </c>
      <c r="L95" s="427"/>
      <c r="M95" s="427">
        <f>K95+L95+O94</f>
        <v>0</v>
      </c>
      <c r="N95" s="427"/>
      <c r="O95" s="427">
        <f t="shared" si="255"/>
        <v>0</v>
      </c>
      <c r="P95" s="1124"/>
      <c r="Q95" s="427">
        <v>0</v>
      </c>
      <c r="R95" s="556"/>
      <c r="S95" s="427">
        <f>Q95+R95+U94</f>
        <v>0.18944</v>
      </c>
      <c r="T95" s="760"/>
      <c r="U95" s="427">
        <f t="shared" si="256"/>
        <v>0.18944</v>
      </c>
      <c r="V95" s="931"/>
      <c r="W95" s="555">
        <f t="shared" si="257"/>
        <v>0</v>
      </c>
      <c r="X95" s="548">
        <f t="shared" si="258"/>
        <v>0</v>
      </c>
      <c r="Y95" s="427">
        <f>W95+X95+AA94</f>
        <v>0.18944</v>
      </c>
      <c r="Z95" s="427">
        <f t="shared" si="259"/>
        <v>0</v>
      </c>
      <c r="AA95" s="427">
        <f t="shared" si="260"/>
        <v>0.18944</v>
      </c>
      <c r="AB95" s="427">
        <f>Z95/Y95</f>
        <v>0</v>
      </c>
      <c r="AC95" s="1102"/>
      <c r="AD95" s="1125"/>
      <c r="AE95" s="1102"/>
      <c r="AF95" s="1102"/>
      <c r="AG95" s="1102"/>
      <c r="AH95" s="1103"/>
    </row>
    <row r="96" spans="1:35">
      <c r="A96" s="1123"/>
      <c r="B96" s="1119" t="s">
        <v>31</v>
      </c>
      <c r="C96" s="142">
        <v>42064</v>
      </c>
      <c r="D96" s="143">
        <v>42246</v>
      </c>
      <c r="E96" s="797">
        <v>0</v>
      </c>
      <c r="F96" s="421"/>
      <c r="G96" s="419">
        <f>E96+F96</f>
        <v>0</v>
      </c>
      <c r="H96" s="421"/>
      <c r="I96" s="793">
        <f t="shared" si="254"/>
        <v>0</v>
      </c>
      <c r="J96" s="930">
        <f>E96+E97+F96+F97</f>
        <v>0</v>
      </c>
      <c r="K96" s="421">
        <v>0</v>
      </c>
      <c r="L96" s="421"/>
      <c r="M96" s="421">
        <f>K96+L96</f>
        <v>0</v>
      </c>
      <c r="N96" s="421"/>
      <c r="O96" s="421">
        <f t="shared" si="255"/>
        <v>0</v>
      </c>
      <c r="P96" s="1109">
        <f>K96+K97+L96+L97</f>
        <v>0</v>
      </c>
      <c r="Q96" s="421">
        <v>0</v>
      </c>
      <c r="R96" s="796">
        <v>1.056E-2</v>
      </c>
      <c r="S96" s="421">
        <f>Q96+R96</f>
        <v>1.056E-2</v>
      </c>
      <c r="T96" s="537"/>
      <c r="U96" s="421">
        <f t="shared" si="256"/>
        <v>1.056E-2</v>
      </c>
      <c r="V96" s="930">
        <f>Q96+Q97+R96+R97</f>
        <v>1.056E-2</v>
      </c>
      <c r="W96" s="552">
        <f t="shared" si="257"/>
        <v>0</v>
      </c>
      <c r="X96" s="796">
        <f t="shared" si="258"/>
        <v>1.056E-2</v>
      </c>
      <c r="Y96" s="421">
        <f>W96+X96</f>
        <v>1.056E-2</v>
      </c>
      <c r="Z96" s="421">
        <f t="shared" si="259"/>
        <v>0</v>
      </c>
      <c r="AA96" s="421">
        <f t="shared" si="260"/>
        <v>1.056E-2</v>
      </c>
      <c r="AB96" s="421">
        <f>Z96/Y96</f>
        <v>0</v>
      </c>
      <c r="AC96" s="1102">
        <f t="shared" ref="AC96" si="271">W96+W97</f>
        <v>0</v>
      </c>
      <c r="AD96" s="1125">
        <f t="shared" ref="AD96" si="272">X96+X97</f>
        <v>1.056E-2</v>
      </c>
      <c r="AE96" s="1102">
        <f t="shared" ref="AE96" si="273">AC96+AD96</f>
        <v>1.056E-2</v>
      </c>
      <c r="AF96" s="1102">
        <f>Z96+Z97</f>
        <v>0</v>
      </c>
      <c r="AG96" s="1102">
        <f t="shared" ref="AG96" si="274">AE96-AF96</f>
        <v>1.056E-2</v>
      </c>
      <c r="AH96" s="1103">
        <f t="shared" ref="AH96" si="275">AF96/AE96</f>
        <v>0</v>
      </c>
    </row>
    <row r="97" spans="1:34">
      <c r="A97" s="1123"/>
      <c r="B97" s="1120"/>
      <c r="C97" s="146">
        <v>42278</v>
      </c>
      <c r="D97" s="147">
        <v>42368</v>
      </c>
      <c r="E97" s="798">
        <v>0</v>
      </c>
      <c r="F97" s="795"/>
      <c r="G97" s="425">
        <f>E97+F97+I96</f>
        <v>0</v>
      </c>
      <c r="H97" s="795"/>
      <c r="I97" s="794">
        <f t="shared" si="254"/>
        <v>0</v>
      </c>
      <c r="J97" s="931"/>
      <c r="K97" s="795">
        <v>0</v>
      </c>
      <c r="L97" s="795"/>
      <c r="M97" s="795">
        <f>K97+L97+O96</f>
        <v>0</v>
      </c>
      <c r="N97" s="795"/>
      <c r="O97" s="795">
        <f t="shared" si="255"/>
        <v>0</v>
      </c>
      <c r="P97" s="1124"/>
      <c r="Q97" s="795">
        <v>0</v>
      </c>
      <c r="R97" s="556"/>
      <c r="S97" s="795">
        <f>Q97+R97+U96</f>
        <v>1.056E-2</v>
      </c>
      <c r="T97" s="760"/>
      <c r="U97" s="795">
        <f t="shared" si="256"/>
        <v>1.056E-2</v>
      </c>
      <c r="V97" s="931"/>
      <c r="W97" s="555">
        <f t="shared" si="257"/>
        <v>0</v>
      </c>
      <c r="X97" s="548">
        <f t="shared" si="258"/>
        <v>0</v>
      </c>
      <c r="Y97" s="795">
        <f>W97+X97+AA96</f>
        <v>1.056E-2</v>
      </c>
      <c r="Z97" s="795">
        <f t="shared" si="259"/>
        <v>0</v>
      </c>
      <c r="AA97" s="795">
        <f t="shared" si="260"/>
        <v>1.056E-2</v>
      </c>
      <c r="AB97" s="795">
        <f>Z97/Y97</f>
        <v>0</v>
      </c>
      <c r="AC97" s="1102"/>
      <c r="AD97" s="1125"/>
      <c r="AE97" s="1102"/>
      <c r="AF97" s="1102"/>
      <c r="AG97" s="1102"/>
      <c r="AH97" s="1103"/>
    </row>
  </sheetData>
  <mergeCells count="533">
    <mergeCell ref="AN48:AN49"/>
    <mergeCell ref="AT22:AT23"/>
    <mergeCell ref="AT20:AT21"/>
    <mergeCell ref="AT18:AT19"/>
    <mergeCell ref="AT16:AT17"/>
    <mergeCell ref="AN22:AN23"/>
    <mergeCell ref="BA22:BA23"/>
    <mergeCell ref="BF48:BF49"/>
    <mergeCell ref="BD26:BD27"/>
    <mergeCell ref="BD24:BD25"/>
    <mergeCell ref="BA30:BA31"/>
    <mergeCell ref="BD36:BD37"/>
    <mergeCell ref="BD22:BD23"/>
    <mergeCell ref="BD20:BD21"/>
    <mergeCell ref="BC20:BC21"/>
    <mergeCell ref="BB22:BB23"/>
    <mergeCell ref="BC18:BC19"/>
    <mergeCell ref="BB20:BB21"/>
    <mergeCell ref="BE20:BE21"/>
    <mergeCell ref="BE22:BE23"/>
    <mergeCell ref="BE18:BE19"/>
    <mergeCell ref="BC22:BC23"/>
    <mergeCell ref="BD18:BD19"/>
    <mergeCell ref="BD16:BD17"/>
    <mergeCell ref="AU4:AZ4"/>
    <mergeCell ref="AT38:AT39"/>
    <mergeCell ref="BA42:BA43"/>
    <mergeCell ref="BB42:BB43"/>
    <mergeCell ref="BC42:BC43"/>
    <mergeCell ref="BB38:BB39"/>
    <mergeCell ref="BC38:BC39"/>
    <mergeCell ref="AT40:AT41"/>
    <mergeCell ref="AN36:AN37"/>
    <mergeCell ref="AN32:AN33"/>
    <mergeCell ref="BB24:BB25"/>
    <mergeCell ref="BC24:BC25"/>
    <mergeCell ref="BB26:BB27"/>
    <mergeCell ref="BA28:BA29"/>
    <mergeCell ref="BB28:BB29"/>
    <mergeCell ref="BC28:BC29"/>
    <mergeCell ref="BA26:BA27"/>
    <mergeCell ref="BC26:BC27"/>
    <mergeCell ref="BA24:BA25"/>
    <mergeCell ref="AN18:AN19"/>
    <mergeCell ref="AN20:AN21"/>
    <mergeCell ref="BA20:BA21"/>
    <mergeCell ref="BA4:BF4"/>
    <mergeCell ref="BA6:BA7"/>
    <mergeCell ref="AH32:AH33"/>
    <mergeCell ref="AH30:AH31"/>
    <mergeCell ref="AH34:AH35"/>
    <mergeCell ref="AT32:AT33"/>
    <mergeCell ref="AT34:AT35"/>
    <mergeCell ref="AT30:AT31"/>
    <mergeCell ref="AN24:AN25"/>
    <mergeCell ref="AH26:AH27"/>
    <mergeCell ref="AN28:AN29"/>
    <mergeCell ref="AN34:AN35"/>
    <mergeCell ref="AN30:AN31"/>
    <mergeCell ref="AT26:AT27"/>
    <mergeCell ref="AT28:AT29"/>
    <mergeCell ref="AT24:AT25"/>
    <mergeCell ref="AN26:AN27"/>
    <mergeCell ref="V26:V27"/>
    <mergeCell ref="P32:P33"/>
    <mergeCell ref="V38:V39"/>
    <mergeCell ref="V28:V29"/>
    <mergeCell ref="BF18:BF19"/>
    <mergeCell ref="BE36:BE37"/>
    <mergeCell ref="BF36:BF37"/>
    <mergeCell ref="BE30:BE31"/>
    <mergeCell ref="BF30:BF31"/>
    <mergeCell ref="BE32:BE33"/>
    <mergeCell ref="BF32:BF33"/>
    <mergeCell ref="BE34:BE35"/>
    <mergeCell ref="BF34:BF35"/>
    <mergeCell ref="BE24:BE25"/>
    <mergeCell ref="BF24:BF25"/>
    <mergeCell ref="BE28:BE29"/>
    <mergeCell ref="BF28:BF29"/>
    <mergeCell ref="BE26:BE27"/>
    <mergeCell ref="BF26:BF27"/>
    <mergeCell ref="BF22:BF23"/>
    <mergeCell ref="BF20:BF21"/>
    <mergeCell ref="BD28:BD29"/>
    <mergeCell ref="AB38:AB39"/>
    <mergeCell ref="BA38:BA39"/>
    <mergeCell ref="AB20:AB21"/>
    <mergeCell ref="AB18:AB19"/>
    <mergeCell ref="AB22:AB23"/>
    <mergeCell ref="AB40:AB41"/>
    <mergeCell ref="AB34:AB35"/>
    <mergeCell ref="AB36:AB37"/>
    <mergeCell ref="AH38:AH39"/>
    <mergeCell ref="AB76:AB77"/>
    <mergeCell ref="AB48:AB49"/>
    <mergeCell ref="AH48:AH49"/>
    <mergeCell ref="AB28:AB29"/>
    <mergeCell ref="AB26:AB27"/>
    <mergeCell ref="AB24:AB25"/>
    <mergeCell ref="AB32:AB33"/>
    <mergeCell ref="AB30:AB31"/>
    <mergeCell ref="AB60:AB61"/>
    <mergeCell ref="AB70:AB71"/>
    <mergeCell ref="AH36:AH37"/>
    <mergeCell ref="AH40:AH41"/>
    <mergeCell ref="AH24:AH25"/>
    <mergeCell ref="AH28:AH29"/>
    <mergeCell ref="AH20:AH21"/>
    <mergeCell ref="AH18:AH19"/>
    <mergeCell ref="AH22:AH23"/>
    <mergeCell ref="BA18:BA19"/>
    <mergeCell ref="BA16:BA17"/>
    <mergeCell ref="BA10:BA11"/>
    <mergeCell ref="BA14:BA15"/>
    <mergeCell ref="BF16:BF17"/>
    <mergeCell ref="BF14:BF15"/>
    <mergeCell ref="BF6:BF7"/>
    <mergeCell ref="BA12:BA13"/>
    <mergeCell ref="BD10:BD11"/>
    <mergeCell ref="BB6:BB7"/>
    <mergeCell ref="BC6:BC7"/>
    <mergeCell ref="BF8:BF9"/>
    <mergeCell ref="BE10:BE11"/>
    <mergeCell ref="BF10:BF11"/>
    <mergeCell ref="BE12:BE13"/>
    <mergeCell ref="BF12:BF13"/>
    <mergeCell ref="BE16:BE17"/>
    <mergeCell ref="BB8:BB9"/>
    <mergeCell ref="BC8:BC9"/>
    <mergeCell ref="BD14:BD15"/>
    <mergeCell ref="BB16:BB17"/>
    <mergeCell ref="BC16:BC17"/>
    <mergeCell ref="BB18:BB19"/>
    <mergeCell ref="AT10:AT11"/>
    <mergeCell ref="AT8:AT9"/>
    <mergeCell ref="AT14:AT15"/>
    <mergeCell ref="AT12:AT13"/>
    <mergeCell ref="AT6:AT7"/>
    <mergeCell ref="BB10:BB11"/>
    <mergeCell ref="BC10:BC11"/>
    <mergeCell ref="BE6:BE7"/>
    <mergeCell ref="BC12:BC13"/>
    <mergeCell ref="BB14:BB15"/>
    <mergeCell ref="BC14:BC15"/>
    <mergeCell ref="BD6:BD7"/>
    <mergeCell ref="BE14:BE15"/>
    <mergeCell ref="BE8:BE9"/>
    <mergeCell ref="BB12:BB13"/>
    <mergeCell ref="BD8:BD9"/>
    <mergeCell ref="BD12:BD13"/>
    <mergeCell ref="BA8:BA9"/>
    <mergeCell ref="AI4:AK4"/>
    <mergeCell ref="AL4:AM4"/>
    <mergeCell ref="AO4:AQ4"/>
    <mergeCell ref="AR4:AS4"/>
    <mergeCell ref="AB10:AB11"/>
    <mergeCell ref="AB16:AB17"/>
    <mergeCell ref="AB12:AB13"/>
    <mergeCell ref="AB6:AB7"/>
    <mergeCell ref="AH6:AH7"/>
    <mergeCell ref="AN6:AN7"/>
    <mergeCell ref="AN10:AN11"/>
    <mergeCell ref="AN12:AN13"/>
    <mergeCell ref="AN14:AN15"/>
    <mergeCell ref="AN16:AN17"/>
    <mergeCell ref="AH8:AH9"/>
    <mergeCell ref="AF4:AG4"/>
    <mergeCell ref="AH10:AH11"/>
    <mergeCell ref="AH14:AH15"/>
    <mergeCell ref="AH12:AH13"/>
    <mergeCell ref="AN8:AN9"/>
    <mergeCell ref="AH16:AH17"/>
    <mergeCell ref="N4:O4"/>
    <mergeCell ref="J6:J7"/>
    <mergeCell ref="J8:J9"/>
    <mergeCell ref="AB14:AB15"/>
    <mergeCell ref="J16:J17"/>
    <mergeCell ref="J14:J15"/>
    <mergeCell ref="AC4:AE4"/>
    <mergeCell ref="C4:D4"/>
    <mergeCell ref="E4:G4"/>
    <mergeCell ref="H4:I4"/>
    <mergeCell ref="K4:M4"/>
    <mergeCell ref="J12:J13"/>
    <mergeCell ref="J10:J11"/>
    <mergeCell ref="P10:P11"/>
    <mergeCell ref="P8:P9"/>
    <mergeCell ref="P16:P17"/>
    <mergeCell ref="P6:P7"/>
    <mergeCell ref="P12:P13"/>
    <mergeCell ref="Q4:S4"/>
    <mergeCell ref="T4:U4"/>
    <mergeCell ref="W4:Y4"/>
    <mergeCell ref="Z4:AA4"/>
    <mergeCell ref="V10:V11"/>
    <mergeCell ref="AB8:AB9"/>
    <mergeCell ref="V16:V17"/>
    <mergeCell ref="V14:V15"/>
    <mergeCell ref="V12:V13"/>
    <mergeCell ref="B18:B19"/>
    <mergeCell ref="B22:B23"/>
    <mergeCell ref="B14:B15"/>
    <mergeCell ref="B24:B25"/>
    <mergeCell ref="P14:P15"/>
    <mergeCell ref="B20:B21"/>
    <mergeCell ref="V24:V25"/>
    <mergeCell ref="J18:J19"/>
    <mergeCell ref="V22:V23"/>
    <mergeCell ref="V20:V21"/>
    <mergeCell ref="V18:V19"/>
    <mergeCell ref="J24:J25"/>
    <mergeCell ref="B16:B17"/>
    <mergeCell ref="J22:J23"/>
    <mergeCell ref="J20:J21"/>
    <mergeCell ref="P18:P19"/>
    <mergeCell ref="P24:P25"/>
    <mergeCell ref="P22:P23"/>
    <mergeCell ref="P20:P21"/>
    <mergeCell ref="B1:O2"/>
    <mergeCell ref="J82:J83"/>
    <mergeCell ref="E80:G80"/>
    <mergeCell ref="H80:I80"/>
    <mergeCell ref="B82:B83"/>
    <mergeCell ref="C52:D52"/>
    <mergeCell ref="E52:G52"/>
    <mergeCell ref="H52:I52"/>
    <mergeCell ref="J64:J65"/>
    <mergeCell ref="J66:J67"/>
    <mergeCell ref="B62:B63"/>
    <mergeCell ref="B64:B65"/>
    <mergeCell ref="B66:B67"/>
    <mergeCell ref="J54:J55"/>
    <mergeCell ref="B54:B55"/>
    <mergeCell ref="B34:B35"/>
    <mergeCell ref="B32:B33"/>
    <mergeCell ref="J60:J61"/>
    <mergeCell ref="B6:B7"/>
    <mergeCell ref="B8:B9"/>
    <mergeCell ref="B36:B37"/>
    <mergeCell ref="J26:J27"/>
    <mergeCell ref="B10:B11"/>
    <mergeCell ref="B12:B13"/>
    <mergeCell ref="B26:B27"/>
    <mergeCell ref="P54:P55"/>
    <mergeCell ref="P56:P57"/>
    <mergeCell ref="P62:P63"/>
    <mergeCell ref="P66:P67"/>
    <mergeCell ref="B56:B57"/>
    <mergeCell ref="B38:B39"/>
    <mergeCell ref="J38:J39"/>
    <mergeCell ref="P38:P39"/>
    <mergeCell ref="P36:P37"/>
    <mergeCell ref="P30:P31"/>
    <mergeCell ref="P28:P29"/>
    <mergeCell ref="P26:P27"/>
    <mergeCell ref="J30:J31"/>
    <mergeCell ref="P34:P35"/>
    <mergeCell ref="J34:J35"/>
    <mergeCell ref="B28:B29"/>
    <mergeCell ref="B30:B31"/>
    <mergeCell ref="N52:O52"/>
    <mergeCell ref="J32:J33"/>
    <mergeCell ref="J36:J37"/>
    <mergeCell ref="J56:J57"/>
    <mergeCell ref="K52:M52"/>
    <mergeCell ref="J28:J29"/>
    <mergeCell ref="V6:V7"/>
    <mergeCell ref="V8:V9"/>
    <mergeCell ref="W72:W73"/>
    <mergeCell ref="W70:W71"/>
    <mergeCell ref="AB72:AB73"/>
    <mergeCell ref="AA54:AA55"/>
    <mergeCell ref="AA56:AA57"/>
    <mergeCell ref="AA58:AA59"/>
    <mergeCell ref="Z72:Z73"/>
    <mergeCell ref="Z64:Z65"/>
    <mergeCell ref="Z70:Z71"/>
    <mergeCell ref="Z54:Z55"/>
    <mergeCell ref="W54:W55"/>
    <mergeCell ref="W56:W57"/>
    <mergeCell ref="W58:W59"/>
    <mergeCell ref="W64:W65"/>
    <mergeCell ref="W68:W69"/>
    <mergeCell ref="W60:W61"/>
    <mergeCell ref="W62:W63"/>
    <mergeCell ref="Y70:Y71"/>
    <mergeCell ref="V32:V33"/>
    <mergeCell ref="V30:V31"/>
    <mergeCell ref="AB62:AB63"/>
    <mergeCell ref="Z58:Z59"/>
    <mergeCell ref="B86:B87"/>
    <mergeCell ref="B88:B89"/>
    <mergeCell ref="P88:P89"/>
    <mergeCell ref="AF94:AF95"/>
    <mergeCell ref="AG92:AG93"/>
    <mergeCell ref="AH92:AH93"/>
    <mergeCell ref="B92:B93"/>
    <mergeCell ref="J92:J93"/>
    <mergeCell ref="P92:P93"/>
    <mergeCell ref="V92:V93"/>
    <mergeCell ref="AC92:AC93"/>
    <mergeCell ref="AF92:AF93"/>
    <mergeCell ref="AD92:AD93"/>
    <mergeCell ref="AE92:AE93"/>
    <mergeCell ref="AD94:AD95"/>
    <mergeCell ref="AE94:AE95"/>
    <mergeCell ref="AD86:AD87"/>
    <mergeCell ref="AE86:AE87"/>
    <mergeCell ref="AD88:AD89"/>
    <mergeCell ref="AE88:AE89"/>
    <mergeCell ref="AD90:AD91"/>
    <mergeCell ref="AE90:AE91"/>
    <mergeCell ref="B42:B43"/>
    <mergeCell ref="AG94:AG95"/>
    <mergeCell ref="AC82:AC83"/>
    <mergeCell ref="AA68:AA69"/>
    <mergeCell ref="AA66:AA67"/>
    <mergeCell ref="Z68:Z69"/>
    <mergeCell ref="X64:X65"/>
    <mergeCell ref="Y64:Y65"/>
    <mergeCell ref="AB64:AB65"/>
    <mergeCell ref="AB66:AB67"/>
    <mergeCell ref="AA72:AA73"/>
    <mergeCell ref="AF82:AF83"/>
    <mergeCell ref="AB68:AB69"/>
    <mergeCell ref="AA74:AA75"/>
    <mergeCell ref="B94:B95"/>
    <mergeCell ref="AA64:AA65"/>
    <mergeCell ref="Z66:Z67"/>
    <mergeCell ref="AA70:AA71"/>
    <mergeCell ref="V94:V95"/>
    <mergeCell ref="AF86:AF87"/>
    <mergeCell ref="AC84:AC85"/>
    <mergeCell ref="AC86:AC87"/>
    <mergeCell ref="AC90:AC91"/>
    <mergeCell ref="AC88:AC89"/>
    <mergeCell ref="B44:B45"/>
    <mergeCell ref="J44:J45"/>
    <mergeCell ref="P44:P45"/>
    <mergeCell ref="V44:V45"/>
    <mergeCell ref="AB44:AB45"/>
    <mergeCell ref="X58:X59"/>
    <mergeCell ref="Y58:Y59"/>
    <mergeCell ref="AB54:AB55"/>
    <mergeCell ref="AB56:AB57"/>
    <mergeCell ref="AB58:AB59"/>
    <mergeCell ref="Z56:Z57"/>
    <mergeCell ref="B48:B49"/>
    <mergeCell ref="J48:J49"/>
    <mergeCell ref="P48:P49"/>
    <mergeCell ref="V48:V49"/>
    <mergeCell ref="Q52:V52"/>
    <mergeCell ref="W52:AB52"/>
    <mergeCell ref="V34:V35"/>
    <mergeCell ref="B74:B75"/>
    <mergeCell ref="J74:J75"/>
    <mergeCell ref="P74:P75"/>
    <mergeCell ref="W74:W75"/>
    <mergeCell ref="X74:X75"/>
    <mergeCell ref="Y74:Y75"/>
    <mergeCell ref="Z74:Z75"/>
    <mergeCell ref="Y60:Y61"/>
    <mergeCell ref="X62:X63"/>
    <mergeCell ref="Y62:Y63"/>
    <mergeCell ref="B40:B41"/>
    <mergeCell ref="J40:J41"/>
    <mergeCell ref="P40:P41"/>
    <mergeCell ref="V40:V41"/>
    <mergeCell ref="Z60:Z61"/>
    <mergeCell ref="Z62:Z63"/>
    <mergeCell ref="P64:P65"/>
    <mergeCell ref="W66:W67"/>
    <mergeCell ref="B68:B69"/>
    <mergeCell ref="B70:B71"/>
    <mergeCell ref="B72:B73"/>
    <mergeCell ref="J72:J73"/>
    <mergeCell ref="V36:V37"/>
    <mergeCell ref="BA46:BA47"/>
    <mergeCell ref="BB46:BB47"/>
    <mergeCell ref="BC46:BC47"/>
    <mergeCell ref="BD46:BD47"/>
    <mergeCell ref="BE46:BE47"/>
    <mergeCell ref="B60:B61"/>
    <mergeCell ref="B58:B59"/>
    <mergeCell ref="J58:J59"/>
    <mergeCell ref="J62:J63"/>
    <mergeCell ref="P58:P59"/>
    <mergeCell ref="P60:P61"/>
    <mergeCell ref="X54:X55"/>
    <mergeCell ref="Y54:Y55"/>
    <mergeCell ref="X56:X57"/>
    <mergeCell ref="Y56:Y57"/>
    <mergeCell ref="X60:X61"/>
    <mergeCell ref="AA60:AA61"/>
    <mergeCell ref="AA62:AA63"/>
    <mergeCell ref="AT48:AT49"/>
    <mergeCell ref="BA48:BA49"/>
    <mergeCell ref="BB48:BB49"/>
    <mergeCell ref="BC48:BC49"/>
    <mergeCell ref="BD48:BD49"/>
    <mergeCell ref="BE48:BE49"/>
    <mergeCell ref="BE40:BE41"/>
    <mergeCell ref="BF40:BF41"/>
    <mergeCell ref="BA40:BA41"/>
    <mergeCell ref="BE42:BE43"/>
    <mergeCell ref="BF42:BF43"/>
    <mergeCell ref="J42:J43"/>
    <mergeCell ref="P42:P43"/>
    <mergeCell ref="V42:V43"/>
    <mergeCell ref="AB42:AB43"/>
    <mergeCell ref="AH42:AH43"/>
    <mergeCell ref="AN42:AN43"/>
    <mergeCell ref="AT42:AT43"/>
    <mergeCell ref="BD40:BD41"/>
    <mergeCell ref="BD42:BD43"/>
    <mergeCell ref="BB40:BB41"/>
    <mergeCell ref="BC40:BC41"/>
    <mergeCell ref="AN40:AN41"/>
    <mergeCell ref="BD34:BD35"/>
    <mergeCell ref="BD32:BD33"/>
    <mergeCell ref="BA32:BA33"/>
    <mergeCell ref="BB36:BB37"/>
    <mergeCell ref="BC36:BC37"/>
    <mergeCell ref="BD30:BD31"/>
    <mergeCell ref="BB32:BB33"/>
    <mergeCell ref="BC32:BC33"/>
    <mergeCell ref="BB34:BB35"/>
    <mergeCell ref="BC34:BC35"/>
    <mergeCell ref="BB30:BB31"/>
    <mergeCell ref="BC30:BC31"/>
    <mergeCell ref="BA36:BA37"/>
    <mergeCell ref="BA34:BA35"/>
    <mergeCell ref="A6:A47"/>
    <mergeCell ref="BF46:BF47"/>
    <mergeCell ref="B46:B47"/>
    <mergeCell ref="J46:J47"/>
    <mergeCell ref="P46:P47"/>
    <mergeCell ref="V46:V47"/>
    <mergeCell ref="AB46:AB47"/>
    <mergeCell ref="AH46:AH47"/>
    <mergeCell ref="AN46:AN47"/>
    <mergeCell ref="AT46:AT47"/>
    <mergeCell ref="AH44:AH45"/>
    <mergeCell ref="AN44:AN45"/>
    <mergeCell ref="AT44:AT45"/>
    <mergeCell ref="BA44:BA45"/>
    <mergeCell ref="BB44:BB45"/>
    <mergeCell ref="BC44:BC45"/>
    <mergeCell ref="BD44:BD45"/>
    <mergeCell ref="BE44:BE45"/>
    <mergeCell ref="BF44:BF45"/>
    <mergeCell ref="BE38:BE39"/>
    <mergeCell ref="BF38:BF39"/>
    <mergeCell ref="BD38:BD39"/>
    <mergeCell ref="AN38:AN39"/>
    <mergeCell ref="AT36:AT37"/>
    <mergeCell ref="B96:B97"/>
    <mergeCell ref="A82:A97"/>
    <mergeCell ref="J96:J97"/>
    <mergeCell ref="P96:P97"/>
    <mergeCell ref="V96:V97"/>
    <mergeCell ref="AC96:AC97"/>
    <mergeCell ref="AD96:AD97"/>
    <mergeCell ref="AE96:AE97"/>
    <mergeCell ref="P82:P83"/>
    <mergeCell ref="J94:J95"/>
    <mergeCell ref="P94:P95"/>
    <mergeCell ref="AC94:AC95"/>
    <mergeCell ref="J90:J91"/>
    <mergeCell ref="J86:J87"/>
    <mergeCell ref="V88:V89"/>
    <mergeCell ref="V82:V83"/>
    <mergeCell ref="J84:J85"/>
    <mergeCell ref="B90:B91"/>
    <mergeCell ref="V86:V87"/>
    <mergeCell ref="P86:P87"/>
    <mergeCell ref="P90:P91"/>
    <mergeCell ref="V84:V85"/>
    <mergeCell ref="V90:V91"/>
    <mergeCell ref="J88:J89"/>
    <mergeCell ref="C80:D80"/>
    <mergeCell ref="B84:B85"/>
    <mergeCell ref="N80:O80"/>
    <mergeCell ref="Q80:S80"/>
    <mergeCell ref="T80:U80"/>
    <mergeCell ref="K80:M80"/>
    <mergeCell ref="B76:B77"/>
    <mergeCell ref="A54:A77"/>
    <mergeCell ref="J76:J77"/>
    <mergeCell ref="P76:P77"/>
    <mergeCell ref="J68:J69"/>
    <mergeCell ref="J70:J71"/>
    <mergeCell ref="P84:P85"/>
    <mergeCell ref="P72:P73"/>
    <mergeCell ref="P70:P71"/>
    <mergeCell ref="P68:P69"/>
    <mergeCell ref="Y66:Y67"/>
    <mergeCell ref="X68:X69"/>
    <mergeCell ref="Y68:Y69"/>
    <mergeCell ref="X70:X71"/>
    <mergeCell ref="AG96:AG97"/>
    <mergeCell ref="AH96:AH97"/>
    <mergeCell ref="AH94:AH95"/>
    <mergeCell ref="AG88:AG89"/>
    <mergeCell ref="AH88:AH89"/>
    <mergeCell ref="AH82:AH83"/>
    <mergeCell ref="X66:X67"/>
    <mergeCell ref="AC80:AH80"/>
    <mergeCell ref="X72:X73"/>
    <mergeCell ref="Y72:Y73"/>
    <mergeCell ref="AD82:AD83"/>
    <mergeCell ref="AE82:AE83"/>
    <mergeCell ref="AD84:AD85"/>
    <mergeCell ref="AE84:AE85"/>
    <mergeCell ref="AG82:AG83"/>
    <mergeCell ref="AB74:AB75"/>
    <mergeCell ref="W80:AB80"/>
    <mergeCell ref="W76:W77"/>
    <mergeCell ref="X76:X77"/>
    <mergeCell ref="Y76:Y77"/>
    <mergeCell ref="Z76:Z77"/>
    <mergeCell ref="AA76:AA77"/>
    <mergeCell ref="AF96:AF97"/>
    <mergeCell ref="AG86:AG87"/>
    <mergeCell ref="AH84:AH85"/>
    <mergeCell ref="AH86:AH87"/>
    <mergeCell ref="AH90:AH91"/>
    <mergeCell ref="AF84:AF85"/>
    <mergeCell ref="AG84:AG85"/>
    <mergeCell ref="AG90:AG91"/>
    <mergeCell ref="AF88:AF89"/>
    <mergeCell ref="AF90:AF91"/>
  </mergeCells>
  <pageMargins left="0.7" right="0.7" top="0.75" bottom="0.75" header="0.3" footer="0.3"/>
  <pageSetup paperSize="9" orientation="portrait" r:id="rId1"/>
  <ignoredErrors>
    <ignoredError sqref="S36 Y36 AQ12 AQ20 AQ36 M84 M88 M90 M86 S84 S86 S88 S90 S34 S32 S30 S28 S18 S16 S14 S11:S12 S10 S8 S7 S9 S13 S15 S17 S19 S29 S31 S33 S35 Y34 Y32 Y30 Y28 Y26 Y24 Y18 Y16 Y12 Y10 Y8 Y7 Y9 Y11 Y13 Y15 Y17 Y19 Y21 Y23 Y25 Y27 Y29 Y31 Y33 Y35 AE18:AE36 AE7:AE16 AK13:AK14 AK7:AK12 AQ34 AQ32 AQ30 AQ28 AQ26 AQ24 AQ22 AQ21 AQ23 AQ25 AQ27 AQ29 AQ31 AQ33 AQ35 AQ18 AQ16 AQ14 AQ13 AQ15 AQ17 AQ19 AQ10 AQ8 AQ7 AQ9 AQ11 AK37 S37 AQ37 AK34:AK36 G11 G9 G8 G10 G33 G31 G29 G27 G25 G23 G21 G19 G17 G15 G13 G14 G16 G18 G20 G22 G24 G26 G28 G30 G32 G34 G35:G36 G12 G7:H7 H13 H12 G37:H37 H35:H36 H34 H33 H32 H31 H30 H29 H28 H27 H26 H25 H24 H23 H22 H21 H20 H19 H18 H17 H16 H15 H14 H11 H10 H9 H8 M9 M11 M13 M15 M35 M33 M31 M29 M27 M25 M23 M21 M19 M17 M16 M18 M20 M22 M24 M26 M28 M30 M32 M34 M14 M12 M10 M8 M36 M7 M37 AE37 G72 G70 G68 G66 G64 G62 G60 G58 G56 G55 G57:I57 H56:I56 G59:I59 H58:I58 G61:I61 H60:I60 G63 I62 G65:I65 H64:I64 G67:I67 H66:I66 G69:I69 H68:I68 G71 I70 G73:I73 H72:I72 G90 G89 G91 G87 G86 G88 G83:G85 M72 M70 M68 M66 M64 M62 M60 M58 M56 M55 M57 M59 M61 M63 M65 M67 M69 M71 M73 AW6:AW37 AW38:AW39 S54:S59 S62:S73 S60:S61 Y83:Y91 Y92:Y93 I63 I55 AK16:AK33 I71" formula="1"/>
    <ignoredError sqref="AZ6:AZ37 BG53:BG73 BF7 BF51:BF52 BG81 BF79:BF80 BF76" evalError="1"/>
  </ignoredErrors>
  <drawing r:id="rId2"/>
  <legacyDrawing r:id="rId3"/>
</worksheet>
</file>

<file path=xl/worksheets/sheet5.xml><?xml version="1.0" encoding="utf-8"?>
<worksheet xmlns="http://schemas.openxmlformats.org/spreadsheetml/2006/main" xmlns:r="http://schemas.openxmlformats.org/officeDocument/2006/relationships">
  <sheetPr>
    <tabColor rgb="FFCC00FF"/>
  </sheetPr>
  <dimension ref="A3:M45"/>
  <sheetViews>
    <sheetView zoomScale="80" zoomScaleNormal="80" workbookViewId="0">
      <selection activeCell="C8" sqref="C8:C21"/>
    </sheetView>
  </sheetViews>
  <sheetFormatPr baseColWidth="10" defaultRowHeight="15"/>
  <cols>
    <col min="1" max="1" width="24.140625" customWidth="1"/>
    <col min="4" max="4" width="22" bestFit="1" customWidth="1"/>
    <col min="7" max="7" width="14.85546875" customWidth="1"/>
    <col min="9" max="9" width="12.140625" customWidth="1"/>
    <col min="10" max="10" width="14.85546875" customWidth="1"/>
    <col min="11" max="11" width="12.42578125" customWidth="1"/>
    <col min="12" max="12" width="16.140625" customWidth="1"/>
  </cols>
  <sheetData>
    <row r="3" spans="1:13" ht="18.75" customHeight="1">
      <c r="A3" s="1214" t="s">
        <v>313</v>
      </c>
      <c r="B3" s="1215"/>
      <c r="C3" s="1215"/>
      <c r="D3" s="1215"/>
      <c r="E3" s="1215"/>
      <c r="F3" s="1215"/>
      <c r="G3" s="1215"/>
      <c r="H3" s="1215"/>
      <c r="I3" s="1215"/>
      <c r="J3" s="1216"/>
    </row>
    <row r="4" spans="1:13" ht="17.25" customHeight="1">
      <c r="A4" s="1217" t="s">
        <v>417</v>
      </c>
      <c r="B4" s="1218"/>
      <c r="C4" s="1218"/>
      <c r="D4" s="1218"/>
      <c r="E4" s="1218"/>
      <c r="F4" s="1218"/>
      <c r="G4" s="1218"/>
      <c r="H4" s="1218"/>
      <c r="I4" s="1218"/>
      <c r="J4" s="1219"/>
    </row>
    <row r="5" spans="1:13" ht="15.75">
      <c r="A5" s="4"/>
      <c r="B5" s="4"/>
      <c r="C5" s="4"/>
      <c r="D5" s="4"/>
      <c r="E5" s="4"/>
      <c r="F5" s="4"/>
      <c r="G5" s="4"/>
      <c r="H5" s="4"/>
      <c r="I5" s="4"/>
      <c r="J5" s="4"/>
    </row>
    <row r="6" spans="1:13" ht="15.75" customHeight="1">
      <c r="A6" s="1220" t="s">
        <v>81</v>
      </c>
      <c r="B6" s="1222" t="s">
        <v>82</v>
      </c>
      <c r="C6" s="1222" t="s">
        <v>83</v>
      </c>
      <c r="D6" s="1223" t="s">
        <v>84</v>
      </c>
      <c r="E6" s="1223"/>
      <c r="F6" s="1223"/>
      <c r="G6" s="1222" t="s">
        <v>3</v>
      </c>
      <c r="H6" s="1222" t="s">
        <v>4</v>
      </c>
      <c r="I6" s="1222" t="s">
        <v>85</v>
      </c>
      <c r="J6" s="1222" t="s">
        <v>86</v>
      </c>
    </row>
    <row r="7" spans="1:13" ht="15.75" thickBot="1">
      <c r="A7" s="1221"/>
      <c r="B7" s="1221"/>
      <c r="C7" s="1221"/>
      <c r="D7" s="8" t="s">
        <v>87</v>
      </c>
      <c r="E7" s="8" t="s">
        <v>88</v>
      </c>
      <c r="F7" s="8" t="s">
        <v>89</v>
      </c>
      <c r="G7" s="1221"/>
      <c r="H7" s="1221"/>
      <c r="I7" s="1221"/>
      <c r="J7" s="1221"/>
    </row>
    <row r="8" spans="1:13" ht="15" customHeight="1">
      <c r="A8" s="1211" t="s">
        <v>90</v>
      </c>
      <c r="B8" s="1193" t="s">
        <v>91</v>
      </c>
      <c r="C8" s="1195">
        <f>E8+E9</f>
        <v>10</v>
      </c>
      <c r="D8" s="73" t="s">
        <v>314</v>
      </c>
      <c r="E8" s="74">
        <v>8</v>
      </c>
      <c r="F8" s="74">
        <f>+E8</f>
        <v>8</v>
      </c>
      <c r="G8" s="475"/>
      <c r="H8" s="75">
        <f t="shared" ref="H8:H34" si="0">+F8-G8</f>
        <v>8</v>
      </c>
      <c r="I8" s="5">
        <f>1-G8/F8</f>
        <v>1</v>
      </c>
      <c r="J8" s="476"/>
    </row>
    <row r="9" spans="1:13">
      <c r="A9" s="1212"/>
      <c r="B9" s="1194"/>
      <c r="C9" s="1196"/>
      <c r="D9" s="164" t="s">
        <v>388</v>
      </c>
      <c r="E9" s="469">
        <v>2</v>
      </c>
      <c r="F9" s="469">
        <f>+E9+H8</f>
        <v>10</v>
      </c>
      <c r="G9" s="470"/>
      <c r="H9" s="241">
        <f t="shared" si="0"/>
        <v>10</v>
      </c>
      <c r="I9" s="471">
        <f t="shared" ref="I9:I43" si="1">1-G9/F9</f>
        <v>1</v>
      </c>
      <c r="J9" s="477"/>
    </row>
    <row r="10" spans="1:13">
      <c r="A10" s="1212"/>
      <c r="B10" s="1197" t="s">
        <v>92</v>
      </c>
      <c r="C10" s="1198">
        <f>E10+E11</f>
        <v>46</v>
      </c>
      <c r="D10" s="39" t="s">
        <v>314</v>
      </c>
      <c r="E10" s="70">
        <v>37</v>
      </c>
      <c r="F10" s="70">
        <f>+E10</f>
        <v>37</v>
      </c>
      <c r="G10" s="465"/>
      <c r="H10" s="42">
        <f>+F10-G10</f>
        <v>37</v>
      </c>
      <c r="I10" s="6">
        <f>1-G10/F10</f>
        <v>1</v>
      </c>
      <c r="J10" s="478"/>
    </row>
    <row r="11" spans="1:13">
      <c r="A11" s="1212"/>
      <c r="B11" s="1194"/>
      <c r="C11" s="1198"/>
      <c r="D11" s="164" t="s">
        <v>388</v>
      </c>
      <c r="E11" s="70">
        <v>9</v>
      </c>
      <c r="F11" s="70">
        <f>+E11+H10</f>
        <v>46</v>
      </c>
      <c r="G11" s="71"/>
      <c r="H11" s="42">
        <f>+F11-G11</f>
        <v>46</v>
      </c>
      <c r="I11" s="6">
        <f t="shared" si="1"/>
        <v>1</v>
      </c>
      <c r="J11" s="478"/>
    </row>
    <row r="12" spans="1:13">
      <c r="A12" s="1212"/>
      <c r="B12" s="1188" t="s">
        <v>93</v>
      </c>
      <c r="C12" s="1199">
        <f>E12+E13</f>
        <v>320</v>
      </c>
      <c r="D12" s="163" t="s">
        <v>314</v>
      </c>
      <c r="E12" s="466">
        <v>256</v>
      </c>
      <c r="F12" s="466">
        <f>+E12</f>
        <v>256</v>
      </c>
      <c r="G12" s="472">
        <v>157.53700000000001</v>
      </c>
      <c r="H12" s="234">
        <f t="shared" si="0"/>
        <v>98.462999999999994</v>
      </c>
      <c r="I12" s="468">
        <f t="shared" si="1"/>
        <v>0.38462109374999998</v>
      </c>
      <c r="J12" s="479"/>
    </row>
    <row r="13" spans="1:13">
      <c r="A13" s="1212"/>
      <c r="B13" s="1203"/>
      <c r="C13" s="1196"/>
      <c r="D13" s="164" t="s">
        <v>388</v>
      </c>
      <c r="E13" s="469">
        <v>64</v>
      </c>
      <c r="F13" s="469">
        <f>+E13+H12</f>
        <v>162.46299999999999</v>
      </c>
      <c r="G13" s="473">
        <v>132.18299999999999</v>
      </c>
      <c r="H13" s="241">
        <f t="shared" si="0"/>
        <v>30.28</v>
      </c>
      <c r="I13" s="789">
        <f t="shared" si="1"/>
        <v>0.18638089903547272</v>
      </c>
      <c r="J13" s="480"/>
    </row>
    <row r="14" spans="1:13">
      <c r="A14" s="1212"/>
      <c r="B14" s="1188" t="s">
        <v>94</v>
      </c>
      <c r="C14" s="1198">
        <f>E14+E15</f>
        <v>600</v>
      </c>
      <c r="D14" s="39" t="s">
        <v>314</v>
      </c>
      <c r="E14" s="70">
        <v>480</v>
      </c>
      <c r="F14" s="70">
        <f>+E14</f>
        <v>480</v>
      </c>
      <c r="G14" s="71">
        <v>405.22899999999998</v>
      </c>
      <c r="H14" s="42">
        <f t="shared" si="0"/>
        <v>74.771000000000015</v>
      </c>
      <c r="I14" s="468">
        <f t="shared" si="1"/>
        <v>0.15577291666666671</v>
      </c>
      <c r="J14" s="79"/>
    </row>
    <row r="15" spans="1:13">
      <c r="A15" s="1212"/>
      <c r="B15" s="1203"/>
      <c r="C15" s="1198"/>
      <c r="D15" s="164" t="s">
        <v>388</v>
      </c>
      <c r="E15" s="70">
        <v>120</v>
      </c>
      <c r="F15" s="70">
        <f>+E15+H14</f>
        <v>194.77100000000002</v>
      </c>
      <c r="G15" s="71">
        <v>117.205</v>
      </c>
      <c r="H15" s="42">
        <f t="shared" si="0"/>
        <v>77.566000000000017</v>
      </c>
      <c r="I15" s="755">
        <f t="shared" si="1"/>
        <v>0.39824203808575209</v>
      </c>
      <c r="J15" s="79"/>
    </row>
    <row r="16" spans="1:13">
      <c r="A16" s="1212"/>
      <c r="B16" s="1188" t="s">
        <v>95</v>
      </c>
      <c r="C16" s="1199">
        <f>E16+E17</f>
        <v>1020</v>
      </c>
      <c r="D16" s="163" t="s">
        <v>314</v>
      </c>
      <c r="E16" s="466">
        <v>816</v>
      </c>
      <c r="F16" s="466">
        <f>+E16</f>
        <v>816</v>
      </c>
      <c r="G16" s="472">
        <v>491.36500000000001</v>
      </c>
      <c r="H16" s="234">
        <f t="shared" si="0"/>
        <v>324.63499999999999</v>
      </c>
      <c r="I16" s="468">
        <f>1-G16/F16</f>
        <v>0.39783700980392156</v>
      </c>
      <c r="J16" s="479"/>
      <c r="L16" s="84"/>
      <c r="M16" s="336"/>
    </row>
    <row r="17" spans="1:13">
      <c r="A17" s="1212"/>
      <c r="B17" s="1203"/>
      <c r="C17" s="1196"/>
      <c r="D17" s="164" t="s">
        <v>388</v>
      </c>
      <c r="E17" s="469">
        <v>204</v>
      </c>
      <c r="F17" s="469">
        <f>+E17+H16</f>
        <v>528.63499999999999</v>
      </c>
      <c r="G17" s="473">
        <v>192.66300000000001</v>
      </c>
      <c r="H17" s="474">
        <f t="shared" si="0"/>
        <v>335.97199999999998</v>
      </c>
      <c r="I17" s="471">
        <f t="shared" si="1"/>
        <v>0.63554626538159598</v>
      </c>
      <c r="J17" s="480"/>
    </row>
    <row r="18" spans="1:13">
      <c r="A18" s="1212"/>
      <c r="B18" s="1188" t="s">
        <v>96</v>
      </c>
      <c r="C18" s="1198">
        <f>E18+E19</f>
        <v>1010</v>
      </c>
      <c r="D18" s="39" t="s">
        <v>314</v>
      </c>
      <c r="E18" s="70">
        <v>808</v>
      </c>
      <c r="F18" s="70">
        <f>+E18</f>
        <v>808</v>
      </c>
      <c r="G18" s="71">
        <v>768.19500000000005</v>
      </c>
      <c r="H18" s="42">
        <f t="shared" si="0"/>
        <v>39.80499999999995</v>
      </c>
      <c r="I18" s="6">
        <f t="shared" si="1"/>
        <v>4.9263613861386113E-2</v>
      </c>
      <c r="J18" s="79"/>
    </row>
    <row r="19" spans="1:13">
      <c r="A19" s="1212"/>
      <c r="B19" s="1203"/>
      <c r="C19" s="1198"/>
      <c r="D19" s="164" t="s">
        <v>388</v>
      </c>
      <c r="E19" s="70">
        <v>202</v>
      </c>
      <c r="F19" s="70">
        <f>+E19+H18</f>
        <v>241.80499999999995</v>
      </c>
      <c r="G19" s="71">
        <v>218.661</v>
      </c>
      <c r="H19" s="803">
        <f t="shared" si="0"/>
        <v>23.143999999999949</v>
      </c>
      <c r="I19" s="755">
        <f t="shared" si="1"/>
        <v>9.5713488141270675E-2</v>
      </c>
      <c r="J19" s="79"/>
    </row>
    <row r="20" spans="1:13">
      <c r="A20" s="1212"/>
      <c r="B20" s="1197" t="s">
        <v>97</v>
      </c>
      <c r="C20" s="1199">
        <f>E20+E21</f>
        <v>1020</v>
      </c>
      <c r="D20" s="163" t="s">
        <v>314</v>
      </c>
      <c r="E20" s="466">
        <v>816</v>
      </c>
      <c r="F20" s="466">
        <f>+E20</f>
        <v>816</v>
      </c>
      <c r="G20" s="472">
        <v>333.471</v>
      </c>
      <c r="H20" s="234">
        <f t="shared" si="0"/>
        <v>482.529</v>
      </c>
      <c r="I20" s="468">
        <f t="shared" si="1"/>
        <v>0.59133455882352948</v>
      </c>
      <c r="J20" s="481"/>
    </row>
    <row r="21" spans="1:13" ht="15.75" thickBot="1">
      <c r="A21" s="1212"/>
      <c r="B21" s="1213"/>
      <c r="C21" s="1198"/>
      <c r="D21" s="164" t="s">
        <v>388</v>
      </c>
      <c r="E21" s="70">
        <v>204</v>
      </c>
      <c r="F21" s="70">
        <f>+E21+H20</f>
        <v>686.529</v>
      </c>
      <c r="G21" s="71">
        <v>372.55</v>
      </c>
      <c r="H21" s="42">
        <f t="shared" si="0"/>
        <v>313.97899999999998</v>
      </c>
      <c r="I21" s="755">
        <f t="shared" si="1"/>
        <v>0.45734266141707047</v>
      </c>
      <c r="J21" s="80"/>
    </row>
    <row r="22" spans="1:13">
      <c r="A22" s="1207" t="s">
        <v>98</v>
      </c>
      <c r="B22" s="1209" t="s">
        <v>92</v>
      </c>
      <c r="C22" s="1195">
        <f>+E22+E23</f>
        <v>388</v>
      </c>
      <c r="D22" s="73" t="s">
        <v>315</v>
      </c>
      <c r="E22" s="74">
        <v>349</v>
      </c>
      <c r="F22" s="74">
        <f>+E22</f>
        <v>349</v>
      </c>
      <c r="G22" s="475">
        <v>96.6</v>
      </c>
      <c r="H22" s="75">
        <f t="shared" si="0"/>
        <v>252.4</v>
      </c>
      <c r="I22" s="5">
        <f t="shared" si="1"/>
        <v>0.72320916905444133</v>
      </c>
      <c r="J22" s="485"/>
      <c r="K22" s="825" t="s">
        <v>413</v>
      </c>
      <c r="L22" s="726"/>
    </row>
    <row r="23" spans="1:13">
      <c r="A23" s="1208"/>
      <c r="B23" s="1203"/>
      <c r="C23" s="1196"/>
      <c r="D23" s="164" t="s">
        <v>316</v>
      </c>
      <c r="E23" s="469">
        <v>39</v>
      </c>
      <c r="F23" s="469">
        <f>+E23+H22</f>
        <v>291.39999999999998</v>
      </c>
      <c r="G23" s="470">
        <f>82.674+13.459</f>
        <v>96.13300000000001</v>
      </c>
      <c r="H23" s="241">
        <f t="shared" si="0"/>
        <v>195.26699999999997</v>
      </c>
      <c r="I23" s="471">
        <f t="shared" si="1"/>
        <v>0.67009951956074121</v>
      </c>
      <c r="J23" s="477"/>
      <c r="K23" s="732">
        <v>13.459</v>
      </c>
    </row>
    <row r="24" spans="1:13">
      <c r="A24" s="1208"/>
      <c r="B24" s="1188" t="s">
        <v>93</v>
      </c>
      <c r="C24" s="1198">
        <f>+E24+E25</f>
        <v>1392</v>
      </c>
      <c r="D24" s="39" t="s">
        <v>315</v>
      </c>
      <c r="E24" s="70">
        <v>1253</v>
      </c>
      <c r="F24" s="70">
        <f>+E24</f>
        <v>1253</v>
      </c>
      <c r="G24" s="465">
        <v>980.07</v>
      </c>
      <c r="H24" s="42">
        <f t="shared" si="0"/>
        <v>272.92999999999995</v>
      </c>
      <c r="I24" s="6">
        <f>1-G24/F24</f>
        <v>0.21782122905027934</v>
      </c>
      <c r="J24" s="79"/>
      <c r="K24" s="726"/>
    </row>
    <row r="25" spans="1:13">
      <c r="A25" s="1208"/>
      <c r="B25" s="1210"/>
      <c r="C25" s="1198"/>
      <c r="D25" s="39" t="s">
        <v>316</v>
      </c>
      <c r="E25" s="70">
        <v>139</v>
      </c>
      <c r="F25" s="70">
        <f>+E25+H24</f>
        <v>411.92999999999995</v>
      </c>
      <c r="G25" s="249">
        <f>325.058+42.45</f>
        <v>367.50799999999998</v>
      </c>
      <c r="H25" s="42">
        <f t="shared" si="0"/>
        <v>44.421999999999969</v>
      </c>
      <c r="I25" s="755">
        <f>1-G25/F25</f>
        <v>0.10783871046051507</v>
      </c>
      <c r="J25" s="79"/>
      <c r="K25" s="732">
        <v>42.45</v>
      </c>
    </row>
    <row r="26" spans="1:13">
      <c r="A26" s="1204" t="s">
        <v>99</v>
      </c>
      <c r="B26" s="1188" t="s">
        <v>317</v>
      </c>
      <c r="C26" s="1199">
        <f>+E26+E27</f>
        <v>1379</v>
      </c>
      <c r="D26" s="163" t="s">
        <v>315</v>
      </c>
      <c r="E26" s="466">
        <v>1241</v>
      </c>
      <c r="F26" s="466">
        <f>+E26</f>
        <v>1241</v>
      </c>
      <c r="G26" s="483">
        <v>1181.5429999999999</v>
      </c>
      <c r="H26" s="234">
        <f t="shared" si="0"/>
        <v>59.457000000000107</v>
      </c>
      <c r="I26" s="468">
        <f>1-G26/F26</f>
        <v>4.7910556003223248E-2</v>
      </c>
      <c r="J26" s="681">
        <v>42162</v>
      </c>
      <c r="K26" s="724"/>
      <c r="L26" s="459"/>
    </row>
    <row r="27" spans="1:13">
      <c r="A27" s="1205"/>
      <c r="B27" s="1203"/>
      <c r="C27" s="1196"/>
      <c r="D27" s="164" t="s">
        <v>316</v>
      </c>
      <c r="E27" s="469">
        <v>138</v>
      </c>
      <c r="F27" s="469">
        <f>E27+H26</f>
        <v>197.45700000000011</v>
      </c>
      <c r="G27" s="484">
        <v>102.998</v>
      </c>
      <c r="H27" s="241">
        <f>+F27-G27</f>
        <v>94.459000000000103</v>
      </c>
      <c r="I27" s="789">
        <f t="shared" si="1"/>
        <v>0.47837757081288612</v>
      </c>
      <c r="J27" s="486"/>
      <c r="K27" s="724"/>
      <c r="L27" s="726"/>
      <c r="M27" s="726"/>
    </row>
    <row r="28" spans="1:13">
      <c r="A28" s="1205"/>
      <c r="B28" s="1188" t="s">
        <v>318</v>
      </c>
      <c r="C28" s="1198">
        <f>+E28+E29</f>
        <v>591</v>
      </c>
      <c r="D28" s="39" t="s">
        <v>315</v>
      </c>
      <c r="E28" s="70">
        <v>532</v>
      </c>
      <c r="F28" s="70">
        <f>+E28</f>
        <v>532</v>
      </c>
      <c r="G28" s="465">
        <v>259.12299999999999</v>
      </c>
      <c r="H28" s="42">
        <f t="shared" si="0"/>
        <v>272.87700000000001</v>
      </c>
      <c r="I28" s="6">
        <f t="shared" si="1"/>
        <v>0.51292669172932337</v>
      </c>
      <c r="J28" s="80"/>
      <c r="K28" s="724"/>
      <c r="L28" s="459"/>
    </row>
    <row r="29" spans="1:13" ht="15.75" thickBot="1">
      <c r="A29" s="1206"/>
      <c r="B29" s="1189"/>
      <c r="C29" s="1200"/>
      <c r="D29" s="76" t="s">
        <v>316</v>
      </c>
      <c r="E29" s="77">
        <v>59</v>
      </c>
      <c r="F29" s="77">
        <f>E29+H28</f>
        <v>331.87700000000001</v>
      </c>
      <c r="G29" s="487">
        <v>176.053</v>
      </c>
      <c r="H29" s="78">
        <f>+F29-G29</f>
        <v>155.82400000000001</v>
      </c>
      <c r="I29" s="819">
        <f t="shared" si="1"/>
        <v>0.46952334750525049</v>
      </c>
      <c r="J29" s="482"/>
      <c r="K29" s="724"/>
      <c r="L29" s="459"/>
    </row>
    <row r="30" spans="1:13">
      <c r="A30" s="1190" t="s">
        <v>100</v>
      </c>
      <c r="B30" s="1193" t="s">
        <v>91</v>
      </c>
      <c r="C30" s="1195">
        <f>+E30+E31</f>
        <v>6</v>
      </c>
      <c r="D30" s="73" t="s">
        <v>315</v>
      </c>
      <c r="E30" s="74">
        <v>5</v>
      </c>
      <c r="F30" s="74">
        <f>+E30</f>
        <v>5</v>
      </c>
      <c r="G30" s="475"/>
      <c r="H30" s="75">
        <f t="shared" si="0"/>
        <v>5</v>
      </c>
      <c r="I30" s="5">
        <f t="shared" si="1"/>
        <v>1</v>
      </c>
      <c r="J30" s="476"/>
      <c r="K30" s="724"/>
      <c r="L30" s="726"/>
    </row>
    <row r="31" spans="1:13">
      <c r="A31" s="1191"/>
      <c r="B31" s="1194"/>
      <c r="C31" s="1196"/>
      <c r="D31" s="164" t="s">
        <v>316</v>
      </c>
      <c r="E31" s="469">
        <v>1</v>
      </c>
      <c r="F31" s="469">
        <f>+E31+H30</f>
        <v>6</v>
      </c>
      <c r="G31" s="470"/>
      <c r="H31" s="241">
        <f t="shared" si="0"/>
        <v>6</v>
      </c>
      <c r="I31" s="471">
        <f t="shared" si="1"/>
        <v>1</v>
      </c>
      <c r="J31" s="477"/>
      <c r="K31" s="724"/>
      <c r="L31" s="726"/>
    </row>
    <row r="32" spans="1:13">
      <c r="A32" s="1191"/>
      <c r="B32" s="1197" t="s">
        <v>92</v>
      </c>
      <c r="C32" s="1198">
        <f>+E32+E33</f>
        <v>35</v>
      </c>
      <c r="D32" s="39" t="s">
        <v>315</v>
      </c>
      <c r="E32" s="70">
        <v>31</v>
      </c>
      <c r="F32" s="70">
        <f>+E32</f>
        <v>31</v>
      </c>
      <c r="G32" s="465"/>
      <c r="H32" s="42">
        <f t="shared" si="0"/>
        <v>31</v>
      </c>
      <c r="I32" s="6">
        <f t="shared" si="1"/>
        <v>1</v>
      </c>
      <c r="J32" s="790"/>
      <c r="K32" s="724"/>
      <c r="L32" s="726"/>
    </row>
    <row r="33" spans="1:12">
      <c r="A33" s="1191"/>
      <c r="B33" s="1194"/>
      <c r="C33" s="1198"/>
      <c r="D33" s="164" t="s">
        <v>316</v>
      </c>
      <c r="E33" s="70">
        <v>4</v>
      </c>
      <c r="F33" s="70">
        <f>+E33+H32</f>
        <v>35</v>
      </c>
      <c r="G33" s="465"/>
      <c r="H33" s="42">
        <f t="shared" si="0"/>
        <v>35</v>
      </c>
      <c r="I33" s="6">
        <f t="shared" si="1"/>
        <v>1</v>
      </c>
      <c r="J33" s="790"/>
      <c r="K33" s="724"/>
      <c r="L33" s="726"/>
    </row>
    <row r="34" spans="1:12">
      <c r="A34" s="1191"/>
      <c r="B34" s="1197" t="s">
        <v>93</v>
      </c>
      <c r="C34" s="1199">
        <f>+E34+E35</f>
        <v>25</v>
      </c>
      <c r="D34" s="39" t="s">
        <v>315</v>
      </c>
      <c r="E34" s="466">
        <v>22</v>
      </c>
      <c r="F34" s="466">
        <f>+E34</f>
        <v>22</v>
      </c>
      <c r="G34" s="467">
        <v>8.99</v>
      </c>
      <c r="H34" s="234">
        <f t="shared" si="0"/>
        <v>13.01</v>
      </c>
      <c r="I34" s="468">
        <f t="shared" si="1"/>
        <v>0.59136363636363631</v>
      </c>
      <c r="J34" s="791"/>
      <c r="K34" s="724"/>
      <c r="L34" s="726"/>
    </row>
    <row r="35" spans="1:12">
      <c r="A35" s="1192"/>
      <c r="B35" s="1194"/>
      <c r="C35" s="1196"/>
      <c r="D35" s="164" t="s">
        <v>316</v>
      </c>
      <c r="E35" s="469">
        <v>3</v>
      </c>
      <c r="F35" s="469">
        <f>+E35+H34</f>
        <v>16.009999999999998</v>
      </c>
      <c r="G35" s="484">
        <v>12.385999999999999</v>
      </c>
      <c r="H35" s="241">
        <f>+F35-G35</f>
        <v>3.6239999999999988</v>
      </c>
      <c r="I35" s="789">
        <f t="shared" si="1"/>
        <v>0.22635852592129913</v>
      </c>
      <c r="J35" s="792"/>
      <c r="K35" s="724"/>
      <c r="L35" s="726"/>
    </row>
    <row r="36" spans="1:12">
      <c r="A36" s="1201" t="s">
        <v>101</v>
      </c>
      <c r="B36" s="1188" t="s">
        <v>94</v>
      </c>
      <c r="C36" s="1198">
        <f>+E36+E37</f>
        <v>500</v>
      </c>
      <c r="D36" s="39" t="s">
        <v>315</v>
      </c>
      <c r="E36" s="70">
        <v>450</v>
      </c>
      <c r="F36" s="70">
        <f>+E36</f>
        <v>450</v>
      </c>
      <c r="G36" s="465">
        <v>536.02099999999996</v>
      </c>
      <c r="H36" s="42">
        <f>+F36-G36</f>
        <v>-86.020999999999958</v>
      </c>
      <c r="I36" s="701">
        <f>1-G36/F36</f>
        <v>-0.19115777777777776</v>
      </c>
      <c r="J36" s="681">
        <v>42124</v>
      </c>
      <c r="K36" s="724"/>
      <c r="L36" s="727"/>
    </row>
    <row r="37" spans="1:12">
      <c r="A37" s="1201"/>
      <c r="B37" s="1203"/>
      <c r="C37" s="1198"/>
      <c r="D37" s="164" t="s">
        <v>316</v>
      </c>
      <c r="E37" s="70">
        <v>50</v>
      </c>
      <c r="F37" s="668">
        <f>+E37+H36</f>
        <v>-36.020999999999958</v>
      </c>
      <c r="G37" s="249">
        <v>24.626000000000001</v>
      </c>
      <c r="H37" s="42">
        <f>+F37-G37</f>
        <v>-60.646999999999963</v>
      </c>
      <c r="I37" s="701">
        <f>1-G36/(E37+E36)</f>
        <v>-7.2041999999999939E-2</v>
      </c>
      <c r="J37" s="838"/>
      <c r="K37" s="724"/>
      <c r="L37" s="459"/>
    </row>
    <row r="38" spans="1:12">
      <c r="A38" s="1201"/>
      <c r="B38" s="1188" t="s">
        <v>95</v>
      </c>
      <c r="C38" s="1199">
        <f>+E38+E39</f>
        <v>730</v>
      </c>
      <c r="D38" s="39" t="s">
        <v>315</v>
      </c>
      <c r="E38" s="466">
        <v>657</v>
      </c>
      <c r="F38" s="466">
        <f>+E38</f>
        <v>657</v>
      </c>
      <c r="G38" s="467">
        <v>657.28700000000003</v>
      </c>
      <c r="H38" s="234">
        <f t="shared" ref="H38:H43" si="2">+F38-G38</f>
        <v>-0.28700000000003456</v>
      </c>
      <c r="I38" s="757">
        <f t="shared" si="1"/>
        <v>-4.3683409436834353E-4</v>
      </c>
      <c r="J38" s="653">
        <v>42184</v>
      </c>
      <c r="K38" s="724"/>
      <c r="L38" s="459"/>
    </row>
    <row r="39" spans="1:12">
      <c r="A39" s="1201"/>
      <c r="B39" s="1203"/>
      <c r="C39" s="1196"/>
      <c r="D39" s="164" t="s">
        <v>316</v>
      </c>
      <c r="E39" s="469">
        <v>73</v>
      </c>
      <c r="F39" s="469">
        <f>+E39+H38</f>
        <v>72.712999999999965</v>
      </c>
      <c r="G39" s="470">
        <v>17.189</v>
      </c>
      <c r="H39" s="241">
        <f t="shared" si="2"/>
        <v>55.523999999999965</v>
      </c>
      <c r="I39" s="471">
        <f t="shared" si="1"/>
        <v>0.76360485745327511</v>
      </c>
      <c r="J39" s="488"/>
      <c r="K39" s="724"/>
      <c r="L39" s="459"/>
    </row>
    <row r="40" spans="1:12">
      <c r="A40" s="1201"/>
      <c r="B40" s="1188" t="s">
        <v>96</v>
      </c>
      <c r="C40" s="1198">
        <f>+E40+E41</f>
        <v>2300</v>
      </c>
      <c r="D40" s="39" t="s">
        <v>315</v>
      </c>
      <c r="E40" s="70">
        <v>2070</v>
      </c>
      <c r="F40" s="70">
        <f>+E40</f>
        <v>2070</v>
      </c>
      <c r="G40" s="249">
        <v>1731.1030000000001</v>
      </c>
      <c r="H40" s="42">
        <f t="shared" si="2"/>
        <v>338.89699999999993</v>
      </c>
      <c r="I40" s="6">
        <f t="shared" si="1"/>
        <v>0.16371835748792263</v>
      </c>
      <c r="J40" s="80"/>
      <c r="K40" s="724"/>
      <c r="L40" s="459"/>
    </row>
    <row r="41" spans="1:12">
      <c r="A41" s="1201"/>
      <c r="B41" s="1203"/>
      <c r="C41" s="1198"/>
      <c r="D41" s="164" t="s">
        <v>316</v>
      </c>
      <c r="E41" s="70">
        <v>230</v>
      </c>
      <c r="F41" s="70">
        <f>+E41+H40</f>
        <v>568.89699999999993</v>
      </c>
      <c r="G41" s="249">
        <v>237.67500000000001</v>
      </c>
      <c r="H41" s="42">
        <f t="shared" si="2"/>
        <v>331.22199999999992</v>
      </c>
      <c r="I41" s="6">
        <f t="shared" si="1"/>
        <v>0.58221787072176501</v>
      </c>
      <c r="J41" s="80"/>
      <c r="K41" s="724"/>
      <c r="L41" s="459"/>
    </row>
    <row r="42" spans="1:12">
      <c r="A42" s="1201"/>
      <c r="B42" s="1188" t="s">
        <v>97</v>
      </c>
      <c r="C42" s="1199">
        <f>+E42+E43</f>
        <v>2300</v>
      </c>
      <c r="D42" s="39" t="s">
        <v>315</v>
      </c>
      <c r="E42" s="466">
        <v>2070</v>
      </c>
      <c r="F42" s="466">
        <f>+E42</f>
        <v>2070</v>
      </c>
      <c r="G42" s="467">
        <v>1346.03</v>
      </c>
      <c r="H42" s="234">
        <f t="shared" si="2"/>
        <v>723.97</v>
      </c>
      <c r="I42" s="468">
        <f t="shared" si="1"/>
        <v>0.34974396135265706</v>
      </c>
      <c r="J42" s="481"/>
      <c r="K42" s="724"/>
      <c r="L42" s="459"/>
    </row>
    <row r="43" spans="1:12" ht="15.75" thickBot="1">
      <c r="A43" s="1202"/>
      <c r="B43" s="1189"/>
      <c r="C43" s="1200"/>
      <c r="D43" s="76" t="s">
        <v>316</v>
      </c>
      <c r="E43" s="77">
        <v>230</v>
      </c>
      <c r="F43" s="77">
        <f>+E43+H42</f>
        <v>953.97</v>
      </c>
      <c r="G43" s="489">
        <v>581.08699999999999</v>
      </c>
      <c r="H43" s="78">
        <f t="shared" si="2"/>
        <v>372.88300000000004</v>
      </c>
      <c r="I43" s="819">
        <f t="shared" si="1"/>
        <v>0.3908749751040389</v>
      </c>
      <c r="J43" s="482"/>
      <c r="K43" s="726"/>
      <c r="L43" s="726"/>
    </row>
    <row r="44" spans="1:12">
      <c r="K44" s="726"/>
    </row>
    <row r="45" spans="1:12">
      <c r="J45" s="682"/>
      <c r="K45" s="726"/>
    </row>
  </sheetData>
  <mergeCells count="51">
    <mergeCell ref="A3:J3"/>
    <mergeCell ref="A4:J4"/>
    <mergeCell ref="A6:A7"/>
    <mergeCell ref="B6:B7"/>
    <mergeCell ref="C6:C7"/>
    <mergeCell ref="D6:F6"/>
    <mergeCell ref="G6:G7"/>
    <mergeCell ref="H6:H7"/>
    <mergeCell ref="I6:I7"/>
    <mergeCell ref="J6:J7"/>
    <mergeCell ref="A8:A21"/>
    <mergeCell ref="B8:B9"/>
    <mergeCell ref="C8:C9"/>
    <mergeCell ref="B10:B11"/>
    <mergeCell ref="C10:C11"/>
    <mergeCell ref="C20:C21"/>
    <mergeCell ref="C16:C17"/>
    <mergeCell ref="B14:B15"/>
    <mergeCell ref="B16:B17"/>
    <mergeCell ref="B18:B19"/>
    <mergeCell ref="C18:C19"/>
    <mergeCell ref="B20:B21"/>
    <mergeCell ref="C12:C13"/>
    <mergeCell ref="B12:B13"/>
    <mergeCell ref="C14:C15"/>
    <mergeCell ref="A22:A25"/>
    <mergeCell ref="B22:B23"/>
    <mergeCell ref="C22:C23"/>
    <mergeCell ref="B24:B25"/>
    <mergeCell ref="C24:C25"/>
    <mergeCell ref="A26:A29"/>
    <mergeCell ref="B26:B27"/>
    <mergeCell ref="C26:C27"/>
    <mergeCell ref="B28:B29"/>
    <mergeCell ref="C28:C29"/>
    <mergeCell ref="B42:B43"/>
    <mergeCell ref="A30:A35"/>
    <mergeCell ref="B30:B31"/>
    <mergeCell ref="C30:C31"/>
    <mergeCell ref="B32:B33"/>
    <mergeCell ref="C32:C33"/>
    <mergeCell ref="C42:C43"/>
    <mergeCell ref="B34:B35"/>
    <mergeCell ref="C34:C35"/>
    <mergeCell ref="A36:A43"/>
    <mergeCell ref="B36:B37"/>
    <mergeCell ref="C36:C37"/>
    <mergeCell ref="B38:B39"/>
    <mergeCell ref="C38:C39"/>
    <mergeCell ref="B40:B41"/>
    <mergeCell ref="C40:C41"/>
  </mergeCells>
  <pageMargins left="0.70866141732283472" right="0.70866141732283472" top="0.49" bottom="0.32" header="0.31496062992125984" footer="0.31496062992125984"/>
  <pageSetup paperSize="122" scale="80" orientation="landscape" r:id="rId1"/>
  <ignoredErrors>
    <ignoredError sqref="F10 F12 F14 F16 F18 F20 F22 F9 F21 F19 F17 F15 F13 F11 F42 F40 F38 F36 F32 F34 F30 F24 F23 F25:F29 F31 F33 F39 F41 F43" formula="1"/>
  </ignoredErrors>
  <drawing r:id="rId2"/>
</worksheet>
</file>

<file path=xl/worksheets/sheet6.xml><?xml version="1.0" encoding="utf-8"?>
<worksheet xmlns="http://schemas.openxmlformats.org/spreadsheetml/2006/main" xmlns:r="http://schemas.openxmlformats.org/officeDocument/2006/relationships">
  <sheetPr>
    <tabColor rgb="FF00B0F0"/>
  </sheetPr>
  <dimension ref="A2:V99"/>
  <sheetViews>
    <sheetView topLeftCell="A55" zoomScale="80" zoomScaleNormal="80" workbookViewId="0">
      <selection activeCell="L96" sqref="L96"/>
    </sheetView>
  </sheetViews>
  <sheetFormatPr baseColWidth="10" defaultRowHeight="12.75"/>
  <cols>
    <col min="1" max="1" width="17.5703125" style="9" customWidth="1"/>
    <col min="2" max="2" width="35.5703125" style="9" customWidth="1"/>
    <col min="3" max="3" width="12.28515625" style="9" customWidth="1"/>
    <col min="4" max="4" width="17.140625" style="9" customWidth="1"/>
    <col min="5" max="5" width="13.42578125" style="9" customWidth="1"/>
    <col min="6" max="6" width="12.7109375" style="9" bestFit="1" customWidth="1"/>
    <col min="7" max="7" width="12.28515625" style="9" bestFit="1" customWidth="1"/>
    <col min="8" max="8" width="18.42578125" style="9" bestFit="1" customWidth="1"/>
    <col min="9" max="9" width="20" style="9" bestFit="1" customWidth="1"/>
    <col min="10" max="10" width="9.5703125" style="9" bestFit="1" customWidth="1"/>
    <col min="11" max="11" width="22" style="9" customWidth="1"/>
    <col min="12" max="12" width="10" style="9" customWidth="1"/>
    <col min="13" max="13" width="14" style="9" hidden="1" customWidth="1"/>
    <col min="14" max="14" width="10.42578125" style="9" customWidth="1"/>
    <col min="15" max="15" width="10.7109375" style="9" customWidth="1"/>
    <col min="16" max="16" width="9.42578125" style="9" customWidth="1"/>
    <col min="17" max="19" width="11.42578125" style="9"/>
    <col min="20" max="20" width="14.28515625" style="9" customWidth="1"/>
    <col min="21" max="16384" width="11.42578125" style="9"/>
  </cols>
  <sheetData>
    <row r="2" spans="2:22" ht="15.75">
      <c r="B2" s="1227" t="s">
        <v>319</v>
      </c>
      <c r="C2" s="1228"/>
      <c r="D2" s="1228"/>
      <c r="E2" s="1228"/>
      <c r="F2" s="1228"/>
      <c r="G2" s="1228"/>
      <c r="H2" s="1228"/>
      <c r="I2" s="1228"/>
      <c r="J2" s="1228"/>
      <c r="K2" s="1229"/>
    </row>
    <row r="3" spans="2:22" ht="15.75">
      <c r="B3" s="1230" t="s">
        <v>415</v>
      </c>
      <c r="C3" s="1231"/>
      <c r="D3" s="1231"/>
      <c r="E3" s="1231"/>
      <c r="F3" s="1231"/>
      <c r="G3" s="1231"/>
      <c r="H3" s="1231"/>
      <c r="I3" s="1231"/>
      <c r="J3" s="1231"/>
      <c r="K3" s="1232"/>
    </row>
    <row r="5" spans="2:22" ht="15.75">
      <c r="B5" s="62" t="s">
        <v>102</v>
      </c>
      <c r="C5" s="10">
        <v>1970</v>
      </c>
      <c r="D5" s="10"/>
      <c r="E5" s="10"/>
    </row>
    <row r="6" spans="2:22" ht="15.75">
      <c r="B6" s="1225" t="s">
        <v>103</v>
      </c>
      <c r="C6" s="1225" t="s">
        <v>104</v>
      </c>
      <c r="D6" s="1225" t="s">
        <v>105</v>
      </c>
      <c r="E6" s="1225" t="s">
        <v>106</v>
      </c>
      <c r="F6" s="1233" t="s">
        <v>107</v>
      </c>
      <c r="G6" s="1234"/>
      <c r="H6" s="1225" t="s">
        <v>108</v>
      </c>
      <c r="I6" s="1224" t="s">
        <v>6</v>
      </c>
      <c r="J6" s="1224"/>
      <c r="K6" s="1224"/>
      <c r="N6" s="11"/>
      <c r="O6" s="11"/>
      <c r="P6" s="11"/>
      <c r="Q6" s="11"/>
      <c r="R6" s="11"/>
      <c r="S6" s="11"/>
      <c r="T6" s="11"/>
      <c r="U6" s="11"/>
      <c r="V6" s="11"/>
    </row>
    <row r="7" spans="2:22" ht="16.5" customHeight="1" thickBot="1">
      <c r="B7" s="1226"/>
      <c r="C7" s="1226"/>
      <c r="D7" s="1226"/>
      <c r="E7" s="1226"/>
      <c r="F7" s="66" t="s">
        <v>109</v>
      </c>
      <c r="G7" s="66" t="s">
        <v>110</v>
      </c>
      <c r="H7" s="1226"/>
      <c r="I7" s="66" t="s">
        <v>3</v>
      </c>
      <c r="J7" s="66" t="s">
        <v>4</v>
      </c>
      <c r="K7" s="66" t="s">
        <v>5</v>
      </c>
      <c r="N7" s="11"/>
      <c r="O7" s="11"/>
      <c r="P7" s="11"/>
      <c r="Q7" s="11"/>
      <c r="R7" s="11"/>
      <c r="S7" s="11"/>
      <c r="T7" s="11"/>
      <c r="U7" s="11"/>
      <c r="V7" s="11"/>
    </row>
    <row r="8" spans="2:22" ht="15" customHeight="1">
      <c r="B8" s="15" t="s">
        <v>232</v>
      </c>
      <c r="C8" s="805">
        <v>39.01</v>
      </c>
      <c r="D8" s="828">
        <v>768.49699999999996</v>
      </c>
      <c r="E8" s="302"/>
      <c r="F8" s="258">
        <v>347.40161999999998</v>
      </c>
      <c r="G8" s="258">
        <v>492.1</v>
      </c>
      <c r="H8" s="828">
        <v>623.79862000000003</v>
      </c>
      <c r="I8" s="734">
        <v>622.971</v>
      </c>
      <c r="J8" s="13">
        <v>0.82762000000000002</v>
      </c>
      <c r="K8" s="680">
        <f>+I8/H8</f>
        <v>0.99867325772538573</v>
      </c>
      <c r="N8" s="11"/>
      <c r="O8" s="11"/>
      <c r="P8" s="11"/>
      <c r="Q8" s="11"/>
      <c r="R8" s="11"/>
      <c r="S8" s="11"/>
      <c r="T8" s="11"/>
      <c r="U8" s="11"/>
      <c r="V8" s="11"/>
    </row>
    <row r="9" spans="2:22" ht="15" customHeight="1">
      <c r="B9" s="15" t="s">
        <v>233</v>
      </c>
      <c r="C9" s="806">
        <v>17.66</v>
      </c>
      <c r="D9" s="828">
        <v>347.90199999999999</v>
      </c>
      <c r="E9" s="302"/>
      <c r="F9" s="356"/>
      <c r="G9" s="356">
        <v>347.61162000000002</v>
      </c>
      <c r="H9" s="828">
        <v>0.29038000000000003</v>
      </c>
      <c r="I9" s="735"/>
      <c r="J9" s="13">
        <v>0.29038000000000003</v>
      </c>
      <c r="K9" s="14">
        <f t="shared" ref="K9:K28" si="0">+I9/H9</f>
        <v>0</v>
      </c>
      <c r="V9" s="11"/>
    </row>
    <row r="10" spans="2:22" ht="15" customHeight="1">
      <c r="B10" s="15" t="s">
        <v>328</v>
      </c>
      <c r="C10" s="807">
        <v>1.1599999999999999</v>
      </c>
      <c r="D10" s="828">
        <v>22.852</v>
      </c>
      <c r="E10" s="302"/>
      <c r="F10" s="356"/>
      <c r="G10" s="356">
        <v>22.852</v>
      </c>
      <c r="H10" s="828">
        <v>0</v>
      </c>
      <c r="I10" s="735"/>
      <c r="J10" s="13">
        <v>0</v>
      </c>
      <c r="K10" s="14" t="e">
        <f t="shared" si="0"/>
        <v>#DIV/0!</v>
      </c>
      <c r="V10" s="11"/>
    </row>
    <row r="11" spans="2:22" ht="15" customHeight="1">
      <c r="B11" s="15" t="s">
        <v>419</v>
      </c>
      <c r="C11" s="807">
        <v>20.78</v>
      </c>
      <c r="D11" s="828">
        <v>409.36599999999999</v>
      </c>
      <c r="E11" s="302"/>
      <c r="F11" s="356">
        <v>36.531999999999996</v>
      </c>
      <c r="G11" s="356">
        <v>1</v>
      </c>
      <c r="H11" s="828">
        <v>444.89800000000002</v>
      </c>
      <c r="I11" s="735">
        <v>444.72800000000001</v>
      </c>
      <c r="J11" s="13">
        <v>0.17</v>
      </c>
      <c r="K11" s="680">
        <f t="shared" si="0"/>
        <v>0.9996178899433128</v>
      </c>
      <c r="V11" s="11"/>
    </row>
    <row r="12" spans="2:22" ht="15" customHeight="1">
      <c r="B12" s="15" t="s">
        <v>236</v>
      </c>
      <c r="C12" s="807">
        <v>10.51</v>
      </c>
      <c r="D12" s="828">
        <v>207.047</v>
      </c>
      <c r="E12" s="302"/>
      <c r="F12" s="356">
        <v>62.851999999999997</v>
      </c>
      <c r="G12" s="356">
        <v>2.4E-2</v>
      </c>
      <c r="H12" s="828">
        <v>269.875</v>
      </c>
      <c r="I12" s="735">
        <v>237.56800000000001</v>
      </c>
      <c r="J12" s="13">
        <v>32.307000000000002</v>
      </c>
      <c r="K12" s="680">
        <f t="shared" si="0"/>
        <v>0.88028902269569254</v>
      </c>
      <c r="V12" s="11"/>
    </row>
    <row r="13" spans="2:22" ht="15" customHeight="1">
      <c r="B13" s="15" t="s">
        <v>237</v>
      </c>
      <c r="C13" s="807">
        <v>0.3</v>
      </c>
      <c r="D13" s="828">
        <v>5.91</v>
      </c>
      <c r="E13" s="302"/>
      <c r="F13" s="356"/>
      <c r="G13" s="356">
        <v>5.91</v>
      </c>
      <c r="H13" s="828">
        <v>0</v>
      </c>
      <c r="I13" s="735"/>
      <c r="J13" s="13">
        <v>0</v>
      </c>
      <c r="K13" s="14" t="e">
        <f t="shared" si="0"/>
        <v>#DIV/0!</v>
      </c>
      <c r="V13" s="11"/>
    </row>
    <row r="14" spans="2:22" ht="15" customHeight="1">
      <c r="B14" s="15" t="s">
        <v>238</v>
      </c>
      <c r="C14" s="807">
        <v>0</v>
      </c>
      <c r="D14" s="828">
        <v>0</v>
      </c>
      <c r="E14" s="302"/>
      <c r="F14" s="356"/>
      <c r="G14" s="356"/>
      <c r="H14" s="828">
        <v>0</v>
      </c>
      <c r="I14" s="735"/>
      <c r="J14" s="13">
        <v>0</v>
      </c>
      <c r="K14" s="14" t="e">
        <f t="shared" si="0"/>
        <v>#DIV/0!</v>
      </c>
      <c r="V14" s="11"/>
    </row>
    <row r="15" spans="2:22" ht="15" customHeight="1">
      <c r="B15" s="15" t="s">
        <v>239</v>
      </c>
      <c r="C15" s="807">
        <v>6.8</v>
      </c>
      <c r="D15" s="828">
        <v>133.96</v>
      </c>
      <c r="E15" s="302"/>
      <c r="F15" s="356">
        <v>44.128</v>
      </c>
      <c r="G15" s="356">
        <v>30.622</v>
      </c>
      <c r="H15" s="828">
        <v>147.46600000000001</v>
      </c>
      <c r="I15" s="735">
        <v>145.94900000000001</v>
      </c>
      <c r="J15" s="13">
        <v>1.5169999999999999</v>
      </c>
      <c r="K15" s="680">
        <f t="shared" si="0"/>
        <v>0.98971288296963367</v>
      </c>
      <c r="V15" s="11"/>
    </row>
    <row r="16" spans="2:22" ht="15" customHeight="1">
      <c r="B16" s="15" t="s">
        <v>240</v>
      </c>
      <c r="C16" s="807">
        <v>1</v>
      </c>
      <c r="D16" s="828">
        <v>19.7</v>
      </c>
      <c r="E16" s="302"/>
      <c r="F16" s="356">
        <v>1</v>
      </c>
      <c r="G16" s="356"/>
      <c r="H16" s="828">
        <v>20.7</v>
      </c>
      <c r="I16" s="735"/>
      <c r="J16" s="13">
        <v>20.7</v>
      </c>
      <c r="K16" s="14">
        <f t="shared" si="0"/>
        <v>0</v>
      </c>
      <c r="V16" s="11"/>
    </row>
    <row r="17" spans="2:22" ht="15" customHeight="1">
      <c r="B17" s="15" t="s">
        <v>113</v>
      </c>
      <c r="C17" s="807">
        <v>2.2400000000000002</v>
      </c>
      <c r="D17" s="16">
        <v>44.128</v>
      </c>
      <c r="E17" s="16"/>
      <c r="F17" s="356"/>
      <c r="G17" s="356">
        <v>44.128</v>
      </c>
      <c r="H17" s="828">
        <v>0</v>
      </c>
      <c r="I17" s="735"/>
      <c r="J17" s="13">
        <v>0</v>
      </c>
      <c r="K17" s="14" t="e">
        <f t="shared" si="0"/>
        <v>#DIV/0!</v>
      </c>
      <c r="V17" s="11"/>
    </row>
    <row r="18" spans="2:22" ht="15" customHeight="1">
      <c r="B18" s="15" t="s">
        <v>241</v>
      </c>
      <c r="C18" s="807">
        <v>0</v>
      </c>
      <c r="D18" s="16">
        <v>0</v>
      </c>
      <c r="E18" s="16"/>
      <c r="F18" s="356"/>
      <c r="G18" s="356"/>
      <c r="H18" s="828">
        <v>0</v>
      </c>
      <c r="I18" s="735"/>
      <c r="J18" s="13">
        <v>0</v>
      </c>
      <c r="K18" s="14" t="e">
        <f t="shared" si="0"/>
        <v>#DIV/0!</v>
      </c>
      <c r="V18" s="11"/>
    </row>
    <row r="19" spans="2:22" ht="15" customHeight="1">
      <c r="B19" s="15" t="s">
        <v>242</v>
      </c>
      <c r="C19" s="807">
        <v>0</v>
      </c>
      <c r="D19" s="16">
        <v>0</v>
      </c>
      <c r="E19" s="16"/>
      <c r="F19" s="356"/>
      <c r="G19" s="356"/>
      <c r="H19" s="828">
        <v>0</v>
      </c>
      <c r="I19" s="735"/>
      <c r="J19" s="13">
        <v>0</v>
      </c>
      <c r="K19" s="14" t="e">
        <f t="shared" si="0"/>
        <v>#DIV/0!</v>
      </c>
      <c r="V19" s="11"/>
    </row>
    <row r="20" spans="2:22" ht="15" customHeight="1">
      <c r="B20" s="15" t="s">
        <v>243</v>
      </c>
      <c r="C20" s="807">
        <v>0.54</v>
      </c>
      <c r="D20" s="16">
        <v>10.638</v>
      </c>
      <c r="E20" s="16"/>
      <c r="F20" s="356"/>
      <c r="G20" s="356"/>
      <c r="H20" s="828">
        <v>10.638</v>
      </c>
      <c r="I20" s="735">
        <v>5</v>
      </c>
      <c r="J20" s="13">
        <v>5.6379999999999999</v>
      </c>
      <c r="K20" s="14">
        <f t="shared" si="0"/>
        <v>0.47001316036849033</v>
      </c>
      <c r="V20" s="11"/>
    </row>
    <row r="21" spans="2:22" ht="15" customHeight="1">
      <c r="B21" s="15" t="s">
        <v>244</v>
      </c>
      <c r="C21" s="807">
        <v>0</v>
      </c>
      <c r="D21" s="16">
        <v>0</v>
      </c>
      <c r="E21" s="16"/>
      <c r="F21" s="356">
        <v>0.03</v>
      </c>
      <c r="G21" s="356"/>
      <c r="H21" s="828">
        <v>0.03</v>
      </c>
      <c r="I21" s="735"/>
      <c r="J21" s="13">
        <v>0.03</v>
      </c>
      <c r="K21" s="14">
        <f t="shared" si="0"/>
        <v>0</v>
      </c>
      <c r="V21" s="11"/>
    </row>
    <row r="22" spans="2:22" ht="15" customHeight="1">
      <c r="B22" s="15" t="s">
        <v>245</v>
      </c>
      <c r="C22" s="807">
        <v>0</v>
      </c>
      <c r="D22" s="16">
        <v>0</v>
      </c>
      <c r="E22" s="16"/>
      <c r="F22" s="356"/>
      <c r="G22" s="356"/>
      <c r="H22" s="828">
        <v>0</v>
      </c>
      <c r="I22" s="735"/>
      <c r="J22" s="13">
        <v>0</v>
      </c>
      <c r="K22" s="14" t="e">
        <f t="shared" si="0"/>
        <v>#DIV/0!</v>
      </c>
      <c r="V22" s="11"/>
    </row>
    <row r="23" spans="2:22" ht="15" customHeight="1">
      <c r="B23" s="15" t="s">
        <v>351</v>
      </c>
      <c r="C23" s="807">
        <v>0</v>
      </c>
      <c r="D23" s="16">
        <v>0</v>
      </c>
      <c r="E23" s="16"/>
      <c r="F23" s="356">
        <v>0.18</v>
      </c>
      <c r="G23" s="356"/>
      <c r="H23" s="828">
        <v>0.18</v>
      </c>
      <c r="I23" s="735"/>
      <c r="J23" s="13">
        <v>0.18</v>
      </c>
      <c r="K23" s="14">
        <f t="shared" si="0"/>
        <v>0</v>
      </c>
      <c r="V23" s="11"/>
    </row>
    <row r="24" spans="2:22" ht="15" customHeight="1">
      <c r="B24" s="15" t="s">
        <v>252</v>
      </c>
      <c r="C24" s="586">
        <v>0</v>
      </c>
      <c r="D24" s="16">
        <v>0</v>
      </c>
      <c r="E24" s="16"/>
      <c r="F24" s="356">
        <v>0.1</v>
      </c>
      <c r="G24" s="356"/>
      <c r="H24" s="828">
        <v>0.1</v>
      </c>
      <c r="I24" s="736"/>
      <c r="J24" s="13">
        <v>0.1</v>
      </c>
      <c r="K24" s="14">
        <f t="shared" si="0"/>
        <v>0</v>
      </c>
      <c r="V24" s="11"/>
    </row>
    <row r="25" spans="2:22" ht="15" customHeight="1">
      <c r="B25" s="15" t="s">
        <v>329</v>
      </c>
      <c r="C25" s="807">
        <v>0</v>
      </c>
      <c r="D25" s="16">
        <v>0</v>
      </c>
      <c r="E25" s="16"/>
      <c r="F25" s="356">
        <v>2.4E-2</v>
      </c>
      <c r="G25" s="356"/>
      <c r="H25" s="828">
        <v>2.4E-2</v>
      </c>
      <c r="I25" s="735"/>
      <c r="J25" s="13">
        <v>2.4E-2</v>
      </c>
      <c r="K25" s="14">
        <f t="shared" si="0"/>
        <v>0</v>
      </c>
      <c r="V25" s="11"/>
    </row>
    <row r="26" spans="2:22" ht="15" customHeight="1">
      <c r="B26" s="15" t="s">
        <v>266</v>
      </c>
      <c r="C26" s="807">
        <v>0</v>
      </c>
      <c r="D26" s="16">
        <v>0</v>
      </c>
      <c r="E26" s="16"/>
      <c r="F26" s="356">
        <v>200</v>
      </c>
      <c r="G26" s="356"/>
      <c r="H26" s="828">
        <v>200</v>
      </c>
      <c r="I26" s="735">
        <v>199.131</v>
      </c>
      <c r="J26" s="13">
        <v>0.86899999999999999</v>
      </c>
      <c r="K26" s="680">
        <f t="shared" si="0"/>
        <v>0.99565499999999996</v>
      </c>
      <c r="V26" s="11"/>
    </row>
    <row r="27" spans="2:22" ht="15" customHeight="1">
      <c r="B27" s="15" t="s">
        <v>330</v>
      </c>
      <c r="C27" s="806">
        <v>0</v>
      </c>
      <c r="D27" s="16">
        <v>0</v>
      </c>
      <c r="E27" s="16"/>
      <c r="F27" s="356">
        <v>250</v>
      </c>
      <c r="G27" s="356"/>
      <c r="H27" s="828">
        <v>250</v>
      </c>
      <c r="I27" s="735">
        <v>249.59</v>
      </c>
      <c r="J27" s="13">
        <v>0.41</v>
      </c>
      <c r="K27" s="680">
        <f>+I27/H27</f>
        <v>0.99836000000000003</v>
      </c>
      <c r="V27" s="11"/>
    </row>
    <row r="28" spans="2:22" ht="15" customHeight="1" thickBot="1">
      <c r="B28" s="15" t="s">
        <v>420</v>
      </c>
      <c r="C28" s="587">
        <v>0</v>
      </c>
      <c r="D28" s="16">
        <v>0</v>
      </c>
      <c r="E28" s="16"/>
      <c r="F28" s="357">
        <v>2</v>
      </c>
      <c r="G28" s="16"/>
      <c r="H28" s="828">
        <v>2</v>
      </c>
      <c r="I28" s="737"/>
      <c r="J28" s="13">
        <v>2</v>
      </c>
      <c r="K28" s="14">
        <f t="shared" si="0"/>
        <v>0</v>
      </c>
      <c r="V28" s="11"/>
    </row>
    <row r="29" spans="2:22" ht="15" customHeight="1">
      <c r="B29" s="355"/>
      <c r="C29" s="248"/>
      <c r="D29" s="248"/>
      <c r="E29" s="248"/>
      <c r="F29" s="72"/>
      <c r="G29" s="248"/>
      <c r="H29" s="248"/>
      <c r="I29" s="249"/>
      <c r="J29" s="42"/>
      <c r="K29" s="43"/>
      <c r="V29" s="11"/>
    </row>
    <row r="30" spans="2:22" ht="15.75">
      <c r="B30" s="62" t="s">
        <v>111</v>
      </c>
      <c r="C30" s="1225" t="s">
        <v>104</v>
      </c>
      <c r="D30" s="1225" t="s">
        <v>105</v>
      </c>
      <c r="E30" s="1225" t="s">
        <v>106</v>
      </c>
      <c r="F30" s="1233" t="s">
        <v>107</v>
      </c>
      <c r="G30" s="1234"/>
      <c r="H30" s="1225" t="s">
        <v>108</v>
      </c>
      <c r="I30" s="1224" t="s">
        <v>6</v>
      </c>
      <c r="J30" s="1224"/>
      <c r="K30" s="1224"/>
      <c r="N30" s="11"/>
      <c r="O30" s="11"/>
      <c r="P30" s="11"/>
      <c r="Q30" s="11"/>
      <c r="R30" s="11"/>
      <c r="S30" s="11"/>
      <c r="T30" s="11"/>
      <c r="U30" s="11"/>
      <c r="V30" s="11"/>
    </row>
    <row r="31" spans="2:22" ht="15.75">
      <c r="B31" s="1235" t="s">
        <v>102</v>
      </c>
      <c r="C31" s="1226"/>
      <c r="D31" s="1226"/>
      <c r="E31" s="1226"/>
      <c r="F31" s="66" t="s">
        <v>109</v>
      </c>
      <c r="G31" s="66" t="s">
        <v>110</v>
      </c>
      <c r="H31" s="1226"/>
      <c r="I31" s="66" t="s">
        <v>3</v>
      </c>
      <c r="J31" s="66" t="s">
        <v>4</v>
      </c>
      <c r="K31" s="66" t="s">
        <v>5</v>
      </c>
      <c r="N31" s="11"/>
      <c r="O31" s="11"/>
      <c r="P31" s="11"/>
      <c r="Q31" s="11"/>
      <c r="R31" s="11"/>
      <c r="S31" s="11"/>
      <c r="T31" s="11"/>
      <c r="U31" s="11"/>
      <c r="V31" s="11"/>
    </row>
    <row r="32" spans="2:22">
      <c r="B32" s="1236"/>
      <c r="C32" s="16">
        <f>SUM(C8:C28)</f>
        <v>100</v>
      </c>
      <c r="D32" s="16">
        <f>SUM(D8:D28)</f>
        <v>1970</v>
      </c>
      <c r="E32" s="16">
        <f>SUM(E8:E18)</f>
        <v>0</v>
      </c>
      <c r="F32" s="16">
        <f>SUM(F8:F28)</f>
        <v>944.24761999999987</v>
      </c>
      <c r="G32" s="16">
        <f>SUM(G8:G28)</f>
        <v>944.24761999999998</v>
      </c>
      <c r="H32" s="16">
        <f>SUM(H8:H28)</f>
        <v>1969.9999999999998</v>
      </c>
      <c r="I32" s="24">
        <f>SUM(I8:I28)</f>
        <v>1904.9370000000001</v>
      </c>
      <c r="J32" s="16">
        <f>SUM(J8:J28)</f>
        <v>65.062999999999988</v>
      </c>
      <c r="K32" s="14">
        <f>+I32/H32</f>
        <v>0.96697309644670071</v>
      </c>
      <c r="N32" s="11"/>
      <c r="O32" s="11"/>
      <c r="P32" s="11"/>
      <c r="Q32" s="11"/>
      <c r="R32" s="11"/>
      <c r="S32" s="11"/>
      <c r="T32" s="11"/>
      <c r="U32" s="11"/>
      <c r="V32" s="11"/>
    </row>
    <row r="33" spans="2:22" ht="15.75">
      <c r="B33" s="359"/>
      <c r="C33" s="248"/>
      <c r="D33" s="248"/>
      <c r="E33" s="248"/>
      <c r="F33" s="248"/>
      <c r="G33" s="248"/>
      <c r="H33" s="248"/>
      <c r="I33" s="358"/>
      <c r="J33" s="248"/>
      <c r="K33" s="43"/>
      <c r="N33" s="11"/>
      <c r="O33" s="11"/>
      <c r="P33" s="11"/>
      <c r="Q33" s="11"/>
      <c r="R33" s="11"/>
      <c r="S33" s="11"/>
      <c r="T33" s="11"/>
      <c r="U33" s="11"/>
      <c r="V33" s="11"/>
    </row>
    <row r="34" spans="2:22">
      <c r="C34" s="10"/>
      <c r="D34" s="10"/>
      <c r="E34" s="10"/>
      <c r="N34" s="11"/>
      <c r="O34" s="11"/>
      <c r="P34" s="11"/>
      <c r="Q34" s="11"/>
      <c r="R34" s="11"/>
      <c r="S34" s="11"/>
      <c r="T34" s="11"/>
      <c r="U34" s="11"/>
      <c r="V34" s="11"/>
    </row>
    <row r="35" spans="2:22" ht="15.75">
      <c r="B35" s="62" t="s">
        <v>112</v>
      </c>
      <c r="C35" s="10">
        <v>5830</v>
      </c>
      <c r="D35" s="10"/>
      <c r="E35" s="10"/>
      <c r="N35" s="11"/>
      <c r="O35" s="11"/>
      <c r="P35" s="11"/>
      <c r="Q35" s="11"/>
      <c r="R35" s="11"/>
      <c r="S35" s="11"/>
      <c r="T35" s="11"/>
      <c r="U35" s="11"/>
      <c r="V35" s="11"/>
    </row>
    <row r="36" spans="2:22" ht="15.75">
      <c r="B36" s="1225" t="s">
        <v>103</v>
      </c>
      <c r="C36" s="1225" t="s">
        <v>104</v>
      </c>
      <c r="D36" s="1225" t="s">
        <v>105</v>
      </c>
      <c r="E36" s="1225" t="s">
        <v>106</v>
      </c>
      <c r="F36" s="1233" t="s">
        <v>107</v>
      </c>
      <c r="G36" s="1234"/>
      <c r="H36" s="1225" t="s">
        <v>108</v>
      </c>
      <c r="I36" s="1224" t="s">
        <v>6</v>
      </c>
      <c r="J36" s="1224"/>
      <c r="K36" s="1224"/>
      <c r="M36" s="18"/>
      <c r="V36" s="11"/>
    </row>
    <row r="37" spans="2:22" ht="14.25" customHeight="1" thickBot="1">
      <c r="B37" s="1226"/>
      <c r="C37" s="1226"/>
      <c r="D37" s="1226"/>
      <c r="E37" s="1226"/>
      <c r="F37" s="66" t="s">
        <v>109</v>
      </c>
      <c r="G37" s="66" t="s">
        <v>110</v>
      </c>
      <c r="H37" s="1226"/>
      <c r="I37" s="66" t="s">
        <v>3</v>
      </c>
      <c r="J37" s="66" t="s">
        <v>4</v>
      </c>
      <c r="K37" s="66" t="s">
        <v>5</v>
      </c>
      <c r="M37" s="18"/>
      <c r="N37" s="11"/>
      <c r="O37" s="11"/>
      <c r="P37" s="11"/>
      <c r="Q37" s="11"/>
      <c r="R37" s="11"/>
      <c r="S37" s="11"/>
      <c r="T37" s="11"/>
      <c r="U37" s="11"/>
      <c r="V37" s="11"/>
    </row>
    <row r="38" spans="2:22" ht="18" customHeight="1">
      <c r="B38" s="507" t="s">
        <v>232</v>
      </c>
      <c r="C38" s="805">
        <v>67.805599999999998</v>
      </c>
      <c r="D38" s="16">
        <v>3953.0659999999998</v>
      </c>
      <c r="E38" s="16"/>
      <c r="F38" s="258">
        <v>908.89450999999997</v>
      </c>
      <c r="G38" s="258">
        <v>1830.0989999999999</v>
      </c>
      <c r="H38" s="16">
        <v>3031.8620000000001</v>
      </c>
      <c r="I38" s="12">
        <v>3031.1680000000001</v>
      </c>
      <c r="J38" s="13">
        <v>0.69399</v>
      </c>
      <c r="K38" s="680">
        <f>+I38/H38</f>
        <v>0.99977109776104589</v>
      </c>
      <c r="M38" s="18"/>
      <c r="N38" s="19"/>
      <c r="O38" s="19"/>
      <c r="P38" s="20"/>
      <c r="Q38" s="20"/>
      <c r="R38" s="20"/>
      <c r="S38" s="20"/>
      <c r="T38" s="20"/>
      <c r="U38" s="20"/>
      <c r="V38" s="11"/>
    </row>
    <row r="39" spans="2:22" ht="15" customHeight="1">
      <c r="B39" s="508" t="s">
        <v>233</v>
      </c>
      <c r="C39" s="806">
        <v>15.126899999999999</v>
      </c>
      <c r="D39" s="16">
        <v>881.89800000000002</v>
      </c>
      <c r="E39" s="16"/>
      <c r="F39" s="356"/>
      <c r="G39" s="806">
        <v>881.18051000000003</v>
      </c>
      <c r="H39" s="16">
        <v>0.71799999999999997</v>
      </c>
      <c r="I39" s="12"/>
      <c r="J39" s="13">
        <v>0.71779999999999999</v>
      </c>
      <c r="K39" s="14">
        <f t="shared" ref="K39:K48" si="1">+I39/H39</f>
        <v>0</v>
      </c>
      <c r="M39" s="18"/>
      <c r="N39" s="21"/>
      <c r="O39" s="22"/>
      <c r="P39" s="22"/>
      <c r="Q39" s="22"/>
      <c r="R39" s="22"/>
      <c r="S39" s="23"/>
      <c r="T39" s="22"/>
      <c r="U39" s="22"/>
      <c r="V39" s="11"/>
    </row>
    <row r="40" spans="2:22" ht="15" customHeight="1">
      <c r="B40" s="508" t="s">
        <v>234</v>
      </c>
      <c r="C40" s="806">
        <v>0.5</v>
      </c>
      <c r="D40" s="16">
        <v>29.15</v>
      </c>
      <c r="E40" s="16"/>
      <c r="F40" s="356"/>
      <c r="G40" s="356">
        <v>29.15</v>
      </c>
      <c r="H40" s="16">
        <v>0</v>
      </c>
      <c r="I40" s="12"/>
      <c r="J40" s="13">
        <v>0</v>
      </c>
      <c r="K40" s="14" t="e">
        <f t="shared" si="1"/>
        <v>#DIV/0!</v>
      </c>
      <c r="M40" s="18"/>
      <c r="V40" s="11"/>
    </row>
    <row r="41" spans="2:22" ht="15" customHeight="1">
      <c r="B41" s="509" t="s">
        <v>235</v>
      </c>
      <c r="C41" s="807">
        <v>6.1215000000000002</v>
      </c>
      <c r="D41" s="16">
        <v>356.88344999999998</v>
      </c>
      <c r="E41" s="16"/>
      <c r="F41" s="356"/>
      <c r="G41" s="806">
        <v>31.807500000000001</v>
      </c>
      <c r="H41" s="16">
        <v>325.07594999999998</v>
      </c>
      <c r="I41" s="12">
        <v>324.827</v>
      </c>
      <c r="J41" s="13">
        <v>0.24895</v>
      </c>
      <c r="K41" s="680">
        <f t="shared" si="1"/>
        <v>0.9992341789664847</v>
      </c>
      <c r="M41" s="18"/>
      <c r="V41" s="11"/>
    </row>
    <row r="42" spans="2:22" ht="15" customHeight="1">
      <c r="B42" s="509" t="s">
        <v>236</v>
      </c>
      <c r="C42" s="807">
        <v>2.8130000000000002</v>
      </c>
      <c r="D42" s="16">
        <v>163.99789999999999</v>
      </c>
      <c r="E42" s="16"/>
      <c r="F42" s="356">
        <v>658.3</v>
      </c>
      <c r="G42" s="806">
        <v>2.4E-2</v>
      </c>
      <c r="H42" s="16">
        <v>822.27390000000003</v>
      </c>
      <c r="I42" s="12">
        <v>725.02300000000002</v>
      </c>
      <c r="J42" s="13">
        <v>97.250900000000001</v>
      </c>
      <c r="K42" s="680">
        <f t="shared" si="1"/>
        <v>0.88172931185095382</v>
      </c>
      <c r="M42" s="18"/>
      <c r="N42" s="21"/>
      <c r="O42" s="22"/>
      <c r="P42" s="22"/>
      <c r="Q42" s="22"/>
      <c r="R42" s="22"/>
      <c r="S42" s="22"/>
      <c r="T42" s="22"/>
      <c r="U42" s="22"/>
      <c r="V42" s="11"/>
    </row>
    <row r="43" spans="2:22" ht="15" customHeight="1">
      <c r="B43" s="509" t="s">
        <v>246</v>
      </c>
      <c r="C43" s="807">
        <v>1.5</v>
      </c>
      <c r="D43" s="16">
        <v>87.45</v>
      </c>
      <c r="E43" s="16"/>
      <c r="F43" s="356"/>
      <c r="G43" s="356"/>
      <c r="H43" s="16">
        <v>87.45</v>
      </c>
      <c r="I43" s="12"/>
      <c r="J43" s="13">
        <v>87.45</v>
      </c>
      <c r="K43" s="14">
        <f t="shared" si="1"/>
        <v>0</v>
      </c>
      <c r="M43" s="18"/>
      <c r="V43" s="11"/>
    </row>
    <row r="44" spans="2:22" ht="15" customHeight="1">
      <c r="B44" s="509" t="s">
        <v>238</v>
      </c>
      <c r="C44" s="807">
        <v>0</v>
      </c>
      <c r="D44" s="16">
        <v>0</v>
      </c>
      <c r="E44" s="16"/>
      <c r="F44" s="356"/>
      <c r="G44" s="356"/>
      <c r="H44" s="16">
        <v>0</v>
      </c>
      <c r="I44" s="12"/>
      <c r="J44" s="13">
        <v>0</v>
      </c>
      <c r="K44" s="14" t="e">
        <f t="shared" si="1"/>
        <v>#DIV/0!</v>
      </c>
      <c r="M44" s="18"/>
      <c r="V44" s="11"/>
    </row>
    <row r="45" spans="2:22" ht="15">
      <c r="B45" s="509" t="s">
        <v>239</v>
      </c>
      <c r="C45" s="807">
        <v>3.9430000000000001</v>
      </c>
      <c r="D45" s="16">
        <v>229.87690000000001</v>
      </c>
      <c r="E45" s="16"/>
      <c r="F45" s="356">
        <v>97.215000000000003</v>
      </c>
      <c r="G45" s="361">
        <v>27.998999999999999</v>
      </c>
      <c r="H45" s="16">
        <v>299.09289999999999</v>
      </c>
      <c r="I45" s="12">
        <v>297.79300000000001</v>
      </c>
      <c r="J45" s="13">
        <v>1.2999000000000001</v>
      </c>
      <c r="K45" s="680">
        <f t="shared" si="1"/>
        <v>0.99565385871747547</v>
      </c>
      <c r="M45" s="18"/>
      <c r="N45" s="11"/>
      <c r="O45" s="11"/>
      <c r="P45" s="11"/>
      <c r="Q45" s="11"/>
      <c r="R45" s="11"/>
      <c r="S45" s="11"/>
      <c r="T45" s="11"/>
      <c r="U45" s="11"/>
      <c r="V45" s="11"/>
    </row>
    <row r="46" spans="2:22" ht="15">
      <c r="B46" s="508" t="s">
        <v>247</v>
      </c>
      <c r="C46" s="806">
        <v>0.5</v>
      </c>
      <c r="D46" s="16">
        <v>29.15</v>
      </c>
      <c r="E46" s="16"/>
      <c r="F46" s="356"/>
      <c r="G46" s="356">
        <v>29.15</v>
      </c>
      <c r="H46" s="16">
        <v>0</v>
      </c>
      <c r="I46" s="12"/>
      <c r="J46" s="13">
        <v>0</v>
      </c>
      <c r="K46" s="14" t="e">
        <f>+I46/H46</f>
        <v>#DIV/0!</v>
      </c>
      <c r="M46" s="18"/>
      <c r="N46" s="11"/>
      <c r="O46" s="11"/>
      <c r="P46" s="11"/>
      <c r="Q46" s="11"/>
      <c r="R46" s="11"/>
      <c r="S46" s="11"/>
      <c r="T46" s="11"/>
      <c r="U46" s="11"/>
      <c r="V46" s="11"/>
    </row>
    <row r="47" spans="2:22" ht="15">
      <c r="B47" s="508" t="s">
        <v>113</v>
      </c>
      <c r="C47" s="806">
        <v>0.69</v>
      </c>
      <c r="D47" s="16">
        <v>40.226999999999997</v>
      </c>
      <c r="E47" s="16"/>
      <c r="F47" s="356"/>
      <c r="G47" s="356">
        <v>38.607500000000002</v>
      </c>
      <c r="H47" s="16">
        <v>1.6194999999999999</v>
      </c>
      <c r="I47" s="12"/>
      <c r="J47" s="13">
        <v>1.6194999999999999</v>
      </c>
      <c r="K47" s="14">
        <f>+I47/H47</f>
        <v>0</v>
      </c>
      <c r="M47" s="18"/>
      <c r="N47" s="21"/>
      <c r="O47" s="22"/>
      <c r="P47" s="22"/>
      <c r="Q47" s="22"/>
      <c r="R47" s="22"/>
      <c r="S47" s="23"/>
      <c r="T47" s="22"/>
      <c r="U47" s="22"/>
      <c r="V47" s="11"/>
    </row>
    <row r="48" spans="2:22" ht="15">
      <c r="B48" s="510" t="s">
        <v>248</v>
      </c>
      <c r="C48" s="588">
        <v>0.5</v>
      </c>
      <c r="D48" s="16">
        <v>29.15</v>
      </c>
      <c r="E48" s="16"/>
      <c r="F48" s="259"/>
      <c r="G48" s="259"/>
      <c r="H48" s="16">
        <v>29.15</v>
      </c>
      <c r="I48" s="12"/>
      <c r="J48" s="13">
        <v>29.15</v>
      </c>
      <c r="K48" s="14">
        <f t="shared" si="1"/>
        <v>0</v>
      </c>
      <c r="M48" s="18"/>
      <c r="V48" s="11"/>
    </row>
    <row r="49" spans="2:22" ht="15">
      <c r="B49" s="508" t="s">
        <v>241</v>
      </c>
      <c r="C49" s="806">
        <v>0</v>
      </c>
      <c r="D49" s="16">
        <v>0</v>
      </c>
      <c r="E49" s="16"/>
      <c r="F49" s="356"/>
      <c r="G49" s="356"/>
      <c r="H49" s="16">
        <v>0</v>
      </c>
      <c r="I49" s="12"/>
      <c r="J49" s="13">
        <v>0</v>
      </c>
      <c r="K49" s="14" t="e">
        <f>+I49/H49</f>
        <v>#DIV/0!</v>
      </c>
      <c r="M49" s="18"/>
      <c r="V49" s="11"/>
    </row>
    <row r="50" spans="2:22" ht="15" customHeight="1">
      <c r="B50" s="508" t="s">
        <v>242</v>
      </c>
      <c r="C50" s="806">
        <v>0</v>
      </c>
      <c r="D50" s="16">
        <v>0</v>
      </c>
      <c r="E50" s="16"/>
      <c r="F50" s="356"/>
      <c r="G50" s="356"/>
      <c r="H50" s="16">
        <v>0</v>
      </c>
      <c r="I50" s="12"/>
      <c r="J50" s="13">
        <v>0</v>
      </c>
      <c r="K50" s="14" t="e">
        <f t="shared" ref="K50:K55" si="2">+I50/H50</f>
        <v>#DIV/0!</v>
      </c>
      <c r="M50" s="18"/>
      <c r="V50" s="11"/>
    </row>
    <row r="51" spans="2:22" ht="14.25" customHeight="1">
      <c r="B51" s="509" t="s">
        <v>243</v>
      </c>
      <c r="C51" s="807">
        <v>0</v>
      </c>
      <c r="D51" s="16">
        <v>0</v>
      </c>
      <c r="E51" s="16"/>
      <c r="F51" s="806">
        <v>0.2</v>
      </c>
      <c r="G51" s="356"/>
      <c r="H51" s="16">
        <v>0.2</v>
      </c>
      <c r="I51" s="12"/>
      <c r="J51" s="13">
        <v>0.2</v>
      </c>
      <c r="K51" s="14">
        <f t="shared" si="2"/>
        <v>0</v>
      </c>
      <c r="M51" s="18"/>
      <c r="V51" s="11"/>
    </row>
    <row r="52" spans="2:22" ht="14.25" customHeight="1">
      <c r="B52" s="508" t="s">
        <v>249</v>
      </c>
      <c r="C52" s="806">
        <v>0</v>
      </c>
      <c r="D52" s="16">
        <v>0</v>
      </c>
      <c r="E52" s="16"/>
      <c r="F52" s="356">
        <v>1</v>
      </c>
      <c r="G52" s="356"/>
      <c r="H52" s="16">
        <v>1</v>
      </c>
      <c r="I52" s="12"/>
      <c r="J52" s="13">
        <v>1</v>
      </c>
      <c r="K52" s="14">
        <f t="shared" si="2"/>
        <v>0</v>
      </c>
      <c r="M52" s="18"/>
      <c r="V52" s="11"/>
    </row>
    <row r="53" spans="2:22" ht="15.75" customHeight="1">
      <c r="B53" s="510" t="s">
        <v>244</v>
      </c>
      <c r="C53" s="588">
        <v>0</v>
      </c>
      <c r="D53" s="16">
        <v>0</v>
      </c>
      <c r="E53" s="16"/>
      <c r="F53" s="588">
        <v>0.105</v>
      </c>
      <c r="G53" s="259"/>
      <c r="H53" s="16">
        <v>0.105</v>
      </c>
      <c r="I53" s="12"/>
      <c r="J53" s="13">
        <v>0.105</v>
      </c>
      <c r="K53" s="14">
        <f t="shared" si="2"/>
        <v>0</v>
      </c>
      <c r="M53" s="18"/>
      <c r="V53" s="11"/>
    </row>
    <row r="54" spans="2:22" ht="15.75" customHeight="1">
      <c r="B54" s="508" t="s">
        <v>245</v>
      </c>
      <c r="C54" s="806">
        <v>0</v>
      </c>
      <c r="D54" s="16">
        <v>0</v>
      </c>
      <c r="E54" s="16"/>
      <c r="F54" s="806"/>
      <c r="G54" s="356"/>
      <c r="H54" s="16">
        <v>0</v>
      </c>
      <c r="I54" s="12"/>
      <c r="J54" s="13">
        <v>0</v>
      </c>
      <c r="K54" s="14" t="e">
        <f t="shared" si="2"/>
        <v>#DIV/0!</v>
      </c>
      <c r="M54" s="18"/>
      <c r="V54" s="11"/>
    </row>
    <row r="55" spans="2:22" ht="18" customHeight="1">
      <c r="B55" s="508" t="s">
        <v>351</v>
      </c>
      <c r="C55" s="806">
        <v>0</v>
      </c>
      <c r="D55" s="16">
        <v>0</v>
      </c>
      <c r="E55" s="16"/>
      <c r="F55" s="588">
        <v>0.18</v>
      </c>
      <c r="G55" s="356"/>
      <c r="H55" s="16">
        <v>0.18</v>
      </c>
      <c r="I55" s="12"/>
      <c r="J55" s="13">
        <v>0.18</v>
      </c>
      <c r="K55" s="14">
        <f t="shared" si="2"/>
        <v>0</v>
      </c>
      <c r="M55" s="18"/>
      <c r="V55" s="11"/>
    </row>
    <row r="56" spans="2:22" ht="16.5" customHeight="1">
      <c r="B56" s="510" t="s">
        <v>252</v>
      </c>
      <c r="C56" s="588">
        <v>0</v>
      </c>
      <c r="D56" s="16">
        <v>0</v>
      </c>
      <c r="E56" s="16"/>
      <c r="F56" s="806">
        <v>0.1</v>
      </c>
      <c r="G56" s="356"/>
      <c r="H56" s="16">
        <v>0.1</v>
      </c>
      <c r="I56" s="12"/>
      <c r="J56" s="13">
        <v>0.1</v>
      </c>
      <c r="K56" s="14">
        <f>+I56/H56</f>
        <v>0</v>
      </c>
      <c r="M56" s="18"/>
      <c r="V56" s="11"/>
    </row>
    <row r="57" spans="2:22" ht="16.5" customHeight="1">
      <c r="B57" s="508" t="s">
        <v>329</v>
      </c>
      <c r="C57" s="806">
        <v>0</v>
      </c>
      <c r="D57" s="16">
        <v>0</v>
      </c>
      <c r="E57" s="16"/>
      <c r="F57" s="806">
        <v>2.4E-2</v>
      </c>
      <c r="G57" s="356"/>
      <c r="H57" s="16">
        <v>2.4E-2</v>
      </c>
      <c r="I57" s="12"/>
      <c r="J57" s="13">
        <v>2.4E-2</v>
      </c>
      <c r="K57" s="14">
        <f>+I57/H57</f>
        <v>0</v>
      </c>
      <c r="M57" s="18"/>
      <c r="V57" s="11"/>
    </row>
    <row r="58" spans="2:22" ht="16.5" customHeight="1">
      <c r="B58" s="508" t="s">
        <v>266</v>
      </c>
      <c r="C58" s="806">
        <v>0</v>
      </c>
      <c r="D58" s="16">
        <v>0</v>
      </c>
      <c r="E58" s="16"/>
      <c r="F58" s="806">
        <v>650</v>
      </c>
      <c r="G58" s="356"/>
      <c r="H58" s="16">
        <v>650</v>
      </c>
      <c r="I58" s="12">
        <v>649.79</v>
      </c>
      <c r="J58" s="13">
        <v>0.21</v>
      </c>
      <c r="K58" s="680">
        <f>+I58/H58</f>
        <v>0.99967692307692302</v>
      </c>
      <c r="M58" s="18"/>
      <c r="V58" s="11"/>
    </row>
    <row r="59" spans="2:22" ht="16.5" customHeight="1">
      <c r="B59" s="510" t="s">
        <v>330</v>
      </c>
      <c r="C59" s="806">
        <v>0</v>
      </c>
      <c r="D59" s="16">
        <v>0</v>
      </c>
      <c r="E59" s="16"/>
      <c r="F59" s="806">
        <v>550</v>
      </c>
      <c r="G59" s="356"/>
      <c r="H59" s="16">
        <v>550</v>
      </c>
      <c r="I59" s="12">
        <v>549.33299999999997</v>
      </c>
      <c r="J59" s="13">
        <v>0.66700000000000004</v>
      </c>
      <c r="K59" s="680">
        <f>+I59/H59</f>
        <v>0.99878727272727263</v>
      </c>
      <c r="M59" s="18"/>
      <c r="V59" s="11"/>
    </row>
    <row r="60" spans="2:22" ht="16.5" customHeight="1" thickBot="1">
      <c r="B60" s="508" t="s">
        <v>421</v>
      </c>
      <c r="C60" s="587">
        <v>0</v>
      </c>
      <c r="D60" s="16">
        <v>0</v>
      </c>
      <c r="E60" s="16"/>
      <c r="F60" s="357">
        <v>1.9990000000000001</v>
      </c>
      <c r="G60" s="16"/>
      <c r="H60" s="16">
        <v>1.9990000000000001</v>
      </c>
      <c r="I60" s="12"/>
      <c r="J60" s="13">
        <v>1.9990000000000001</v>
      </c>
      <c r="K60" s="14">
        <f>+I60/H60</f>
        <v>0</v>
      </c>
      <c r="M60" s="18"/>
      <c r="V60" s="11"/>
    </row>
    <row r="61" spans="2:22">
      <c r="B61" s="17"/>
      <c r="C61" s="17"/>
      <c r="D61" s="17"/>
      <c r="E61" s="17"/>
      <c r="F61" s="17"/>
      <c r="G61" s="17"/>
      <c r="H61" s="17"/>
      <c r="I61" s="17"/>
      <c r="J61" s="17"/>
      <c r="K61" s="17"/>
      <c r="M61" s="26"/>
      <c r="V61" s="11"/>
    </row>
    <row r="62" spans="2:22" ht="15.75">
      <c r="B62" s="62" t="s">
        <v>111</v>
      </c>
      <c r="C62" s="1225" t="s">
        <v>104</v>
      </c>
      <c r="D62" s="1225" t="s">
        <v>105</v>
      </c>
      <c r="E62" s="1225" t="s">
        <v>106</v>
      </c>
      <c r="F62" s="1233" t="s">
        <v>107</v>
      </c>
      <c r="G62" s="1234"/>
      <c r="H62" s="1225" t="s">
        <v>108</v>
      </c>
      <c r="I62" s="1224" t="s">
        <v>6</v>
      </c>
      <c r="J62" s="1224"/>
      <c r="K62" s="1224"/>
    </row>
    <row r="63" spans="2:22" ht="15.75">
      <c r="B63" s="1235" t="s">
        <v>112</v>
      </c>
      <c r="C63" s="1226"/>
      <c r="D63" s="1226"/>
      <c r="E63" s="1226"/>
      <c r="F63" s="66" t="s">
        <v>109</v>
      </c>
      <c r="G63" s="66" t="s">
        <v>110</v>
      </c>
      <c r="H63" s="1226"/>
      <c r="I63" s="66" t="s">
        <v>3</v>
      </c>
      <c r="J63" s="66" t="s">
        <v>4</v>
      </c>
      <c r="K63" s="66" t="s">
        <v>5</v>
      </c>
      <c r="V63" s="11"/>
    </row>
    <row r="64" spans="2:22">
      <c r="B64" s="1236"/>
      <c r="C64" s="16">
        <f>SUM(C38:C60)</f>
        <v>99.5</v>
      </c>
      <c r="D64" s="16">
        <f>SUM(D38:D60)</f>
        <v>5800.8492499999993</v>
      </c>
      <c r="E64" s="16">
        <f>SUM(E38:E49)</f>
        <v>0</v>
      </c>
      <c r="F64" s="16">
        <f>SUM(F38:F60)</f>
        <v>2868.0175099999997</v>
      </c>
      <c r="G64" s="16">
        <f>SUM(G38:G60)</f>
        <v>2868.0175099999997</v>
      </c>
      <c r="H64" s="16">
        <f>SUM(H38:H60)</f>
        <v>5800.8502499999986</v>
      </c>
      <c r="I64" s="16">
        <f>SUM(I38:I60)</f>
        <v>5577.9339999999993</v>
      </c>
      <c r="J64" s="16">
        <f>SUM(J38:J60)</f>
        <v>222.91604000000001</v>
      </c>
      <c r="K64" s="14">
        <f>+I64/H64</f>
        <v>0.96157179716887209</v>
      </c>
      <c r="N64" s="11"/>
      <c r="O64" s="11"/>
      <c r="P64" s="11"/>
      <c r="Q64" s="11"/>
      <c r="R64" s="11"/>
      <c r="S64" s="11"/>
      <c r="T64" s="11"/>
      <c r="U64" s="11"/>
      <c r="V64" s="11"/>
    </row>
    <row r="65" spans="1:22">
      <c r="C65" s="10"/>
      <c r="D65" s="10"/>
      <c r="E65" s="10"/>
      <c r="N65" s="11"/>
      <c r="O65" s="11"/>
      <c r="P65" s="11"/>
      <c r="Q65" s="11"/>
      <c r="R65" s="11"/>
      <c r="S65" s="11"/>
      <c r="T65" s="11"/>
      <c r="U65" s="11"/>
      <c r="V65" s="11"/>
    </row>
    <row r="66" spans="1:22" ht="15.75">
      <c r="B66" s="62" t="s">
        <v>114</v>
      </c>
      <c r="C66" s="10">
        <v>1337</v>
      </c>
      <c r="D66" s="10"/>
      <c r="E66" s="10"/>
      <c r="N66" s="11"/>
      <c r="O66" s="11"/>
      <c r="P66" s="11"/>
      <c r="Q66" s="11"/>
      <c r="R66" s="11"/>
      <c r="S66" s="11"/>
      <c r="T66" s="11"/>
      <c r="U66" s="11"/>
      <c r="V66" s="11"/>
    </row>
    <row r="67" spans="1:22" ht="15.75">
      <c r="B67" s="1225" t="s">
        <v>103</v>
      </c>
      <c r="C67" s="1225" t="s">
        <v>104</v>
      </c>
      <c r="D67" s="1225" t="s">
        <v>105</v>
      </c>
      <c r="E67" s="1225" t="s">
        <v>106</v>
      </c>
      <c r="F67" s="1233" t="s">
        <v>107</v>
      </c>
      <c r="G67" s="1234"/>
      <c r="H67" s="1225" t="s">
        <v>108</v>
      </c>
      <c r="I67" s="1224" t="s">
        <v>6</v>
      </c>
      <c r="J67" s="1224"/>
      <c r="K67" s="1224"/>
      <c r="L67" s="18"/>
      <c r="M67" s="18"/>
      <c r="N67" s="11"/>
      <c r="O67" s="18"/>
      <c r="P67" s="18"/>
      <c r="Q67" s="18"/>
      <c r="R67" s="18"/>
      <c r="S67" s="18"/>
      <c r="T67" s="18"/>
      <c r="U67" s="18"/>
      <c r="V67" s="18"/>
    </row>
    <row r="68" spans="1:22" ht="18.75" customHeight="1">
      <c r="B68" s="1237"/>
      <c r="C68" s="1226"/>
      <c r="D68" s="1226"/>
      <c r="E68" s="1226"/>
      <c r="F68" s="66" t="s">
        <v>109</v>
      </c>
      <c r="G68" s="66" t="s">
        <v>110</v>
      </c>
      <c r="H68" s="1226"/>
      <c r="I68" s="66" t="s">
        <v>3</v>
      </c>
      <c r="J68" s="66" t="s">
        <v>4</v>
      </c>
      <c r="K68" s="66" t="s">
        <v>5</v>
      </c>
      <c r="L68" s="18"/>
      <c r="M68" s="18"/>
      <c r="N68" s="20"/>
      <c r="O68" s="20"/>
      <c r="P68" s="20"/>
      <c r="Q68" s="20"/>
      <c r="R68" s="20"/>
      <c r="S68" s="20"/>
      <c r="T68" s="20"/>
      <c r="U68" s="18"/>
    </row>
    <row r="69" spans="1:22" ht="15">
      <c r="A69" s="1238" t="s">
        <v>251</v>
      </c>
      <c r="B69" s="508" t="s">
        <v>344</v>
      </c>
      <c r="C69" s="631">
        <v>10.31</v>
      </c>
      <c r="D69" s="16">
        <v>137.845</v>
      </c>
      <c r="E69" s="16"/>
      <c r="F69" s="24"/>
      <c r="G69" s="16">
        <v>137.845</v>
      </c>
      <c r="H69" s="16">
        <v>0</v>
      </c>
      <c r="I69" s="12"/>
      <c r="J69" s="353">
        <v>0</v>
      </c>
      <c r="K69" s="14" t="e">
        <f>+I69/H69</f>
        <v>#DIV/0!</v>
      </c>
      <c r="L69" s="27"/>
      <c r="M69" s="27"/>
      <c r="N69" s="28"/>
      <c r="O69" s="28"/>
      <c r="P69" s="28"/>
      <c r="Q69" s="28"/>
      <c r="R69" s="28"/>
      <c r="S69" s="28"/>
      <c r="T69" s="28"/>
      <c r="U69" s="18"/>
    </row>
    <row r="70" spans="1:22" ht="15">
      <c r="A70" s="1239"/>
      <c r="B70" s="508" t="s">
        <v>345</v>
      </c>
      <c r="C70" s="631">
        <v>19.315000000000001</v>
      </c>
      <c r="D70" s="16">
        <v>258.24200000000002</v>
      </c>
      <c r="E70" s="16"/>
      <c r="F70" s="828">
        <v>39.712000000000003</v>
      </c>
      <c r="G70" s="16"/>
      <c r="H70" s="16">
        <v>297.95400000000001</v>
      </c>
      <c r="I70" s="12">
        <v>292.38600000000002</v>
      </c>
      <c r="J70" s="353">
        <v>5.5679999999999996</v>
      </c>
      <c r="K70" s="14">
        <f t="shared" ref="K70:K87" si="3">+I70/H70</f>
        <v>0.98131255160192521</v>
      </c>
      <c r="L70" s="27"/>
      <c r="M70" s="27"/>
      <c r="N70" s="28"/>
      <c r="O70" s="28"/>
      <c r="P70" s="28"/>
      <c r="Q70" s="28"/>
      <c r="R70" s="28"/>
      <c r="S70" s="28"/>
      <c r="T70" s="28"/>
      <c r="U70" s="18"/>
    </row>
    <row r="71" spans="1:22">
      <c r="A71" s="1239"/>
      <c r="B71" s="511" t="s">
        <v>346</v>
      </c>
      <c r="C71" s="631">
        <v>7.5</v>
      </c>
      <c r="D71" s="16">
        <v>100.27500000000001</v>
      </c>
      <c r="E71" s="16"/>
      <c r="F71" s="828">
        <v>137.845</v>
      </c>
      <c r="G71" s="828">
        <v>27.693000000000001</v>
      </c>
      <c r="H71" s="16">
        <v>210.42699999999999</v>
      </c>
      <c r="I71" s="12">
        <v>209.316</v>
      </c>
      <c r="J71" s="353">
        <v>1.111</v>
      </c>
      <c r="K71" s="761">
        <f t="shared" si="3"/>
        <v>0.99472025928231644</v>
      </c>
      <c r="L71" s="18"/>
      <c r="N71" s="9" t="s">
        <v>424</v>
      </c>
    </row>
    <row r="72" spans="1:22" ht="13.5" thickBot="1">
      <c r="A72" s="1240"/>
      <c r="B72" s="512" t="s">
        <v>347</v>
      </c>
      <c r="C72" s="632">
        <v>47.875</v>
      </c>
      <c r="D72" s="250">
        <v>640.08900000000006</v>
      </c>
      <c r="E72" s="250"/>
      <c r="F72" s="251">
        <v>9.8800000000000008</v>
      </c>
      <c r="G72" s="250">
        <v>34.899000000000001</v>
      </c>
      <c r="H72" s="250">
        <v>615.07000000000005</v>
      </c>
      <c r="I72" s="252">
        <v>614.99900000000002</v>
      </c>
      <c r="J72" s="829">
        <v>7.0999999999999994E-2</v>
      </c>
      <c r="K72" s="830">
        <f t="shared" si="3"/>
        <v>0.99988456598435949</v>
      </c>
      <c r="L72" s="27">
        <f>SUM(I69:I72)</f>
        <v>1116.701</v>
      </c>
      <c r="N72" s="9">
        <v>1116.7</v>
      </c>
      <c r="V72" s="18"/>
    </row>
    <row r="73" spans="1:22">
      <c r="A73" s="1241" t="s">
        <v>116</v>
      </c>
      <c r="B73" s="513" t="s">
        <v>262</v>
      </c>
      <c r="C73" s="633">
        <v>1.5</v>
      </c>
      <c r="D73" s="253">
        <v>20.055</v>
      </c>
      <c r="E73" s="253"/>
      <c r="F73" s="254"/>
      <c r="G73" s="253"/>
      <c r="H73" s="253">
        <v>20.055</v>
      </c>
      <c r="I73" s="255">
        <v>19.64</v>
      </c>
      <c r="J73" s="256">
        <v>0.41499999999999998</v>
      </c>
      <c r="K73" s="823">
        <f t="shared" si="3"/>
        <v>0.9793069060084767</v>
      </c>
      <c r="L73" s="27"/>
      <c r="V73" s="18"/>
    </row>
    <row r="74" spans="1:22">
      <c r="A74" s="1242"/>
      <c r="B74" s="369" t="s">
        <v>348</v>
      </c>
      <c r="C74" s="631">
        <v>0.5</v>
      </c>
      <c r="D74" s="16">
        <v>6.6849999999999996</v>
      </c>
      <c r="E74" s="16"/>
      <c r="F74" s="828"/>
      <c r="G74" s="16"/>
      <c r="H74" s="16">
        <v>6.6849999999999996</v>
      </c>
      <c r="I74" s="12">
        <v>6.87</v>
      </c>
      <c r="J74" s="13">
        <v>-0.185</v>
      </c>
      <c r="K74" s="824">
        <f>+I74/H74</f>
        <v>1.0276738967838446</v>
      </c>
      <c r="L74" s="27"/>
      <c r="V74" s="18"/>
    </row>
    <row r="75" spans="1:22">
      <c r="A75" s="1242"/>
      <c r="B75" s="369" t="s">
        <v>349</v>
      </c>
      <c r="C75" s="631">
        <v>1</v>
      </c>
      <c r="D75" s="16">
        <v>13.37</v>
      </c>
      <c r="E75" s="16"/>
      <c r="F75" s="828"/>
      <c r="G75" s="16"/>
      <c r="H75" s="16">
        <v>13.37</v>
      </c>
      <c r="I75" s="12">
        <v>13.164999999999999</v>
      </c>
      <c r="J75" s="13">
        <v>0.20499999999999999</v>
      </c>
      <c r="K75" s="761">
        <f t="shared" si="3"/>
        <v>0.98466716529543752</v>
      </c>
      <c r="L75" s="27"/>
      <c r="V75" s="18"/>
    </row>
    <row r="76" spans="1:22">
      <c r="A76" s="1242"/>
      <c r="B76" s="369" t="s">
        <v>250</v>
      </c>
      <c r="C76" s="631">
        <v>1</v>
      </c>
      <c r="D76" s="16">
        <v>13.37</v>
      </c>
      <c r="E76" s="16"/>
      <c r="F76" s="828">
        <v>1.702</v>
      </c>
      <c r="G76" s="16"/>
      <c r="H76" s="16">
        <v>15.071999999999999</v>
      </c>
      <c r="I76" s="12">
        <v>14.606999999999999</v>
      </c>
      <c r="J76" s="13">
        <v>0.46500000000000002</v>
      </c>
      <c r="K76" s="761">
        <f t="shared" si="3"/>
        <v>0.96914808917197448</v>
      </c>
      <c r="L76" s="27"/>
      <c r="V76" s="18"/>
    </row>
    <row r="77" spans="1:22">
      <c r="A77" s="1242"/>
      <c r="B77" s="369" t="s">
        <v>253</v>
      </c>
      <c r="C77" s="631">
        <v>0.5</v>
      </c>
      <c r="D77" s="16">
        <v>6.6849999999999996</v>
      </c>
      <c r="E77" s="16"/>
      <c r="F77" s="828"/>
      <c r="G77" s="16"/>
      <c r="H77" s="16">
        <v>6.6849999999999996</v>
      </c>
      <c r="I77" s="12">
        <v>6.5510000000000002</v>
      </c>
      <c r="J77" s="13">
        <v>0.13400000000000001</v>
      </c>
      <c r="K77" s="761">
        <f t="shared" si="3"/>
        <v>0.97995512341062085</v>
      </c>
      <c r="L77" s="27"/>
      <c r="V77" s="18"/>
    </row>
    <row r="78" spans="1:22">
      <c r="A78" s="1242"/>
      <c r="B78" s="369" t="s">
        <v>254</v>
      </c>
      <c r="C78" s="631">
        <v>2.5</v>
      </c>
      <c r="D78" s="16">
        <v>33.424999999999997</v>
      </c>
      <c r="E78" s="16"/>
      <c r="F78" s="828">
        <v>13</v>
      </c>
      <c r="G78" s="16"/>
      <c r="H78" s="16">
        <v>46.424999999999997</v>
      </c>
      <c r="I78" s="12">
        <v>40.683999999999997</v>
      </c>
      <c r="J78" s="13">
        <v>5.7409999999999997</v>
      </c>
      <c r="K78" s="761">
        <f t="shared" si="3"/>
        <v>0.87633817985998919</v>
      </c>
      <c r="L78" s="27"/>
      <c r="V78" s="18"/>
    </row>
    <row r="79" spans="1:22">
      <c r="A79" s="1242"/>
      <c r="B79" s="369" t="s">
        <v>255</v>
      </c>
      <c r="C79" s="631">
        <v>2.5</v>
      </c>
      <c r="D79" s="16">
        <v>33.424999999999997</v>
      </c>
      <c r="E79" s="16"/>
      <c r="F79" s="828"/>
      <c r="G79" s="16">
        <v>33.424999999999997</v>
      </c>
      <c r="H79" s="16">
        <v>0</v>
      </c>
      <c r="I79" s="12"/>
      <c r="J79" s="13">
        <v>0</v>
      </c>
      <c r="K79" s="257" t="e">
        <f t="shared" si="3"/>
        <v>#DIV/0!</v>
      </c>
      <c r="L79" s="27"/>
      <c r="V79" s="18"/>
    </row>
    <row r="80" spans="1:22">
      <c r="A80" s="1242"/>
      <c r="B80" s="369" t="s">
        <v>256</v>
      </c>
      <c r="C80" s="631">
        <v>1</v>
      </c>
      <c r="D80" s="16">
        <v>13.37</v>
      </c>
      <c r="E80" s="16"/>
      <c r="F80" s="828">
        <v>13.37</v>
      </c>
      <c r="G80" s="16">
        <v>17.507000000000001</v>
      </c>
      <c r="H80" s="16">
        <v>9.2330000000000005</v>
      </c>
      <c r="I80" s="12">
        <v>9.2330000000000005</v>
      </c>
      <c r="J80" s="13">
        <v>0</v>
      </c>
      <c r="K80" s="761">
        <f t="shared" si="3"/>
        <v>1</v>
      </c>
      <c r="L80" s="27"/>
      <c r="V80" s="18"/>
    </row>
    <row r="81" spans="1:22">
      <c r="A81" s="1242"/>
      <c r="B81" s="369" t="s">
        <v>268</v>
      </c>
      <c r="C81" s="631">
        <v>1.5</v>
      </c>
      <c r="D81" s="16">
        <v>20.055</v>
      </c>
      <c r="E81" s="16"/>
      <c r="F81" s="828"/>
      <c r="G81" s="16">
        <v>20.055</v>
      </c>
      <c r="H81" s="16">
        <v>0</v>
      </c>
      <c r="I81" s="12"/>
      <c r="J81" s="13">
        <v>0</v>
      </c>
      <c r="K81" s="257" t="e">
        <f t="shared" si="3"/>
        <v>#DIV/0!</v>
      </c>
      <c r="L81" s="27"/>
      <c r="V81" s="18"/>
    </row>
    <row r="82" spans="1:22" ht="15">
      <c r="A82" s="1242"/>
      <c r="B82" s="369" t="s">
        <v>267</v>
      </c>
      <c r="C82" s="634">
        <v>1</v>
      </c>
      <c r="D82" s="16">
        <v>13.37</v>
      </c>
      <c r="E82" s="333"/>
      <c r="F82" s="333">
        <v>4.4039999999999999</v>
      </c>
      <c r="G82" s="334"/>
      <c r="H82" s="332">
        <v>17.774000000000001</v>
      </c>
      <c r="I82" s="12">
        <v>10.583</v>
      </c>
      <c r="J82" s="13">
        <v>7.1909999999999998</v>
      </c>
      <c r="K82" s="761">
        <f t="shared" si="3"/>
        <v>0.59542027680882181</v>
      </c>
      <c r="L82" s="27"/>
      <c r="V82" s="18"/>
    </row>
    <row r="83" spans="1:22" ht="15">
      <c r="A83" s="1242"/>
      <c r="B83" s="514" t="s">
        <v>350</v>
      </c>
      <c r="C83" s="634">
        <v>1</v>
      </c>
      <c r="D83" s="16">
        <v>13.37</v>
      </c>
      <c r="E83" s="335"/>
      <c r="F83" s="809"/>
      <c r="G83" s="25">
        <v>13.37</v>
      </c>
      <c r="H83" s="332">
        <v>0</v>
      </c>
      <c r="I83" s="49"/>
      <c r="J83" s="13">
        <v>0</v>
      </c>
      <c r="K83" s="14" t="e">
        <f t="shared" si="3"/>
        <v>#DIV/0!</v>
      </c>
      <c r="L83" s="27"/>
      <c r="V83" s="18"/>
    </row>
    <row r="84" spans="1:22" ht="15">
      <c r="A84" s="1242"/>
      <c r="B84" s="514" t="s">
        <v>275</v>
      </c>
      <c r="C84" s="634">
        <v>1</v>
      </c>
      <c r="D84" s="16">
        <v>13.37</v>
      </c>
      <c r="E84" s="335"/>
      <c r="F84" s="809">
        <v>20.055</v>
      </c>
      <c r="G84" s="25">
        <v>1.702</v>
      </c>
      <c r="H84" s="332">
        <v>31.722999999999999</v>
      </c>
      <c r="I84" s="49">
        <v>31.722999999999999</v>
      </c>
      <c r="J84" s="13">
        <v>0</v>
      </c>
      <c r="K84" s="680">
        <f t="shared" si="3"/>
        <v>1</v>
      </c>
      <c r="L84" s="27"/>
      <c r="V84" s="18"/>
    </row>
    <row r="85" spans="1:22" ht="15">
      <c r="A85" s="1242"/>
      <c r="B85" s="810" t="s">
        <v>410</v>
      </c>
      <c r="C85" s="634">
        <v>0</v>
      </c>
      <c r="D85" s="16">
        <v>0</v>
      </c>
      <c r="E85" s="804"/>
      <c r="F85" s="809">
        <v>6.4180000000000001</v>
      </c>
      <c r="G85" s="25"/>
      <c r="H85" s="332">
        <v>6.4180000000000001</v>
      </c>
      <c r="I85" s="49">
        <v>6.1660000000000004</v>
      </c>
      <c r="J85" s="13">
        <v>0.252</v>
      </c>
      <c r="K85" s="680">
        <f t="shared" si="3"/>
        <v>0.96073543159862884</v>
      </c>
      <c r="L85" s="27"/>
      <c r="V85" s="18"/>
    </row>
    <row r="86" spans="1:22" ht="15">
      <c r="A86" s="1242"/>
      <c r="B86" s="810" t="s">
        <v>411</v>
      </c>
      <c r="C86" s="634">
        <v>0</v>
      </c>
      <c r="D86" s="16">
        <v>0</v>
      </c>
      <c r="E86" s="804"/>
      <c r="F86" s="809">
        <v>6.6849999999999996</v>
      </c>
      <c r="G86" s="25"/>
      <c r="H86" s="332">
        <v>6.6849999999999996</v>
      </c>
      <c r="I86" s="49">
        <v>7.1269999999999998</v>
      </c>
      <c r="J86" s="13">
        <v>-0.442</v>
      </c>
      <c r="K86" s="822">
        <f t="shared" si="3"/>
        <v>1.0661181750186985</v>
      </c>
      <c r="L86" s="27"/>
      <c r="N86" s="9" t="s">
        <v>424</v>
      </c>
      <c r="V86" s="18"/>
    </row>
    <row r="87" spans="1:22" ht="15">
      <c r="A87" s="1243"/>
      <c r="B87" s="808" t="s">
        <v>269</v>
      </c>
      <c r="C87" s="634">
        <v>0</v>
      </c>
      <c r="D87" s="16">
        <v>0</v>
      </c>
      <c r="E87" s="335"/>
      <c r="F87" s="809">
        <v>33.424999999999997</v>
      </c>
      <c r="G87" s="25"/>
      <c r="H87" s="332">
        <v>33.424999999999997</v>
      </c>
      <c r="I87" s="49">
        <v>25.759</v>
      </c>
      <c r="J87" s="13">
        <v>7.6660000000000004</v>
      </c>
      <c r="K87" s="14">
        <f t="shared" si="3"/>
        <v>0.77065071054599854</v>
      </c>
      <c r="L87" s="842">
        <f>SUM(I73:I87)</f>
        <v>192.108</v>
      </c>
      <c r="N87" s="27">
        <v>185.041</v>
      </c>
      <c r="V87" s="18"/>
    </row>
    <row r="88" spans="1:22">
      <c r="B88" s="29"/>
      <c r="C88" s="635"/>
      <c r="D88" s="29"/>
      <c r="E88" s="29"/>
      <c r="F88" s="29"/>
      <c r="G88" s="29"/>
      <c r="H88" s="29"/>
      <c r="I88" s="29"/>
      <c r="J88" s="29"/>
      <c r="K88" s="29"/>
      <c r="M88" s="27"/>
      <c r="V88" s="18"/>
    </row>
    <row r="89" spans="1:22" ht="15.75">
      <c r="B89" s="62" t="s">
        <v>111</v>
      </c>
      <c r="C89" s="1225" t="s">
        <v>104</v>
      </c>
      <c r="D89" s="1225" t="s">
        <v>105</v>
      </c>
      <c r="E89" s="1225" t="s">
        <v>106</v>
      </c>
      <c r="F89" s="1233" t="s">
        <v>107</v>
      </c>
      <c r="G89" s="1234"/>
      <c r="H89" s="1225" t="s">
        <v>108</v>
      </c>
      <c r="I89" s="1224" t="s">
        <v>6</v>
      </c>
      <c r="J89" s="1224"/>
      <c r="K89" s="1224"/>
      <c r="N89" s="18"/>
      <c r="O89" s="18"/>
      <c r="P89" s="18"/>
      <c r="Q89" s="18"/>
      <c r="R89" s="18"/>
      <c r="S89" s="18"/>
      <c r="T89" s="18"/>
      <c r="U89" s="18"/>
      <c r="V89" s="18"/>
    </row>
    <row r="90" spans="1:22" ht="15.75">
      <c r="B90" s="1235" t="s">
        <v>114</v>
      </c>
      <c r="C90" s="1226"/>
      <c r="D90" s="1226"/>
      <c r="E90" s="1226"/>
      <c r="F90" s="66" t="s">
        <v>109</v>
      </c>
      <c r="G90" s="66" t="s">
        <v>110</v>
      </c>
      <c r="H90" s="1226"/>
      <c r="I90" s="66" t="s">
        <v>3</v>
      </c>
      <c r="J90" s="66" t="s">
        <v>4</v>
      </c>
      <c r="K90" s="66" t="s">
        <v>5</v>
      </c>
    </row>
    <row r="91" spans="1:22">
      <c r="B91" s="1236"/>
      <c r="C91" s="16">
        <f>SUM(C69:C87)</f>
        <v>100</v>
      </c>
      <c r="D91" s="16">
        <f>SUM(D69:D87)</f>
        <v>1337.0009999999993</v>
      </c>
      <c r="E91" s="16">
        <f t="shared" ref="E91:G91" si="4">SUM(E69:E87)</f>
        <v>0</v>
      </c>
      <c r="F91" s="16">
        <f t="shared" si="4"/>
        <v>286.49600000000004</v>
      </c>
      <c r="G91" s="16">
        <f t="shared" si="4"/>
        <v>286.49600000000004</v>
      </c>
      <c r="H91" s="16">
        <f>SUM(H69:H87)</f>
        <v>1337.0009999999993</v>
      </c>
      <c r="I91" s="24">
        <f>SUM(I69:I87)</f>
        <v>1308.8089999999997</v>
      </c>
      <c r="J91" s="16">
        <f>SUM(J69:J87)</f>
        <v>28.191999999999997</v>
      </c>
      <c r="K91" s="30">
        <f>+I91/H91</f>
        <v>0.97891400230815118</v>
      </c>
      <c r="L91" s="843">
        <f>L72+L87</f>
        <v>1308.809</v>
      </c>
      <c r="M91" s="843">
        <f t="shared" ref="M91:N91" si="5">M72+M87</f>
        <v>0</v>
      </c>
      <c r="N91" s="843">
        <f t="shared" si="5"/>
        <v>1301.741</v>
      </c>
    </row>
    <row r="93" spans="1:22">
      <c r="B93" s="31"/>
    </row>
    <row r="94" spans="1:22">
      <c r="B94" s="32"/>
      <c r="C94" s="18"/>
    </row>
    <row r="95" spans="1:22">
      <c r="B95" s="32"/>
      <c r="C95" s="18"/>
    </row>
    <row r="96" spans="1:22">
      <c r="B96" s="32"/>
      <c r="C96" s="18"/>
    </row>
    <row r="97" spans="2:3">
      <c r="B97" s="32"/>
      <c r="C97" s="18"/>
    </row>
    <row r="98" spans="2:3">
      <c r="B98" s="32"/>
      <c r="C98" s="18"/>
    </row>
    <row r="99" spans="2:3">
      <c r="B99" s="11"/>
      <c r="C99" s="18"/>
    </row>
  </sheetData>
  <mergeCells count="46">
    <mergeCell ref="B90:B91"/>
    <mergeCell ref="H67:H68"/>
    <mergeCell ref="I67:K67"/>
    <mergeCell ref="A69:A72"/>
    <mergeCell ref="C89:C90"/>
    <mergeCell ref="D89:D90"/>
    <mergeCell ref="E89:E90"/>
    <mergeCell ref="F89:G89"/>
    <mergeCell ref="H89:H90"/>
    <mergeCell ref="I89:K89"/>
    <mergeCell ref="F67:G67"/>
    <mergeCell ref="A73:A87"/>
    <mergeCell ref="B63:B64"/>
    <mergeCell ref="B67:B68"/>
    <mergeCell ref="C67:C68"/>
    <mergeCell ref="D67:D68"/>
    <mergeCell ref="E67:E68"/>
    <mergeCell ref="H36:H37"/>
    <mergeCell ref="I36:K36"/>
    <mergeCell ref="C62:C63"/>
    <mergeCell ref="D62:D63"/>
    <mergeCell ref="E62:E63"/>
    <mergeCell ref="F62:G62"/>
    <mergeCell ref="H62:H63"/>
    <mergeCell ref="I62:K62"/>
    <mergeCell ref="B36:B37"/>
    <mergeCell ref="C36:C37"/>
    <mergeCell ref="D36:D37"/>
    <mergeCell ref="E36:E37"/>
    <mergeCell ref="F36:G36"/>
    <mergeCell ref="I6:K6"/>
    <mergeCell ref="H30:H31"/>
    <mergeCell ref="I30:K30"/>
    <mergeCell ref="B2:K2"/>
    <mergeCell ref="B3:K3"/>
    <mergeCell ref="B6:B7"/>
    <mergeCell ref="C6:C7"/>
    <mergeCell ref="D6:D7"/>
    <mergeCell ref="E6:E7"/>
    <mergeCell ref="F6:G6"/>
    <mergeCell ref="H6:H7"/>
    <mergeCell ref="B31:B32"/>
    <mergeCell ref="C30:C31"/>
    <mergeCell ref="D30:D31"/>
    <mergeCell ref="E30:E31"/>
    <mergeCell ref="F30:G30"/>
  </mergeCells>
  <pageMargins left="0.7" right="0.7" top="0.75" bottom="0.75" header="0.3" footer="0.3"/>
  <pageSetup paperSize="5" orientation="portrait" horizontalDpi="200" verticalDpi="200" r:id="rId1"/>
  <ignoredErrors>
    <ignoredError sqref="K38:K60 K64 K87 K91 K70:K84" evalError="1"/>
  </ignoredErrors>
</worksheet>
</file>

<file path=xl/worksheets/sheet7.xml><?xml version="1.0" encoding="utf-8"?>
<worksheet xmlns="http://schemas.openxmlformats.org/spreadsheetml/2006/main" xmlns:r="http://schemas.openxmlformats.org/officeDocument/2006/relationships">
  <sheetPr>
    <tabColor rgb="FF00FFCC"/>
    <pageSetUpPr fitToPage="1"/>
  </sheetPr>
  <dimension ref="A1:O103"/>
  <sheetViews>
    <sheetView topLeftCell="A48" zoomScale="83" zoomScaleNormal="83" workbookViewId="0">
      <selection activeCell="C55" sqref="C55:C56"/>
    </sheetView>
  </sheetViews>
  <sheetFormatPr baseColWidth="10" defaultRowHeight="15"/>
  <cols>
    <col min="1" max="1" width="26.7109375" customWidth="1"/>
    <col min="2" max="2" width="15.85546875" customWidth="1"/>
    <col min="3" max="3" width="18.140625" customWidth="1"/>
    <col min="4" max="4" width="19.140625" customWidth="1"/>
    <col min="5" max="5" width="32.5703125" customWidth="1"/>
    <col min="6" max="6" width="15" customWidth="1"/>
    <col min="7" max="7" width="17.5703125" customWidth="1"/>
    <col min="8" max="8" width="11.5703125" customWidth="1"/>
    <col min="9" max="9" width="15.85546875" customWidth="1"/>
    <col min="10" max="10" width="16.5703125" customWidth="1"/>
    <col min="11" max="11" width="10.85546875" customWidth="1"/>
    <col min="12" max="12" width="18" customWidth="1"/>
    <col min="13" max="13" width="17" customWidth="1"/>
    <col min="18" max="18" width="19.28515625" bestFit="1" customWidth="1"/>
  </cols>
  <sheetData>
    <row r="1" spans="1:13">
      <c r="A1" s="9"/>
      <c r="B1" s="9"/>
      <c r="C1" s="9"/>
      <c r="D1" s="9"/>
      <c r="E1" s="9"/>
      <c r="F1" s="9"/>
      <c r="G1" s="9"/>
      <c r="H1" s="9"/>
      <c r="I1" s="9"/>
      <c r="J1" s="9"/>
      <c r="K1" s="9"/>
    </row>
    <row r="2" spans="1:13" ht="15.75">
      <c r="A2" s="1227" t="s">
        <v>322</v>
      </c>
      <c r="B2" s="1228"/>
      <c r="C2" s="1228"/>
      <c r="D2" s="1228"/>
      <c r="E2" s="1228"/>
      <c r="F2" s="1228"/>
      <c r="G2" s="1228"/>
      <c r="H2" s="1228"/>
      <c r="I2" s="1228"/>
      <c r="J2" s="1229"/>
      <c r="K2" s="9"/>
    </row>
    <row r="3" spans="1:13" ht="15.75">
      <c r="A3" s="1230" t="s">
        <v>415</v>
      </c>
      <c r="B3" s="1231"/>
      <c r="C3" s="1231"/>
      <c r="D3" s="1231"/>
      <c r="E3" s="1231"/>
      <c r="F3" s="1231"/>
      <c r="G3" s="1231"/>
      <c r="H3" s="1231"/>
      <c r="I3" s="1231"/>
      <c r="J3" s="1232"/>
      <c r="K3" s="9"/>
    </row>
    <row r="4" spans="1:13" s="34" customFormat="1" ht="16.5" thickBot="1">
      <c r="A4" s="33"/>
      <c r="B4" s="33"/>
      <c r="C4" s="33"/>
      <c r="D4" s="33"/>
      <c r="E4" s="33"/>
      <c r="F4" s="33"/>
      <c r="G4" s="33"/>
      <c r="H4" s="33"/>
      <c r="I4" s="33"/>
      <c r="J4" s="33"/>
      <c r="K4" s="31"/>
    </row>
    <row r="5" spans="1:13" ht="25.5" customHeight="1" thickBot="1">
      <c r="A5" s="1340" t="s">
        <v>383</v>
      </c>
      <c r="B5" s="1341"/>
      <c r="C5" s="1341"/>
      <c r="D5" s="1341"/>
      <c r="E5" s="1341"/>
      <c r="F5" s="1341"/>
      <c r="G5" s="1341"/>
      <c r="H5" s="1341"/>
      <c r="I5" s="1341"/>
      <c r="J5" s="1341"/>
      <c r="K5" s="1341"/>
      <c r="L5" s="1342"/>
    </row>
    <row r="6" spans="1:13" ht="15.75">
      <c r="A6" s="1332" t="s">
        <v>81</v>
      </c>
      <c r="B6" s="1332" t="s">
        <v>192</v>
      </c>
      <c r="C6" s="1338" t="s">
        <v>363</v>
      </c>
      <c r="D6" s="1339" t="s">
        <v>84</v>
      </c>
      <c r="E6" s="1339"/>
      <c r="F6" s="1339"/>
      <c r="G6" s="1237" t="s">
        <v>160</v>
      </c>
      <c r="H6" s="1334" t="s">
        <v>4</v>
      </c>
      <c r="I6" s="1332" t="s">
        <v>422</v>
      </c>
      <c r="J6" s="1290" t="s">
        <v>117</v>
      </c>
      <c r="K6" s="1343" t="s">
        <v>191</v>
      </c>
      <c r="L6" s="1344"/>
    </row>
    <row r="7" spans="1:13" ht="16.5" thickBot="1">
      <c r="A7" s="1333"/>
      <c r="B7" s="1333"/>
      <c r="C7" s="1338"/>
      <c r="D7" s="7" t="s">
        <v>87</v>
      </c>
      <c r="E7" s="7" t="s">
        <v>88</v>
      </c>
      <c r="F7" s="7" t="s">
        <v>89</v>
      </c>
      <c r="G7" s="1237"/>
      <c r="H7" s="1334"/>
      <c r="I7" s="1333"/>
      <c r="J7" s="1291"/>
      <c r="K7" s="67" t="s">
        <v>140</v>
      </c>
      <c r="L7" s="68" t="s">
        <v>139</v>
      </c>
    </row>
    <row r="8" spans="1:13" ht="28.5" customHeight="1" thickBot="1">
      <c r="A8" s="231" t="s">
        <v>118</v>
      </c>
      <c r="B8" s="207" t="s">
        <v>187</v>
      </c>
      <c r="C8" s="208">
        <v>40</v>
      </c>
      <c r="D8" s="207" t="s">
        <v>189</v>
      </c>
      <c r="E8" s="209">
        <v>40</v>
      </c>
      <c r="F8" s="211">
        <f t="shared" ref="F8:F18" si="0">+E8</f>
        <v>40</v>
      </c>
      <c r="G8" s="210">
        <f>K8+L8</f>
        <v>4.7410000000000005</v>
      </c>
      <c r="H8" s="211">
        <f t="shared" ref="H8:H32" si="1">+F8-G8</f>
        <v>35.259</v>
      </c>
      <c r="I8" s="212">
        <f>G8/F8</f>
        <v>0.11852500000000002</v>
      </c>
      <c r="J8" s="211"/>
      <c r="K8" s="213">
        <v>6.0000000000000001E-3</v>
      </c>
      <c r="L8" s="214">
        <v>4.7350000000000003</v>
      </c>
    </row>
    <row r="9" spans="1:13" ht="15" customHeight="1">
      <c r="A9" s="1292" t="s">
        <v>119</v>
      </c>
      <c r="B9" s="786" t="s">
        <v>187</v>
      </c>
      <c r="C9" s="784"/>
      <c r="D9" s="1307" t="s">
        <v>190</v>
      </c>
      <c r="E9" s="224"/>
      <c r="F9" s="75">
        <f t="shared" si="0"/>
        <v>0</v>
      </c>
      <c r="G9" s="216"/>
      <c r="H9" s="75">
        <f t="shared" si="1"/>
        <v>0</v>
      </c>
      <c r="I9" s="217" t="e">
        <f>G9/F9</f>
        <v>#DIV/0!</v>
      </c>
      <c r="J9" s="75"/>
      <c r="K9" s="73"/>
      <c r="L9" s="218"/>
    </row>
    <row r="10" spans="1:13" ht="15" customHeight="1" thickBot="1">
      <c r="A10" s="1293"/>
      <c r="B10" s="787" t="s">
        <v>188</v>
      </c>
      <c r="C10" s="788"/>
      <c r="D10" s="1308"/>
      <c r="E10" s="228"/>
      <c r="F10" s="78">
        <f t="shared" si="0"/>
        <v>0</v>
      </c>
      <c r="G10" s="220"/>
      <c r="H10" s="78"/>
      <c r="I10" s="221">
        <v>0</v>
      </c>
      <c r="J10" s="78"/>
      <c r="K10" s="76"/>
      <c r="L10" s="223"/>
    </row>
    <row r="11" spans="1:13" ht="15" customHeight="1">
      <c r="A11" s="1294" t="s">
        <v>120</v>
      </c>
      <c r="B11" s="39" t="s">
        <v>187</v>
      </c>
      <c r="C11" s="783">
        <v>108</v>
      </c>
      <c r="D11" s="1309" t="s">
        <v>190</v>
      </c>
      <c r="E11" s="40">
        <v>108</v>
      </c>
      <c r="F11" s="42">
        <f>+E11</f>
        <v>108</v>
      </c>
      <c r="G11" s="204">
        <f>K11+L11</f>
        <v>355.04599999999999</v>
      </c>
      <c r="H11" s="42">
        <f>+F11-G11</f>
        <v>-247.04599999999999</v>
      </c>
      <c r="I11" s="781">
        <f>G11/F11</f>
        <v>3.2874629629629628</v>
      </c>
      <c r="J11" s="785">
        <v>42030</v>
      </c>
      <c r="K11" s="113">
        <v>355.04599999999999</v>
      </c>
      <c r="L11" s="227"/>
      <c r="M11" s="522"/>
    </row>
    <row r="12" spans="1:13" ht="15" customHeight="1" thickBot="1">
      <c r="A12" s="1295"/>
      <c r="B12" s="283" t="s">
        <v>188</v>
      </c>
      <c r="C12" s="282"/>
      <c r="D12" s="1308"/>
      <c r="E12" s="219"/>
      <c r="F12" s="78"/>
      <c r="G12" s="220"/>
      <c r="H12" s="78"/>
      <c r="I12" s="221">
        <v>0</v>
      </c>
      <c r="J12" s="222"/>
      <c r="K12" s="76">
        <v>9.7789999999999999</v>
      </c>
      <c r="L12" s="223">
        <v>1.6E-2</v>
      </c>
    </row>
    <row r="13" spans="1:13" ht="15" customHeight="1">
      <c r="A13" s="1294" t="s">
        <v>98</v>
      </c>
      <c r="B13" s="73" t="s">
        <v>369</v>
      </c>
      <c r="C13" s="349">
        <f t="shared" ref="C13:C18" si="2">E13</f>
        <v>7</v>
      </c>
      <c r="D13" s="1307" t="s">
        <v>190</v>
      </c>
      <c r="E13" s="215">
        <v>7</v>
      </c>
      <c r="F13" s="75">
        <f t="shared" si="0"/>
        <v>7</v>
      </c>
      <c r="G13" s="1345">
        <f>K13+L13</f>
        <v>0</v>
      </c>
      <c r="H13" s="75">
        <f t="shared" si="1"/>
        <v>7</v>
      </c>
      <c r="I13" s="217">
        <f>G13/F13</f>
        <v>0</v>
      </c>
      <c r="J13" s="75"/>
      <c r="K13" s="73">
        <v>0</v>
      </c>
      <c r="L13" s="218">
        <v>0</v>
      </c>
    </row>
    <row r="14" spans="1:13" ht="15" customHeight="1" thickBot="1">
      <c r="A14" s="1295"/>
      <c r="B14" s="351" t="s">
        <v>188</v>
      </c>
      <c r="C14" s="350">
        <f t="shared" si="2"/>
        <v>13</v>
      </c>
      <c r="D14" s="1308"/>
      <c r="E14" s="219">
        <v>13</v>
      </c>
      <c r="F14" s="78">
        <f t="shared" si="0"/>
        <v>13</v>
      </c>
      <c r="G14" s="1346"/>
      <c r="H14" s="78"/>
      <c r="I14" s="221">
        <v>0</v>
      </c>
      <c r="J14" s="78"/>
      <c r="K14" s="76"/>
      <c r="L14" s="223"/>
    </row>
    <row r="15" spans="1:13" ht="15" customHeight="1">
      <c r="A15" s="1303" t="s">
        <v>90</v>
      </c>
      <c r="B15" s="73" t="s">
        <v>367</v>
      </c>
      <c r="C15" s="636">
        <f t="shared" si="2"/>
        <v>10</v>
      </c>
      <c r="D15" s="1307" t="s">
        <v>190</v>
      </c>
      <c r="E15" s="215">
        <v>10</v>
      </c>
      <c r="F15" s="75">
        <f t="shared" si="0"/>
        <v>10</v>
      </c>
      <c r="G15" s="1345">
        <f t="shared" ref="G15" si="3">K15+L15</f>
        <v>0</v>
      </c>
      <c r="H15" s="75">
        <f t="shared" si="1"/>
        <v>10</v>
      </c>
      <c r="I15" s="217">
        <f>G15/F15</f>
        <v>0</v>
      </c>
      <c r="J15" s="75"/>
      <c r="K15" s="73">
        <v>0</v>
      </c>
      <c r="L15" s="218">
        <v>0</v>
      </c>
    </row>
    <row r="16" spans="1:13" ht="15" customHeight="1" thickBot="1">
      <c r="A16" s="1304"/>
      <c r="B16" s="351" t="s">
        <v>188</v>
      </c>
      <c r="C16" s="637">
        <f t="shared" si="2"/>
        <v>10</v>
      </c>
      <c r="D16" s="1308"/>
      <c r="E16" s="219">
        <v>10</v>
      </c>
      <c r="F16" s="78">
        <f t="shared" si="0"/>
        <v>10</v>
      </c>
      <c r="G16" s="1346"/>
      <c r="H16" s="78"/>
      <c r="I16" s="221">
        <v>0</v>
      </c>
      <c r="J16" s="78"/>
      <c r="K16" s="76"/>
      <c r="L16" s="223"/>
    </row>
    <row r="17" spans="1:13" ht="15" customHeight="1">
      <c r="A17" s="1305" t="s">
        <v>100</v>
      </c>
      <c r="B17" s="73" t="s">
        <v>368</v>
      </c>
      <c r="C17" s="349">
        <f t="shared" si="2"/>
        <v>5</v>
      </c>
      <c r="D17" s="1307" t="s">
        <v>190</v>
      </c>
      <c r="E17" s="215">
        <v>5</v>
      </c>
      <c r="F17" s="75">
        <f t="shared" si="0"/>
        <v>5</v>
      </c>
      <c r="G17" s="1345">
        <f t="shared" ref="G17" si="4">K17+L17</f>
        <v>1.2999999999999999E-2</v>
      </c>
      <c r="H17" s="75">
        <f t="shared" si="1"/>
        <v>4.9870000000000001</v>
      </c>
      <c r="I17" s="217">
        <f>G17/F17</f>
        <v>2.5999999999999999E-3</v>
      </c>
      <c r="J17" s="75"/>
      <c r="K17" s="73">
        <v>0</v>
      </c>
      <c r="L17" s="218">
        <v>1.2999999999999999E-2</v>
      </c>
    </row>
    <row r="18" spans="1:13" ht="15" customHeight="1" thickBot="1">
      <c r="A18" s="1306"/>
      <c r="B18" s="351" t="s">
        <v>188</v>
      </c>
      <c r="C18" s="350">
        <f t="shared" si="2"/>
        <v>7</v>
      </c>
      <c r="D18" s="1308"/>
      <c r="E18" s="219">
        <v>7</v>
      </c>
      <c r="F18" s="78">
        <f t="shared" si="0"/>
        <v>7</v>
      </c>
      <c r="G18" s="1346"/>
      <c r="H18" s="78"/>
      <c r="I18" s="221"/>
      <c r="J18" s="78"/>
      <c r="K18" s="76"/>
      <c r="L18" s="223"/>
    </row>
    <row r="19" spans="1:13" ht="15" customHeight="1">
      <c r="A19" s="1303" t="s">
        <v>121</v>
      </c>
      <c r="B19" s="1307" t="s">
        <v>122</v>
      </c>
      <c r="C19" s="1195">
        <v>7</v>
      </c>
      <c r="D19" s="73" t="s">
        <v>123</v>
      </c>
      <c r="E19" s="224">
        <v>3</v>
      </c>
      <c r="F19" s="75">
        <v>3</v>
      </c>
      <c r="G19" s="216">
        <f>K19+L19</f>
        <v>0.505</v>
      </c>
      <c r="H19" s="75">
        <f t="shared" si="1"/>
        <v>2.4950000000000001</v>
      </c>
      <c r="I19" s="217">
        <f t="shared" ref="I19:I39" si="5">G19/F19</f>
        <v>0.16833333333333333</v>
      </c>
      <c r="J19" s="225"/>
      <c r="K19" s="226"/>
      <c r="L19" s="218">
        <v>0.505</v>
      </c>
    </row>
    <row r="20" spans="1:13" ht="15" customHeight="1">
      <c r="A20" s="1310"/>
      <c r="B20" s="1309"/>
      <c r="C20" s="1198"/>
      <c r="D20" s="39" t="s">
        <v>124</v>
      </c>
      <c r="E20" s="205">
        <v>3</v>
      </c>
      <c r="F20" s="42">
        <v>3</v>
      </c>
      <c r="G20" s="204">
        <f>K20+L20</f>
        <v>0.57100000000000006</v>
      </c>
      <c r="H20" s="42">
        <f t="shared" si="1"/>
        <v>2.4289999999999998</v>
      </c>
      <c r="I20" s="43">
        <f t="shared" si="5"/>
        <v>0.19033333333333335</v>
      </c>
      <c r="J20" s="44"/>
      <c r="K20" s="206">
        <v>2.4E-2</v>
      </c>
      <c r="L20" s="227">
        <v>0.54700000000000004</v>
      </c>
    </row>
    <row r="21" spans="1:13" ht="15" customHeight="1">
      <c r="A21" s="1310"/>
      <c r="B21" s="1309"/>
      <c r="C21" s="1198"/>
      <c r="D21" s="523" t="s">
        <v>188</v>
      </c>
      <c r="E21" s="205">
        <v>1</v>
      </c>
      <c r="F21" s="42">
        <v>1</v>
      </c>
      <c r="G21" s="204">
        <f>K21+L21</f>
        <v>0</v>
      </c>
      <c r="H21" s="42">
        <f t="shared" ref="H21" si="6">+F21-G21</f>
        <v>1</v>
      </c>
      <c r="I21" s="43">
        <f t="shared" si="5"/>
        <v>0</v>
      </c>
      <c r="J21" s="44"/>
      <c r="K21" s="206"/>
      <c r="L21" s="227"/>
    </row>
    <row r="22" spans="1:13" ht="15" customHeight="1">
      <c r="A22" s="1310"/>
      <c r="B22" s="1335" t="s">
        <v>125</v>
      </c>
      <c r="C22" s="1199">
        <v>7</v>
      </c>
      <c r="D22" s="163" t="s">
        <v>123</v>
      </c>
      <c r="E22" s="232">
        <v>3</v>
      </c>
      <c r="F22" s="234">
        <v>3</v>
      </c>
      <c r="G22" s="233"/>
      <c r="H22" s="234">
        <f t="shared" si="1"/>
        <v>3</v>
      </c>
      <c r="I22" s="235">
        <f t="shared" si="5"/>
        <v>0</v>
      </c>
      <c r="J22" s="236"/>
      <c r="K22" s="237"/>
      <c r="L22" s="247"/>
    </row>
    <row r="23" spans="1:13" ht="15" customHeight="1">
      <c r="A23" s="1310"/>
      <c r="B23" s="1336"/>
      <c r="C23" s="1198"/>
      <c r="D23" s="39" t="s">
        <v>124</v>
      </c>
      <c r="E23" s="205">
        <v>3</v>
      </c>
      <c r="F23" s="42">
        <v>3</v>
      </c>
      <c r="G23" s="204">
        <f>K23+L23</f>
        <v>0.1</v>
      </c>
      <c r="H23" s="42">
        <f t="shared" si="1"/>
        <v>2.9</v>
      </c>
      <c r="I23" s="43">
        <f t="shared" si="5"/>
        <v>3.3333333333333333E-2</v>
      </c>
      <c r="J23" s="44"/>
      <c r="K23" s="206"/>
      <c r="L23" s="227">
        <v>0.1</v>
      </c>
    </row>
    <row r="24" spans="1:13" ht="15" customHeight="1">
      <c r="A24" s="1310"/>
      <c r="B24" s="1337"/>
      <c r="C24" s="1196"/>
      <c r="D24" s="524" t="s">
        <v>188</v>
      </c>
      <c r="E24" s="239">
        <v>1</v>
      </c>
      <c r="F24" s="241">
        <v>1</v>
      </c>
      <c r="G24" s="240"/>
      <c r="H24" s="241"/>
      <c r="I24" s="242">
        <f t="shared" si="5"/>
        <v>0</v>
      </c>
      <c r="J24" s="243"/>
      <c r="K24" s="244"/>
      <c r="L24" s="246"/>
    </row>
    <row r="25" spans="1:13" ht="15" customHeight="1">
      <c r="A25" s="1310"/>
      <c r="B25" s="1309" t="s">
        <v>126</v>
      </c>
      <c r="C25" s="1198">
        <v>7</v>
      </c>
      <c r="D25" s="39" t="s">
        <v>123</v>
      </c>
      <c r="E25" s="205">
        <v>3</v>
      </c>
      <c r="F25" s="42">
        <v>3</v>
      </c>
      <c r="G25" s="204">
        <f>K25+L25</f>
        <v>0.51</v>
      </c>
      <c r="H25" s="42">
        <f t="shared" si="1"/>
        <v>2.4900000000000002</v>
      </c>
      <c r="I25" s="43">
        <f t="shared" si="5"/>
        <v>0.17</v>
      </c>
      <c r="J25" s="44"/>
      <c r="K25" s="206"/>
      <c r="L25" s="227">
        <v>0.51</v>
      </c>
    </row>
    <row r="26" spans="1:13" ht="15" customHeight="1">
      <c r="A26" s="1310"/>
      <c r="B26" s="1309"/>
      <c r="C26" s="1198"/>
      <c r="D26" s="39" t="s">
        <v>124</v>
      </c>
      <c r="E26" s="205">
        <v>3</v>
      </c>
      <c r="F26" s="42">
        <v>3</v>
      </c>
      <c r="G26" s="204"/>
      <c r="H26" s="42">
        <f t="shared" si="1"/>
        <v>3</v>
      </c>
      <c r="I26" s="43">
        <f t="shared" si="5"/>
        <v>0</v>
      </c>
      <c r="J26" s="44"/>
      <c r="K26" s="206"/>
      <c r="L26" s="227"/>
    </row>
    <row r="27" spans="1:13" ht="15" customHeight="1">
      <c r="A27" s="1310"/>
      <c r="B27" s="1318"/>
      <c r="C27" s="1196"/>
      <c r="D27" s="238" t="s">
        <v>188</v>
      </c>
      <c r="E27" s="239">
        <v>1</v>
      </c>
      <c r="F27" s="241">
        <v>1</v>
      </c>
      <c r="G27" s="240"/>
      <c r="H27" s="241"/>
      <c r="I27" s="242">
        <f t="shared" si="5"/>
        <v>0</v>
      </c>
      <c r="J27" s="243"/>
      <c r="K27" s="244"/>
      <c r="L27" s="246"/>
    </row>
    <row r="28" spans="1:13" ht="15" customHeight="1">
      <c r="A28" s="1310"/>
      <c r="B28" s="1309" t="s">
        <v>127</v>
      </c>
      <c r="C28" s="1198">
        <v>40</v>
      </c>
      <c r="D28" s="39" t="s">
        <v>123</v>
      </c>
      <c r="E28" s="205">
        <v>18</v>
      </c>
      <c r="F28" s="42">
        <f>E28</f>
        <v>18</v>
      </c>
      <c r="G28" s="204">
        <f>K28+L28</f>
        <v>18.401</v>
      </c>
      <c r="H28" s="42">
        <f>+F28-G28</f>
        <v>-0.4009999999999998</v>
      </c>
      <c r="I28" s="781">
        <f t="shared" si="5"/>
        <v>1.0222777777777778</v>
      </c>
      <c r="J28" s="714">
        <v>42030</v>
      </c>
      <c r="K28" s="206"/>
      <c r="L28" s="227">
        <v>18.401</v>
      </c>
      <c r="M28" s="522"/>
    </row>
    <row r="29" spans="1:13" ht="15" customHeight="1">
      <c r="A29" s="1310"/>
      <c r="B29" s="1309"/>
      <c r="C29" s="1198"/>
      <c r="D29" s="39" t="s">
        <v>124</v>
      </c>
      <c r="E29" s="205">
        <v>18</v>
      </c>
      <c r="F29" s="42">
        <f>E29+H28</f>
        <v>17.599</v>
      </c>
      <c r="G29" s="204">
        <f t="shared" ref="G29:G30" si="7">K29+L29</f>
        <v>19.161999999999999</v>
      </c>
      <c r="H29" s="42">
        <f>+F29-G29</f>
        <v>-1.5629999999999988</v>
      </c>
      <c r="I29" s="781">
        <f t="shared" si="5"/>
        <v>1.0888118643104721</v>
      </c>
      <c r="J29" s="714">
        <v>42362</v>
      </c>
      <c r="K29" s="206"/>
      <c r="L29" s="227">
        <v>19.161999999999999</v>
      </c>
    </row>
    <row r="30" spans="1:13" ht="15" customHeight="1">
      <c r="A30" s="1310"/>
      <c r="B30" s="1309"/>
      <c r="C30" s="1198"/>
      <c r="D30" s="284" t="s">
        <v>188</v>
      </c>
      <c r="E30" s="205">
        <v>4</v>
      </c>
      <c r="F30" s="42">
        <f>E30</f>
        <v>4</v>
      </c>
      <c r="G30" s="204">
        <f t="shared" si="7"/>
        <v>0.17100000000000001</v>
      </c>
      <c r="H30" s="42">
        <f>+F30-G30</f>
        <v>3.8290000000000002</v>
      </c>
      <c r="I30" s="43">
        <f t="shared" si="5"/>
        <v>4.2750000000000003E-2</v>
      </c>
      <c r="J30" s="44"/>
      <c r="K30" s="206"/>
      <c r="L30" s="227">
        <v>0.17100000000000001</v>
      </c>
    </row>
    <row r="31" spans="1:13" ht="15" customHeight="1">
      <c r="A31" s="1310"/>
      <c r="B31" s="1331" t="s">
        <v>128</v>
      </c>
      <c r="C31" s="1199">
        <v>7</v>
      </c>
      <c r="D31" s="163" t="s">
        <v>123</v>
      </c>
      <c r="E31" s="232">
        <v>3</v>
      </c>
      <c r="F31" s="234">
        <v>3</v>
      </c>
      <c r="G31" s="233"/>
      <c r="H31" s="234">
        <f t="shared" si="1"/>
        <v>3</v>
      </c>
      <c r="I31" s="235">
        <f t="shared" si="5"/>
        <v>0</v>
      </c>
      <c r="J31" s="236"/>
      <c r="K31" s="237"/>
      <c r="L31" s="247"/>
    </row>
    <row r="32" spans="1:13" ht="15" customHeight="1">
      <c r="A32" s="1310"/>
      <c r="B32" s="1309"/>
      <c r="C32" s="1198"/>
      <c r="D32" s="39" t="s">
        <v>124</v>
      </c>
      <c r="E32" s="205">
        <v>3</v>
      </c>
      <c r="F32" s="42">
        <v>3</v>
      </c>
      <c r="G32" s="204"/>
      <c r="H32" s="42">
        <f t="shared" si="1"/>
        <v>3</v>
      </c>
      <c r="I32" s="43">
        <f t="shared" si="5"/>
        <v>0</v>
      </c>
      <c r="J32" s="44"/>
      <c r="K32" s="206"/>
      <c r="L32" s="227"/>
    </row>
    <row r="33" spans="1:12" ht="15" customHeight="1">
      <c r="A33" s="1310"/>
      <c r="B33" s="1318"/>
      <c r="C33" s="1196"/>
      <c r="D33" s="238" t="s">
        <v>188</v>
      </c>
      <c r="E33" s="239">
        <v>1</v>
      </c>
      <c r="F33" s="241">
        <v>1</v>
      </c>
      <c r="G33" s="240"/>
      <c r="H33" s="241"/>
      <c r="I33" s="242">
        <f t="shared" si="5"/>
        <v>0</v>
      </c>
      <c r="J33" s="243"/>
      <c r="K33" s="244"/>
      <c r="L33" s="246"/>
    </row>
    <row r="34" spans="1:12" ht="15" customHeight="1">
      <c r="A34" s="1310"/>
      <c r="B34" s="1309" t="s">
        <v>129</v>
      </c>
      <c r="C34" s="1198">
        <v>41</v>
      </c>
      <c r="D34" s="39" t="s">
        <v>123</v>
      </c>
      <c r="E34" s="205">
        <v>19</v>
      </c>
      <c r="F34" s="42">
        <v>19</v>
      </c>
      <c r="G34" s="204">
        <f>K34+L34</f>
        <v>18.704000000000001</v>
      </c>
      <c r="H34" s="42">
        <f>+F34-G34</f>
        <v>0.29599999999999937</v>
      </c>
      <c r="I34" s="43">
        <f t="shared" si="5"/>
        <v>0.98442105263157897</v>
      </c>
      <c r="J34" s="714">
        <v>42087</v>
      </c>
      <c r="K34" s="206"/>
      <c r="L34" s="227">
        <v>18.704000000000001</v>
      </c>
    </row>
    <row r="35" spans="1:12" ht="15" customHeight="1">
      <c r="A35" s="1310"/>
      <c r="B35" s="1309"/>
      <c r="C35" s="1198"/>
      <c r="D35" s="39" t="s">
        <v>124</v>
      </c>
      <c r="E35" s="205">
        <v>18</v>
      </c>
      <c r="F35" s="42">
        <v>18</v>
      </c>
      <c r="G35" s="204">
        <f>K35+L35</f>
        <v>20.084</v>
      </c>
      <c r="H35" s="42">
        <f>+F35-G35</f>
        <v>-2.0839999999999996</v>
      </c>
      <c r="I35" s="781">
        <f t="shared" si="5"/>
        <v>1.1157777777777778</v>
      </c>
      <c r="J35" s="714">
        <v>42333</v>
      </c>
      <c r="K35" s="206"/>
      <c r="L35" s="227">
        <v>20.084</v>
      </c>
    </row>
    <row r="36" spans="1:12" ht="15" customHeight="1">
      <c r="A36" s="1310"/>
      <c r="B36" s="1309"/>
      <c r="C36" s="1198"/>
      <c r="D36" s="284" t="s">
        <v>188</v>
      </c>
      <c r="E36" s="205">
        <v>4</v>
      </c>
      <c r="F36" s="42">
        <v>4</v>
      </c>
      <c r="G36" s="204"/>
      <c r="H36" s="42"/>
      <c r="I36" s="242">
        <f t="shared" si="5"/>
        <v>0</v>
      </c>
      <c r="J36" s="44"/>
      <c r="K36" s="206"/>
      <c r="L36" s="227"/>
    </row>
    <row r="37" spans="1:12" ht="15" customHeight="1">
      <c r="A37" s="1310"/>
      <c r="B37" s="1328" t="s">
        <v>130</v>
      </c>
      <c r="C37" s="1199">
        <v>7</v>
      </c>
      <c r="D37" s="245" t="s">
        <v>123</v>
      </c>
      <c r="E37" s="232">
        <v>3</v>
      </c>
      <c r="F37" s="234">
        <f>E37</f>
        <v>3</v>
      </c>
      <c r="G37" s="233">
        <f>K37+L37</f>
        <v>0.03</v>
      </c>
      <c r="H37" s="234">
        <f>+F37-G37</f>
        <v>2.97</v>
      </c>
      <c r="I37" s="235">
        <f t="shared" si="5"/>
        <v>0.01</v>
      </c>
      <c r="J37" s="236"/>
      <c r="K37" s="237">
        <v>0.03</v>
      </c>
      <c r="L37" s="247"/>
    </row>
    <row r="38" spans="1:12" ht="15" customHeight="1">
      <c r="A38" s="1310"/>
      <c r="B38" s="1329"/>
      <c r="C38" s="1198"/>
      <c r="D38" s="284" t="s">
        <v>124</v>
      </c>
      <c r="E38" s="205">
        <v>3</v>
      </c>
      <c r="F38" s="42">
        <f>E38+H37</f>
        <v>5.9700000000000006</v>
      </c>
      <c r="G38" s="204">
        <f t="shared" ref="G38:G39" si="8">K38+L38</f>
        <v>0</v>
      </c>
      <c r="H38" s="42">
        <f>+F38-G38</f>
        <v>5.9700000000000006</v>
      </c>
      <c r="I38" s="43">
        <f t="shared" si="5"/>
        <v>0</v>
      </c>
      <c r="J38" s="44"/>
      <c r="K38" s="206"/>
      <c r="L38" s="227"/>
    </row>
    <row r="39" spans="1:12" ht="15" customHeight="1" thickBot="1">
      <c r="A39" s="1310"/>
      <c r="B39" s="1330"/>
      <c r="C39" s="1200"/>
      <c r="D39" s="283" t="s">
        <v>188</v>
      </c>
      <c r="E39" s="228">
        <v>1</v>
      </c>
      <c r="F39" s="78">
        <f>E39</f>
        <v>1</v>
      </c>
      <c r="G39" s="204">
        <f t="shared" si="8"/>
        <v>0</v>
      </c>
      <c r="H39" s="78">
        <f>+F39-G39</f>
        <v>1</v>
      </c>
      <c r="I39" s="43">
        <f t="shared" si="5"/>
        <v>0</v>
      </c>
      <c r="J39" s="229"/>
      <c r="K39" s="230"/>
      <c r="L39" s="223"/>
    </row>
    <row r="40" spans="1:12" ht="15.75" customHeight="1" thickBot="1">
      <c r="A40" s="1304"/>
      <c r="B40" s="502" t="s">
        <v>229</v>
      </c>
      <c r="C40" s="208">
        <v>2</v>
      </c>
      <c r="D40" s="207" t="s">
        <v>327</v>
      </c>
      <c r="E40" s="503">
        <v>2</v>
      </c>
      <c r="F40" s="211">
        <v>2</v>
      </c>
      <c r="G40" s="210"/>
      <c r="H40" s="211"/>
      <c r="I40" s="212"/>
      <c r="J40" s="504"/>
      <c r="K40" s="505"/>
      <c r="L40" s="214"/>
    </row>
    <row r="41" spans="1:12" ht="15" customHeight="1">
      <c r="A41" s="36"/>
      <c r="B41" s="37"/>
      <c r="C41" s="38"/>
      <c r="D41" s="39"/>
      <c r="E41" s="40"/>
      <c r="F41" s="41"/>
      <c r="G41" s="42"/>
      <c r="H41" s="42"/>
      <c r="I41" s="43"/>
      <c r="J41" s="44"/>
      <c r="K41" s="35"/>
      <c r="L41" s="21"/>
    </row>
    <row r="42" spans="1:12" ht="14.25" customHeight="1" thickBot="1">
      <c r="A42" s="36"/>
      <c r="B42" s="37"/>
      <c r="C42" s="38"/>
      <c r="D42" s="39"/>
      <c r="E42" s="40"/>
      <c r="F42" s="41"/>
      <c r="G42" s="42"/>
      <c r="H42" s="42"/>
      <c r="I42" s="43"/>
      <c r="J42" s="44"/>
      <c r="K42" s="35"/>
      <c r="L42" s="21"/>
    </row>
    <row r="43" spans="1:12" ht="21" customHeight="1" thickBot="1">
      <c r="A43" s="1300" t="s">
        <v>131</v>
      </c>
      <c r="B43" s="1301"/>
      <c r="C43" s="1301"/>
      <c r="D43" s="1301"/>
      <c r="E43" s="1301"/>
      <c r="F43" s="1301"/>
      <c r="G43" s="1301"/>
      <c r="H43" s="1302"/>
      <c r="I43" s="189"/>
      <c r="J43" s="189"/>
      <c r="K43" s="18"/>
      <c r="L43" s="45"/>
    </row>
    <row r="44" spans="1:12" ht="15.75">
      <c r="A44" s="710" t="s">
        <v>81</v>
      </c>
      <c r="B44" s="720" t="s">
        <v>132</v>
      </c>
      <c r="C44" s="721" t="s">
        <v>87</v>
      </c>
      <c r="D44" s="1373" t="s">
        <v>133</v>
      </c>
      <c r="E44" s="1373"/>
      <c r="F44" s="722" t="s">
        <v>134</v>
      </c>
      <c r="G44" s="1373" t="s">
        <v>135</v>
      </c>
      <c r="H44" s="1373"/>
      <c r="I44" s="190"/>
      <c r="J44" s="46"/>
      <c r="K44" s="45"/>
    </row>
    <row r="45" spans="1:12">
      <c r="A45" s="1311" t="s">
        <v>230</v>
      </c>
      <c r="B45" s="1248" t="s">
        <v>137</v>
      </c>
      <c r="C45" s="1249" t="s">
        <v>138</v>
      </c>
      <c r="D45" s="1250" t="s">
        <v>139</v>
      </c>
      <c r="E45" s="1250"/>
      <c r="F45" s="667">
        <v>25302.232</v>
      </c>
      <c r="G45" s="1378">
        <f>+SUM(F45:F46)</f>
        <v>45445.926999999996</v>
      </c>
      <c r="H45" s="1378"/>
      <c r="I45" s="39"/>
      <c r="J45" s="18"/>
      <c r="K45" s="45"/>
    </row>
    <row r="46" spans="1:12">
      <c r="A46" s="1311"/>
      <c r="B46" s="1248"/>
      <c r="C46" s="1249"/>
      <c r="D46" s="1250" t="s">
        <v>140</v>
      </c>
      <c r="E46" s="1250"/>
      <c r="F46" s="683">
        <v>20143.695</v>
      </c>
      <c r="G46" s="1378"/>
      <c r="H46" s="1378"/>
      <c r="I46" s="42"/>
      <c r="J46" s="47"/>
      <c r="K46" s="45"/>
    </row>
    <row r="47" spans="1:12">
      <c r="A47" s="1311" t="s">
        <v>231</v>
      </c>
      <c r="B47" s="1248" t="s">
        <v>137</v>
      </c>
      <c r="C47" s="1249" t="s">
        <v>138</v>
      </c>
      <c r="D47" s="1250" t="s">
        <v>139</v>
      </c>
      <c r="E47" s="1250"/>
      <c r="F47" s="667">
        <v>5889.5039999999999</v>
      </c>
      <c r="G47" s="1378">
        <f>+SUM(F47:F48)</f>
        <v>6033.1419999999998</v>
      </c>
      <c r="H47" s="1378"/>
      <c r="I47" s="39"/>
      <c r="J47" s="18"/>
      <c r="K47" s="45"/>
    </row>
    <row r="48" spans="1:12">
      <c r="A48" s="1311"/>
      <c r="B48" s="1248"/>
      <c r="C48" s="1249"/>
      <c r="D48" s="1250" t="s">
        <v>140</v>
      </c>
      <c r="E48" s="1250"/>
      <c r="F48" s="12">
        <v>143.63800000000001</v>
      </c>
      <c r="G48" s="1378"/>
      <c r="H48" s="1378"/>
      <c r="I48" s="39"/>
      <c r="J48" s="18"/>
      <c r="K48" s="45"/>
    </row>
    <row r="49" spans="1:14">
      <c r="A49" s="1311" t="s">
        <v>141</v>
      </c>
      <c r="B49" s="1248" t="s">
        <v>137</v>
      </c>
      <c r="C49" s="1249" t="s">
        <v>138</v>
      </c>
      <c r="D49" s="1250" t="s">
        <v>139</v>
      </c>
      <c r="E49" s="1250"/>
      <c r="F49" s="667">
        <v>29544.113000000001</v>
      </c>
      <c r="G49" s="1378">
        <f>F49+F50</f>
        <v>34045.686999999998</v>
      </c>
      <c r="H49" s="1378"/>
      <c r="I49" s="39"/>
      <c r="J49" s="18"/>
      <c r="K49" s="45"/>
    </row>
    <row r="50" spans="1:14">
      <c r="A50" s="1311"/>
      <c r="B50" s="1248"/>
      <c r="C50" s="1249"/>
      <c r="D50" s="1250" t="s">
        <v>140</v>
      </c>
      <c r="E50" s="1250"/>
      <c r="F50" s="12">
        <v>4501.5739999999996</v>
      </c>
      <c r="G50" s="1378"/>
      <c r="H50" s="1378"/>
    </row>
    <row r="51" spans="1:14" ht="15.75" thickBot="1">
      <c r="F51" s="344"/>
    </row>
    <row r="52" spans="1:14" ht="16.5" thickBot="1">
      <c r="A52" s="1357" t="s">
        <v>142</v>
      </c>
      <c r="B52" s="1358"/>
      <c r="C52" s="1358"/>
      <c r="D52" s="1358"/>
      <c r="E52" s="1358"/>
      <c r="F52" s="1358"/>
      <c r="G52" s="1358"/>
      <c r="H52" s="1358"/>
      <c r="I52" s="1358"/>
      <c r="J52" s="1358"/>
      <c r="K52" s="1358"/>
      <c r="L52" s="1358"/>
      <c r="M52" s="1359"/>
    </row>
    <row r="53" spans="1:14" ht="32.25" thickBot="1">
      <c r="A53" s="715" t="s">
        <v>81</v>
      </c>
      <c r="B53" s="711" t="s">
        <v>192</v>
      </c>
      <c r="C53" s="712" t="s">
        <v>332</v>
      </c>
      <c r="D53" s="716" t="s">
        <v>87</v>
      </c>
      <c r="E53" s="1296" t="s">
        <v>133</v>
      </c>
      <c r="F53" s="1296"/>
      <c r="G53" s="717" t="s">
        <v>134</v>
      </c>
      <c r="H53" s="1296" t="s">
        <v>135</v>
      </c>
      <c r="I53" s="1296"/>
      <c r="J53" s="718" t="s">
        <v>136</v>
      </c>
      <c r="K53" s="719" t="s">
        <v>143</v>
      </c>
      <c r="L53" s="628" t="s">
        <v>362</v>
      </c>
      <c r="M53" s="749" t="s">
        <v>143</v>
      </c>
    </row>
    <row r="54" spans="1:14" ht="15.75" customHeight="1">
      <c r="A54" s="1322" t="s">
        <v>228</v>
      </c>
      <c r="B54" s="491" t="s">
        <v>229</v>
      </c>
      <c r="C54" s="364">
        <v>1000</v>
      </c>
      <c r="D54" s="1370" t="s">
        <v>321</v>
      </c>
      <c r="E54" s="1297" t="s">
        <v>261</v>
      </c>
      <c r="F54" s="1297"/>
      <c r="G54" s="679">
        <v>0</v>
      </c>
      <c r="H54" s="1298">
        <f>G56+G55+G54+G57</f>
        <v>143445.81699999998</v>
      </c>
      <c r="I54" s="1298"/>
      <c r="J54" s="492">
        <f t="shared" ref="J54:J56" si="9">C54-G54</f>
        <v>1000</v>
      </c>
      <c r="K54" s="609"/>
      <c r="L54" s="629">
        <f t="shared" ref="L54:L55" si="10">G54/C54</f>
        <v>0</v>
      </c>
      <c r="M54" s="750"/>
    </row>
    <row r="55" spans="1:14">
      <c r="A55" s="1322"/>
      <c r="B55" s="490" t="s">
        <v>320</v>
      </c>
      <c r="C55" s="459">
        <v>1576</v>
      </c>
      <c r="D55" s="1371"/>
      <c r="E55" s="1251" t="s">
        <v>139</v>
      </c>
      <c r="F55" s="1251"/>
      <c r="G55" s="150">
        <v>18.276</v>
      </c>
      <c r="H55" s="1299"/>
      <c r="I55" s="1299"/>
      <c r="J55" s="337">
        <f t="shared" si="9"/>
        <v>1557.7239999999999</v>
      </c>
      <c r="K55" s="610"/>
      <c r="L55" s="630">
        <f t="shared" si="10"/>
        <v>1.1596446700507614E-2</v>
      </c>
      <c r="M55" s="751"/>
    </row>
    <row r="56" spans="1:14">
      <c r="A56" s="1322"/>
      <c r="B56" s="490" t="s">
        <v>139</v>
      </c>
      <c r="C56" s="459">
        <v>156024</v>
      </c>
      <c r="D56" s="1371"/>
      <c r="E56" s="1251" t="s">
        <v>139</v>
      </c>
      <c r="F56" s="1251"/>
      <c r="G56" s="684">
        <v>103979</v>
      </c>
      <c r="H56" s="1299"/>
      <c r="I56" s="1299"/>
      <c r="J56" s="337">
        <f t="shared" si="9"/>
        <v>52045</v>
      </c>
      <c r="K56" s="610"/>
      <c r="L56" s="815">
        <f>G56/C56</f>
        <v>0.66642952366302621</v>
      </c>
      <c r="M56" s="751"/>
    </row>
    <row r="57" spans="1:14" ht="15.75" thickBot="1">
      <c r="A57" s="1323"/>
      <c r="B57" s="490" t="s">
        <v>140</v>
      </c>
      <c r="C57" s="459">
        <v>39400</v>
      </c>
      <c r="D57" s="1371"/>
      <c r="E57" s="1251" t="s">
        <v>140</v>
      </c>
      <c r="F57" s="1251"/>
      <c r="G57" s="150">
        <v>39448.540999999997</v>
      </c>
      <c r="H57" s="1299"/>
      <c r="I57" s="1299"/>
      <c r="J57" s="768">
        <f>C57-G57</f>
        <v>-48.540999999997439</v>
      </c>
      <c r="K57" s="610"/>
      <c r="L57" s="815">
        <f>G57/C57</f>
        <v>1.0012320050761421</v>
      </c>
      <c r="M57" s="762">
        <v>42099</v>
      </c>
    </row>
    <row r="58" spans="1:14" ht="36" customHeight="1" thickBot="1">
      <c r="A58" s="763" t="s">
        <v>402</v>
      </c>
      <c r="B58" s="839" t="s">
        <v>193</v>
      </c>
      <c r="C58" s="764">
        <v>982</v>
      </c>
      <c r="D58" s="765" t="s">
        <v>260</v>
      </c>
      <c r="E58" s="1247" t="s">
        <v>146</v>
      </c>
      <c r="F58" s="1247"/>
      <c r="G58" s="764">
        <v>1047.6590000000001</v>
      </c>
      <c r="H58" s="1283">
        <v>1047.6590000000001</v>
      </c>
      <c r="I58" s="1283"/>
      <c r="J58" s="769">
        <f>C58-H58</f>
        <v>-65.659000000000106</v>
      </c>
      <c r="K58" s="770"/>
      <c r="L58" s="767">
        <f>G58/C58</f>
        <v>1.0668625254582487</v>
      </c>
      <c r="M58" s="771">
        <v>42114</v>
      </c>
    </row>
    <row r="59" spans="1:14" ht="46.5" customHeight="1" thickBot="1">
      <c r="A59" s="763" t="s">
        <v>403</v>
      </c>
      <c r="B59" s="839" t="s">
        <v>193</v>
      </c>
      <c r="C59" s="764">
        <v>229</v>
      </c>
      <c r="D59" s="765" t="s">
        <v>404</v>
      </c>
      <c r="E59" s="1247" t="s">
        <v>139</v>
      </c>
      <c r="F59" s="1376"/>
      <c r="G59" s="764">
        <v>373.32600000000002</v>
      </c>
      <c r="H59" s="1283">
        <v>373.32600000000002</v>
      </c>
      <c r="I59" s="1283"/>
      <c r="J59" s="769">
        <f>C59-H59</f>
        <v>-144.32600000000002</v>
      </c>
      <c r="K59" s="766"/>
      <c r="L59" s="767">
        <f>G59/C59</f>
        <v>1.6302445414847162</v>
      </c>
      <c r="M59" s="814">
        <v>42328</v>
      </c>
    </row>
    <row r="60" spans="1:14" s="682" customFormat="1" ht="14.25" customHeight="1">
      <c r="A60" s="756"/>
      <c r="B60" s="490"/>
      <c r="F60" s="726"/>
      <c r="G60" s="150"/>
    </row>
    <row r="61" spans="1:14" ht="15.75" thickBot="1">
      <c r="G61" s="713"/>
    </row>
    <row r="62" spans="1:14" ht="24" customHeight="1" thickBot="1">
      <c r="A62" s="1252" t="s">
        <v>381</v>
      </c>
      <c r="B62" s="1355"/>
      <c r="C62" s="1355"/>
      <c r="D62" s="1355"/>
      <c r="E62" s="1355"/>
      <c r="F62" s="1355"/>
      <c r="G62" s="1355"/>
      <c r="H62" s="1355"/>
      <c r="I62" s="1355"/>
      <c r="J62" s="1355"/>
      <c r="K62" s="1355"/>
      <c r="L62" s="1355"/>
      <c r="M62" s="1355"/>
      <c r="N62" s="1356"/>
    </row>
    <row r="63" spans="1:14" ht="15.75" customHeight="1">
      <c r="A63" s="1362" t="s">
        <v>81</v>
      </c>
      <c r="B63" s="1368" t="s">
        <v>133</v>
      </c>
      <c r="C63" s="1324" t="s">
        <v>87</v>
      </c>
      <c r="D63" s="1374" t="s">
        <v>357</v>
      </c>
      <c r="E63" s="1375"/>
      <c r="F63" s="1374" t="s">
        <v>203</v>
      </c>
      <c r="G63" s="1377" t="s">
        <v>191</v>
      </c>
      <c r="H63" s="1377"/>
      <c r="I63" s="1372" t="s">
        <v>136</v>
      </c>
      <c r="J63" s="1351" t="s">
        <v>354</v>
      </c>
      <c r="K63" s="1353" t="s">
        <v>423</v>
      </c>
      <c r="L63" s="1350" t="s">
        <v>136</v>
      </c>
      <c r="M63" s="1350" t="s">
        <v>362</v>
      </c>
      <c r="N63" s="1364" t="s">
        <v>143</v>
      </c>
    </row>
    <row r="64" spans="1:14" ht="16.5" thickBot="1">
      <c r="A64" s="1363"/>
      <c r="B64" s="1369"/>
      <c r="C64" s="1325"/>
      <c r="D64" s="1374"/>
      <c r="E64" s="1375"/>
      <c r="F64" s="1374"/>
      <c r="G64" s="7" t="s">
        <v>140</v>
      </c>
      <c r="H64" s="7" t="s">
        <v>139</v>
      </c>
      <c r="I64" s="1372"/>
      <c r="J64" s="1352"/>
      <c r="K64" s="1354"/>
      <c r="L64" s="1259"/>
      <c r="M64" s="1259"/>
      <c r="N64" s="1365"/>
    </row>
    <row r="65" spans="1:14">
      <c r="A65" s="1284" t="s">
        <v>144</v>
      </c>
      <c r="B65" s="1287" t="s">
        <v>261</v>
      </c>
      <c r="C65" s="1312" t="s">
        <v>352</v>
      </c>
      <c r="D65" s="1326" t="s">
        <v>259</v>
      </c>
      <c r="E65" s="606" t="s">
        <v>353</v>
      </c>
      <c r="F65" s="607">
        <v>14</v>
      </c>
      <c r="G65" s="723">
        <v>0</v>
      </c>
      <c r="H65" s="677">
        <v>0.112</v>
      </c>
      <c r="I65" s="608">
        <f>F65-G65-H65</f>
        <v>13.888</v>
      </c>
      <c r="J65" s="1360">
        <f>SUM(+F65+F66+F67)</f>
        <v>22</v>
      </c>
      <c r="K65" s="1278">
        <f>G65+H65+G66+H66+G67+H67</f>
        <v>0.67200000000000004</v>
      </c>
      <c r="L65" s="1366">
        <f>SUM(J65-K65)</f>
        <v>21.327999999999999</v>
      </c>
      <c r="M65" s="1255">
        <f t="shared" ref="M65" si="11">K65/J65</f>
        <v>3.0545454545454546E-2</v>
      </c>
      <c r="N65" s="597"/>
    </row>
    <row r="66" spans="1:14">
      <c r="A66" s="1285"/>
      <c r="B66" s="1288"/>
      <c r="C66" s="1313"/>
      <c r="D66" s="1316"/>
      <c r="E66" s="590" t="s">
        <v>355</v>
      </c>
      <c r="F66" s="594">
        <v>2</v>
      </c>
      <c r="G66" s="725">
        <v>0</v>
      </c>
      <c r="H66" s="675">
        <v>0</v>
      </c>
      <c r="I66" s="593">
        <f t="shared" ref="I66:I70" si="12">F66-G66-H66</f>
        <v>2</v>
      </c>
      <c r="J66" s="1276"/>
      <c r="K66" s="1279"/>
      <c r="L66" s="1348"/>
      <c r="M66" s="1256"/>
      <c r="N66" s="597"/>
    </row>
    <row r="67" spans="1:14" ht="15.75" thickBot="1">
      <c r="A67" s="1285"/>
      <c r="B67" s="1288"/>
      <c r="C67" s="1313"/>
      <c r="D67" s="1327"/>
      <c r="E67" s="591" t="s">
        <v>356</v>
      </c>
      <c r="F67" s="595">
        <v>6</v>
      </c>
      <c r="G67" s="753">
        <f>0.394+0.011+0.007+0.023+0.105</f>
        <v>0.54</v>
      </c>
      <c r="H67" s="678">
        <v>0.02</v>
      </c>
      <c r="I67" s="596">
        <f t="shared" si="12"/>
        <v>5.44</v>
      </c>
      <c r="J67" s="1361"/>
      <c r="K67" s="1280"/>
      <c r="L67" s="1367"/>
      <c r="M67" s="1257"/>
      <c r="N67" s="597"/>
    </row>
    <row r="68" spans="1:14">
      <c r="A68" s="1285"/>
      <c r="B68" s="1288"/>
      <c r="C68" s="1313"/>
      <c r="D68" s="1319" t="s">
        <v>145</v>
      </c>
      <c r="E68" s="606" t="s">
        <v>353</v>
      </c>
      <c r="F68" s="607">
        <v>14</v>
      </c>
      <c r="G68" s="688">
        <v>0.27900000000000003</v>
      </c>
      <c r="H68" s="677">
        <v>0</v>
      </c>
      <c r="I68" s="608">
        <f t="shared" si="12"/>
        <v>13.721</v>
      </c>
      <c r="J68" s="1275">
        <f>SUM(F68+F69+F70)</f>
        <v>36</v>
      </c>
      <c r="K68" s="1281">
        <f>SUM(G68+H68+G69+H69+G70+H70)</f>
        <v>0.51300000000000001</v>
      </c>
      <c r="L68" s="1347">
        <f>SUM(J68-K68)</f>
        <v>35.487000000000002</v>
      </c>
      <c r="M68" s="1255">
        <f t="shared" ref="M68" si="13">K68/J68</f>
        <v>1.4250000000000001E-2</v>
      </c>
      <c r="N68" s="597"/>
    </row>
    <row r="69" spans="1:14">
      <c r="A69" s="1285"/>
      <c r="B69" s="1288"/>
      <c r="C69" s="1313"/>
      <c r="D69" s="1320"/>
      <c r="E69" s="590" t="s">
        <v>355</v>
      </c>
      <c r="F69" s="594">
        <v>20</v>
      </c>
      <c r="G69" s="638">
        <v>0</v>
      </c>
      <c r="H69" s="675">
        <f>0.082+0.001+0.12+0.031</f>
        <v>0.23400000000000001</v>
      </c>
      <c r="I69" s="593">
        <f t="shared" si="12"/>
        <v>19.765999999999998</v>
      </c>
      <c r="J69" s="1276"/>
      <c r="K69" s="1279"/>
      <c r="L69" s="1348"/>
      <c r="M69" s="1256"/>
      <c r="N69" s="598"/>
    </row>
    <row r="70" spans="1:14" ht="15.75" thickBot="1">
      <c r="A70" s="1286"/>
      <c r="B70" s="1289"/>
      <c r="C70" s="1314"/>
      <c r="D70" s="1321"/>
      <c r="E70" s="591" t="s">
        <v>356</v>
      </c>
      <c r="F70" s="595">
        <v>2</v>
      </c>
      <c r="G70" s="641">
        <v>0</v>
      </c>
      <c r="H70" s="678">
        <v>0</v>
      </c>
      <c r="I70" s="596">
        <f t="shared" si="12"/>
        <v>2</v>
      </c>
      <c r="J70" s="1277"/>
      <c r="K70" s="1282"/>
      <c r="L70" s="1349"/>
      <c r="M70" s="1257"/>
      <c r="N70" s="599"/>
    </row>
    <row r="71" spans="1:14">
      <c r="A71" s="1284" t="s">
        <v>358</v>
      </c>
      <c r="B71" s="1287" t="s">
        <v>261</v>
      </c>
      <c r="C71" s="1312" t="s">
        <v>352</v>
      </c>
      <c r="D71" s="1315" t="s">
        <v>259</v>
      </c>
      <c r="E71" s="600" t="s">
        <v>353</v>
      </c>
      <c r="F71" s="592">
        <v>7</v>
      </c>
      <c r="G71" s="670">
        <v>3.9E-2</v>
      </c>
      <c r="H71" s="670">
        <v>0</v>
      </c>
      <c r="I71" s="593">
        <f>F71-G71-H71</f>
        <v>6.9610000000000003</v>
      </c>
      <c r="J71" s="1360">
        <f>SUM(+F71+F72+F73)</f>
        <v>11</v>
      </c>
      <c r="K71" s="1281">
        <f>G71+G72+G73+H71+H72+H73</f>
        <v>0.04</v>
      </c>
      <c r="L71" s="1366">
        <f>SUM(J71-K71)</f>
        <v>10.96</v>
      </c>
      <c r="M71" s="1255">
        <f t="shared" ref="M71" si="14">K71/J71</f>
        <v>3.6363636363636364E-3</v>
      </c>
      <c r="N71" s="597"/>
    </row>
    <row r="72" spans="1:14">
      <c r="A72" s="1285"/>
      <c r="B72" s="1288"/>
      <c r="C72" s="1313"/>
      <c r="D72" s="1316"/>
      <c r="E72" s="590" t="s">
        <v>355</v>
      </c>
      <c r="F72" s="594">
        <v>1</v>
      </c>
      <c r="G72" s="638">
        <v>0</v>
      </c>
      <c r="H72" s="675">
        <v>1E-3</v>
      </c>
      <c r="I72" s="593">
        <f t="shared" ref="I72:I76" si="15">F72-G72-H72</f>
        <v>0.999</v>
      </c>
      <c r="J72" s="1276"/>
      <c r="K72" s="1279"/>
      <c r="L72" s="1348"/>
      <c r="M72" s="1256"/>
      <c r="N72" s="597"/>
    </row>
    <row r="73" spans="1:14" ht="15.75" thickBot="1">
      <c r="A73" s="1285"/>
      <c r="B73" s="1288"/>
      <c r="C73" s="1313"/>
      <c r="D73" s="1317"/>
      <c r="E73" s="603" t="s">
        <v>356</v>
      </c>
      <c r="F73" s="604">
        <v>3</v>
      </c>
      <c r="G73" s="639">
        <v>0</v>
      </c>
      <c r="H73" s="676">
        <v>0</v>
      </c>
      <c r="I73" s="605">
        <f t="shared" si="15"/>
        <v>3</v>
      </c>
      <c r="J73" s="1361"/>
      <c r="K73" s="1282"/>
      <c r="L73" s="1367"/>
      <c r="M73" s="1257"/>
      <c r="N73" s="597"/>
    </row>
    <row r="74" spans="1:14">
      <c r="A74" s="1285"/>
      <c r="B74" s="1288"/>
      <c r="C74" s="1313"/>
      <c r="D74" s="1319" t="s">
        <v>145</v>
      </c>
      <c r="E74" s="606" t="s">
        <v>353</v>
      </c>
      <c r="F74" s="607">
        <v>7</v>
      </c>
      <c r="G74" s="640">
        <f>5.652+0.469</f>
        <v>6.1210000000000004</v>
      </c>
      <c r="H74" s="677">
        <v>0</v>
      </c>
      <c r="I74" s="608">
        <f>F74-G74-H74</f>
        <v>0.87899999999999956</v>
      </c>
      <c r="J74" s="1275">
        <f>SUM(F74+F75+F76)</f>
        <v>20</v>
      </c>
      <c r="K74" s="1281">
        <f>G74+G75+G76+H74+H75+H76</f>
        <v>6.1210000000000004</v>
      </c>
      <c r="L74" s="1347">
        <f>SUM(J74-K74)</f>
        <v>13.879</v>
      </c>
      <c r="M74" s="1255">
        <f>K74/J74</f>
        <v>0.30605000000000004</v>
      </c>
      <c r="N74" s="597"/>
    </row>
    <row r="75" spans="1:14">
      <c r="A75" s="1285"/>
      <c r="B75" s="1288"/>
      <c r="C75" s="1313"/>
      <c r="D75" s="1320"/>
      <c r="E75" s="590" t="s">
        <v>355</v>
      </c>
      <c r="F75" s="594">
        <v>10</v>
      </c>
      <c r="G75" s="638">
        <v>0</v>
      </c>
      <c r="H75" s="675">
        <v>0</v>
      </c>
      <c r="I75" s="593">
        <f t="shared" si="15"/>
        <v>10</v>
      </c>
      <c r="J75" s="1276"/>
      <c r="K75" s="1279"/>
      <c r="L75" s="1348"/>
      <c r="M75" s="1256"/>
      <c r="N75" s="598"/>
    </row>
    <row r="76" spans="1:14" ht="15.75" thickBot="1">
      <c r="A76" s="1286"/>
      <c r="B76" s="1289"/>
      <c r="C76" s="1314"/>
      <c r="D76" s="1321"/>
      <c r="E76" s="591" t="s">
        <v>356</v>
      </c>
      <c r="F76" s="595">
        <v>3</v>
      </c>
      <c r="G76" s="641">
        <v>0</v>
      </c>
      <c r="H76" s="678">
        <v>0</v>
      </c>
      <c r="I76" s="596">
        <f t="shared" si="15"/>
        <v>3</v>
      </c>
      <c r="J76" s="1277"/>
      <c r="K76" s="1282"/>
      <c r="L76" s="1349"/>
      <c r="M76" s="1257"/>
      <c r="N76" s="599"/>
    </row>
    <row r="78" spans="1:14" ht="15.75" thickBot="1"/>
    <row r="79" spans="1:14" ht="27.75" customHeight="1" thickBot="1">
      <c r="A79" s="1252" t="s">
        <v>382</v>
      </c>
      <c r="B79" s="1253"/>
      <c r="C79" s="1253"/>
      <c r="D79" s="1253"/>
      <c r="E79" s="1253"/>
      <c r="F79" s="1253"/>
      <c r="G79" s="1253"/>
      <c r="H79" s="1253"/>
      <c r="I79" s="1253"/>
      <c r="J79" s="1253"/>
      <c r="K79" s="1253"/>
      <c r="L79" s="1253"/>
      <c r="M79" s="1254"/>
    </row>
    <row r="80" spans="1:14" ht="16.5" customHeight="1">
      <c r="A80" s="1381" t="s">
        <v>81</v>
      </c>
      <c r="B80" s="1388" t="s">
        <v>87</v>
      </c>
      <c r="C80" s="1387" t="s">
        <v>133</v>
      </c>
      <c r="D80" s="1389" t="s">
        <v>357</v>
      </c>
      <c r="E80" s="1390"/>
      <c r="F80" s="1380" t="s">
        <v>203</v>
      </c>
      <c r="G80" s="1380" t="s">
        <v>191</v>
      </c>
      <c r="H80" s="1382" t="s">
        <v>136</v>
      </c>
      <c r="I80" s="1384" t="s">
        <v>354</v>
      </c>
      <c r="J80" s="1385" t="s">
        <v>135</v>
      </c>
      <c r="K80" s="1258" t="s">
        <v>136</v>
      </c>
      <c r="L80" s="1258" t="s">
        <v>362</v>
      </c>
      <c r="M80" s="1380" t="s">
        <v>143</v>
      </c>
    </row>
    <row r="81" spans="1:15" ht="15.75" thickBot="1">
      <c r="A81" s="1363"/>
      <c r="B81" s="1325"/>
      <c r="C81" s="1369"/>
      <c r="D81" s="1391"/>
      <c r="E81" s="1375"/>
      <c r="F81" s="1364"/>
      <c r="G81" s="1364"/>
      <c r="H81" s="1383"/>
      <c r="I81" s="1351"/>
      <c r="J81" s="1386"/>
      <c r="K81" s="1379"/>
      <c r="L81" s="1259"/>
      <c r="M81" s="1364"/>
    </row>
    <row r="82" spans="1:15">
      <c r="A82" s="1260" t="s">
        <v>144</v>
      </c>
      <c r="B82" s="1263" t="s">
        <v>371</v>
      </c>
      <c r="C82" s="654" t="s">
        <v>139</v>
      </c>
      <c r="D82" s="1266" t="s">
        <v>370</v>
      </c>
      <c r="E82" s="649" t="s">
        <v>372</v>
      </c>
      <c r="F82" s="659">
        <v>2</v>
      </c>
      <c r="G82" s="673">
        <v>0.30199999999999999</v>
      </c>
      <c r="H82" s="662">
        <f>F82-G82</f>
        <v>1.698</v>
      </c>
      <c r="I82" s="1269">
        <f>F82+F84+F83</f>
        <v>46</v>
      </c>
      <c r="J82" s="1269">
        <f>G82+G84+G83</f>
        <v>7.6859999999999999</v>
      </c>
      <c r="K82" s="1272">
        <f>I82-J82</f>
        <v>38.314</v>
      </c>
      <c r="L82" s="1255">
        <f>J82/I82</f>
        <v>0.16708695652173913</v>
      </c>
      <c r="M82" s="650"/>
    </row>
    <row r="83" spans="1:15">
      <c r="A83" s="1261"/>
      <c r="B83" s="1264"/>
      <c r="C83" s="655" t="s">
        <v>139</v>
      </c>
      <c r="D83" s="1267"/>
      <c r="E83" s="666" t="s">
        <v>373</v>
      </c>
      <c r="F83" s="665">
        <v>30</v>
      </c>
      <c r="G83" s="671">
        <f>5.963+0.283+0.294+0.387+0.139</f>
        <v>7.0659999999999998</v>
      </c>
      <c r="H83" s="686">
        <f>F83-G83</f>
        <v>22.934000000000001</v>
      </c>
      <c r="I83" s="1270"/>
      <c r="J83" s="1270"/>
      <c r="K83" s="1273"/>
      <c r="L83" s="1256"/>
      <c r="M83" s="651"/>
    </row>
    <row r="84" spans="1:15" ht="15.75" thickBot="1">
      <c r="A84" s="1261"/>
      <c r="B84" s="1264"/>
      <c r="C84" s="656" t="s">
        <v>140</v>
      </c>
      <c r="D84" s="1267"/>
      <c r="E84" s="658" t="s">
        <v>374</v>
      </c>
      <c r="F84" s="661">
        <v>14</v>
      </c>
      <c r="G84" s="672">
        <v>0.318</v>
      </c>
      <c r="H84" s="664">
        <f>F84-G84</f>
        <v>13.682</v>
      </c>
      <c r="I84" s="1271"/>
      <c r="J84" s="1271"/>
      <c r="K84" s="1274"/>
      <c r="L84" s="1257"/>
      <c r="M84" s="652"/>
    </row>
    <row r="85" spans="1:15">
      <c r="A85" s="1260" t="s">
        <v>358</v>
      </c>
      <c r="B85" s="1263" t="s">
        <v>371</v>
      </c>
      <c r="C85" s="654" t="s">
        <v>139</v>
      </c>
      <c r="D85" s="1266" t="s">
        <v>375</v>
      </c>
      <c r="E85" s="649" t="s">
        <v>372</v>
      </c>
      <c r="F85" s="659">
        <v>1</v>
      </c>
      <c r="G85" s="673">
        <v>0</v>
      </c>
      <c r="H85" s="662">
        <f t="shared" ref="H85:H86" si="16">F85-G85</f>
        <v>1</v>
      </c>
      <c r="I85" s="1269">
        <f>F85+F87+F86</f>
        <v>18</v>
      </c>
      <c r="J85" s="1269">
        <f>G85+G87+G86</f>
        <v>0.71699999999999997</v>
      </c>
      <c r="K85" s="1272">
        <f>I85-J85</f>
        <v>17.283000000000001</v>
      </c>
      <c r="L85" s="1255">
        <f>J85/I85</f>
        <v>3.9833333333333332E-2</v>
      </c>
      <c r="M85" s="650"/>
    </row>
    <row r="86" spans="1:15">
      <c r="A86" s="1261"/>
      <c r="B86" s="1264"/>
      <c r="C86" s="655" t="s">
        <v>139</v>
      </c>
      <c r="D86" s="1267"/>
      <c r="E86" s="657" t="s">
        <v>373</v>
      </c>
      <c r="F86" s="660">
        <v>10</v>
      </c>
      <c r="G86" s="674">
        <v>3.0000000000000001E-3</v>
      </c>
      <c r="H86" s="663">
        <f t="shared" si="16"/>
        <v>9.9969999999999999</v>
      </c>
      <c r="I86" s="1270"/>
      <c r="J86" s="1270"/>
      <c r="K86" s="1273"/>
      <c r="L86" s="1256"/>
      <c r="M86" s="651"/>
    </row>
    <row r="87" spans="1:15" ht="15.75" thickBot="1">
      <c r="A87" s="1262"/>
      <c r="B87" s="1265"/>
      <c r="C87" s="656" t="s">
        <v>140</v>
      </c>
      <c r="D87" s="1268"/>
      <c r="E87" s="658" t="s">
        <v>374</v>
      </c>
      <c r="F87" s="661">
        <v>7</v>
      </c>
      <c r="G87" s="672">
        <v>0.71399999999999997</v>
      </c>
      <c r="H87" s="664">
        <f>F87-G87</f>
        <v>6.2859999999999996</v>
      </c>
      <c r="I87" s="1271"/>
      <c r="J87" s="1271"/>
      <c r="K87" s="1274"/>
      <c r="L87" s="1257"/>
      <c r="M87" s="652"/>
    </row>
    <row r="88" spans="1:15">
      <c r="B88" s="643"/>
      <c r="C88" s="644"/>
      <c r="D88" s="645"/>
      <c r="E88" s="646"/>
      <c r="F88" s="646"/>
      <c r="G88" s="646"/>
      <c r="H88" s="647"/>
      <c r="I88" s="45"/>
      <c r="J88" s="45"/>
      <c r="K88" s="647"/>
      <c r="L88" s="642"/>
      <c r="M88" s="642"/>
      <c r="N88" s="648"/>
      <c r="O88" s="45"/>
    </row>
    <row r="90" spans="1:15" ht="22.5" customHeight="1">
      <c r="B90" s="1244" t="s">
        <v>148</v>
      </c>
      <c r="C90" s="1245"/>
      <c r="D90" s="1245"/>
      <c r="E90" s="1246"/>
      <c r="F90" s="296"/>
      <c r="G90" s="21"/>
      <c r="H90" s="21"/>
    </row>
    <row r="91" spans="1:15" ht="28.5" customHeight="1">
      <c r="A91" s="64" t="s">
        <v>149</v>
      </c>
      <c r="B91" s="63" t="s">
        <v>150</v>
      </c>
      <c r="C91" s="63" t="s">
        <v>151</v>
      </c>
      <c r="D91" s="63" t="s">
        <v>152</v>
      </c>
      <c r="E91" s="290" t="s">
        <v>153</v>
      </c>
      <c r="F91" s="297"/>
      <c r="G91" s="293"/>
      <c r="H91" s="293"/>
    </row>
    <row r="92" spans="1:15">
      <c r="A92" s="50" t="s">
        <v>27</v>
      </c>
      <c r="B92" s="69"/>
      <c r="C92" s="69"/>
      <c r="D92" s="69"/>
      <c r="E92" s="291">
        <f>B92+C92+D92</f>
        <v>0</v>
      </c>
      <c r="F92" s="298"/>
      <c r="G92" s="294"/>
      <c r="H92" s="295"/>
    </row>
    <row r="93" spans="1:15">
      <c r="A93" s="50" t="s">
        <v>263</v>
      </c>
      <c r="B93" s="48"/>
      <c r="C93" s="48">
        <v>1.246</v>
      </c>
      <c r="D93" s="48"/>
      <c r="E93" s="292">
        <f t="shared" ref="E93:E102" si="17">B93+C93+D93</f>
        <v>1.246</v>
      </c>
      <c r="F93" s="298"/>
      <c r="G93" s="294"/>
      <c r="H93" s="295"/>
    </row>
    <row r="94" spans="1:15">
      <c r="A94" s="50" t="s">
        <v>10</v>
      </c>
      <c r="B94" s="48"/>
      <c r="C94" s="48"/>
      <c r="D94" s="48"/>
      <c r="E94" s="292">
        <f t="shared" si="17"/>
        <v>0</v>
      </c>
      <c r="F94" s="298"/>
      <c r="G94" s="294"/>
      <c r="H94" s="295"/>
    </row>
    <row r="95" spans="1:15">
      <c r="A95" s="50" t="s">
        <v>154</v>
      </c>
      <c r="B95" s="48"/>
      <c r="C95" s="48"/>
      <c r="D95" s="48"/>
      <c r="E95" s="292">
        <f t="shared" si="17"/>
        <v>0</v>
      </c>
      <c r="F95" s="298"/>
      <c r="G95" s="294"/>
      <c r="H95" s="295"/>
    </row>
    <row r="96" spans="1:15">
      <c r="A96" s="50" t="s">
        <v>155</v>
      </c>
      <c r="B96" s="48"/>
      <c r="C96" s="48"/>
      <c r="D96" s="48"/>
      <c r="E96" s="292">
        <f t="shared" si="17"/>
        <v>0</v>
      </c>
      <c r="F96" s="298"/>
      <c r="G96" s="294"/>
      <c r="H96" s="295"/>
    </row>
    <row r="97" spans="1:8">
      <c r="A97" s="50" t="s">
        <v>194</v>
      </c>
      <c r="B97" s="48"/>
      <c r="C97" s="48"/>
      <c r="D97" s="48"/>
      <c r="E97" s="292">
        <f t="shared" si="17"/>
        <v>0</v>
      </c>
      <c r="F97" s="298"/>
      <c r="G97" s="294"/>
      <c r="H97" s="295"/>
    </row>
    <row r="98" spans="1:8">
      <c r="A98" s="50" t="s">
        <v>69</v>
      </c>
      <c r="B98" s="48"/>
      <c r="C98" s="48"/>
      <c r="D98" s="48"/>
      <c r="E98" s="292">
        <f t="shared" si="17"/>
        <v>0</v>
      </c>
      <c r="F98" s="298"/>
      <c r="G98" s="294"/>
      <c r="H98" s="295"/>
    </row>
    <row r="99" spans="1:8">
      <c r="A99" s="50" t="s">
        <v>30</v>
      </c>
      <c r="B99" s="48"/>
      <c r="C99" s="48"/>
      <c r="D99" s="48"/>
      <c r="E99" s="292">
        <f t="shared" si="17"/>
        <v>0</v>
      </c>
      <c r="F99" s="298"/>
      <c r="G99" s="294"/>
      <c r="H99" s="295"/>
    </row>
    <row r="100" spans="1:8">
      <c r="A100" s="50" t="s">
        <v>156</v>
      </c>
      <c r="B100" s="48"/>
      <c r="C100" s="48"/>
      <c r="D100" s="48"/>
      <c r="E100" s="292">
        <f t="shared" si="17"/>
        <v>0</v>
      </c>
      <c r="F100" s="298"/>
      <c r="G100" s="294"/>
      <c r="H100" s="295"/>
    </row>
    <row r="101" spans="1:8">
      <c r="A101" s="50" t="s">
        <v>157</v>
      </c>
      <c r="B101" s="48">
        <v>0.13200000000000001</v>
      </c>
      <c r="C101" s="48"/>
      <c r="D101" s="48"/>
      <c r="E101" s="292">
        <f t="shared" si="17"/>
        <v>0.13200000000000001</v>
      </c>
      <c r="F101" s="298"/>
      <c r="G101" s="294"/>
      <c r="H101" s="295"/>
    </row>
    <row r="102" spans="1:8">
      <c r="A102" s="50" t="s">
        <v>115</v>
      </c>
      <c r="B102" s="48"/>
      <c r="C102" s="48"/>
      <c r="D102" s="48"/>
      <c r="E102" s="292">
        <f t="shared" si="17"/>
        <v>0</v>
      </c>
      <c r="F102" s="298"/>
      <c r="G102" s="294"/>
      <c r="H102" s="295"/>
    </row>
    <row r="103" spans="1:8">
      <c r="A103" s="65" t="s">
        <v>158</v>
      </c>
      <c r="B103" s="48">
        <f>SUM(B92:B102)</f>
        <v>0.13200000000000001</v>
      </c>
      <c r="C103" s="48">
        <f>SUM(C92:C101)</f>
        <v>1.246</v>
      </c>
      <c r="D103" s="48">
        <f>SUM(D92:D101)</f>
        <v>0</v>
      </c>
      <c r="E103" s="352">
        <f>SUM(E92:E102)</f>
        <v>1.3780000000000001</v>
      </c>
      <c r="F103" s="298"/>
      <c r="G103" s="294"/>
      <c r="H103" s="295"/>
    </row>
  </sheetData>
  <mergeCells count="142">
    <mergeCell ref="A82:A84"/>
    <mergeCell ref="B82:B84"/>
    <mergeCell ref="D82:D84"/>
    <mergeCell ref="K80:K81"/>
    <mergeCell ref="M80:M81"/>
    <mergeCell ref="A80:A81"/>
    <mergeCell ref="H80:H81"/>
    <mergeCell ref="I80:I81"/>
    <mergeCell ref="J80:J81"/>
    <mergeCell ref="C80:C81"/>
    <mergeCell ref="B80:B81"/>
    <mergeCell ref="D80:E81"/>
    <mergeCell ref="F80:F81"/>
    <mergeCell ref="J82:J84"/>
    <mergeCell ref="K82:K84"/>
    <mergeCell ref="G80:G81"/>
    <mergeCell ref="J74:J76"/>
    <mergeCell ref="K74:K76"/>
    <mergeCell ref="D44:E44"/>
    <mergeCell ref="D63:E64"/>
    <mergeCell ref="K71:K73"/>
    <mergeCell ref="D48:E48"/>
    <mergeCell ref="D49:E49"/>
    <mergeCell ref="D45:E45"/>
    <mergeCell ref="E59:F59"/>
    <mergeCell ref="J65:J67"/>
    <mergeCell ref="G63:H63"/>
    <mergeCell ref="F63:F64"/>
    <mergeCell ref="G44:H44"/>
    <mergeCell ref="H59:I59"/>
    <mergeCell ref="G47:H48"/>
    <mergeCell ref="G45:H46"/>
    <mergeCell ref="G49:H50"/>
    <mergeCell ref="L74:L76"/>
    <mergeCell ref="L63:L64"/>
    <mergeCell ref="J63:J64"/>
    <mergeCell ref="K63:K64"/>
    <mergeCell ref="C45:C46"/>
    <mergeCell ref="D46:E46"/>
    <mergeCell ref="B45:B46"/>
    <mergeCell ref="A62:N62"/>
    <mergeCell ref="A52:M52"/>
    <mergeCell ref="M74:M76"/>
    <mergeCell ref="M65:M67"/>
    <mergeCell ref="M68:M70"/>
    <mergeCell ref="M71:M73"/>
    <mergeCell ref="M63:M64"/>
    <mergeCell ref="J71:J73"/>
    <mergeCell ref="A65:A70"/>
    <mergeCell ref="A63:A64"/>
    <mergeCell ref="N63:N64"/>
    <mergeCell ref="L65:L67"/>
    <mergeCell ref="L68:L70"/>
    <mergeCell ref="B63:B64"/>
    <mergeCell ref="D54:D57"/>
    <mergeCell ref="I63:I64"/>
    <mergeCell ref="L71:L73"/>
    <mergeCell ref="A2:J2"/>
    <mergeCell ref="A3:J3"/>
    <mergeCell ref="A6:A7"/>
    <mergeCell ref="B6:B7"/>
    <mergeCell ref="C34:C36"/>
    <mergeCell ref="H6:H7"/>
    <mergeCell ref="B22:B24"/>
    <mergeCell ref="C6:C7"/>
    <mergeCell ref="D6:F6"/>
    <mergeCell ref="D13:D14"/>
    <mergeCell ref="D9:D10"/>
    <mergeCell ref="B28:B30"/>
    <mergeCell ref="A5:L5"/>
    <mergeCell ref="D11:D12"/>
    <mergeCell ref="K6:L6"/>
    <mergeCell ref="D17:D18"/>
    <mergeCell ref="I6:I7"/>
    <mergeCell ref="B34:B36"/>
    <mergeCell ref="G13:G14"/>
    <mergeCell ref="G15:G16"/>
    <mergeCell ref="G17:G18"/>
    <mergeCell ref="C22:C24"/>
    <mergeCell ref="C25:C27"/>
    <mergeCell ref="C19:C21"/>
    <mergeCell ref="C71:C76"/>
    <mergeCell ref="D71:D73"/>
    <mergeCell ref="B25:B27"/>
    <mergeCell ref="C37:C39"/>
    <mergeCell ref="D74:D76"/>
    <mergeCell ref="A49:A50"/>
    <mergeCell ref="D68:D70"/>
    <mergeCell ref="C65:C70"/>
    <mergeCell ref="B65:B70"/>
    <mergeCell ref="A54:A57"/>
    <mergeCell ref="C63:C64"/>
    <mergeCell ref="D65:D67"/>
    <mergeCell ref="D50:E50"/>
    <mergeCell ref="E55:F55"/>
    <mergeCell ref="E56:F56"/>
    <mergeCell ref="C49:C50"/>
    <mergeCell ref="B37:B39"/>
    <mergeCell ref="B31:B33"/>
    <mergeCell ref="C31:C33"/>
    <mergeCell ref="J6:J7"/>
    <mergeCell ref="G6:G7"/>
    <mergeCell ref="A9:A10"/>
    <mergeCell ref="A11:A12"/>
    <mergeCell ref="A13:A14"/>
    <mergeCell ref="H53:I53"/>
    <mergeCell ref="E54:F54"/>
    <mergeCell ref="H54:I57"/>
    <mergeCell ref="A43:H43"/>
    <mergeCell ref="A15:A16"/>
    <mergeCell ref="A17:A18"/>
    <mergeCell ref="D15:D16"/>
    <mergeCell ref="C28:C30"/>
    <mergeCell ref="B19:B21"/>
    <mergeCell ref="A19:A40"/>
    <mergeCell ref="E53:F53"/>
    <mergeCell ref="A45:A46"/>
    <mergeCell ref="A47:A48"/>
    <mergeCell ref="B90:E90"/>
    <mergeCell ref="E58:F58"/>
    <mergeCell ref="B47:B48"/>
    <mergeCell ref="C47:C48"/>
    <mergeCell ref="D47:E47"/>
    <mergeCell ref="B49:B50"/>
    <mergeCell ref="E57:F57"/>
    <mergeCell ref="A79:M79"/>
    <mergeCell ref="L85:L87"/>
    <mergeCell ref="L80:L81"/>
    <mergeCell ref="L82:L84"/>
    <mergeCell ref="A85:A87"/>
    <mergeCell ref="B85:B87"/>
    <mergeCell ref="D85:D87"/>
    <mergeCell ref="I85:I87"/>
    <mergeCell ref="J85:J87"/>
    <mergeCell ref="K85:K87"/>
    <mergeCell ref="I82:I84"/>
    <mergeCell ref="J68:J70"/>
    <mergeCell ref="K65:K67"/>
    <mergeCell ref="K68:K70"/>
    <mergeCell ref="H58:I58"/>
    <mergeCell ref="A71:A76"/>
    <mergeCell ref="B71:B76"/>
  </mergeCells>
  <pageMargins left="0.70866141732283472" right="0.70866141732283472" top="0.74803149606299213" bottom="0.74803149606299213" header="0.31496062992125984" footer="0.31496062992125984"/>
  <pageSetup paperSize="119" orientation="landscape" r:id="rId1"/>
</worksheet>
</file>

<file path=xl/worksheets/sheet8.xml><?xml version="1.0" encoding="utf-8"?>
<worksheet xmlns="http://schemas.openxmlformats.org/spreadsheetml/2006/main" xmlns:r="http://schemas.openxmlformats.org/officeDocument/2006/relationships">
  <sheetPr>
    <tabColor rgb="FFFFC000"/>
  </sheetPr>
  <dimension ref="B4:G11"/>
  <sheetViews>
    <sheetView workbookViewId="0">
      <selection activeCell="F12" sqref="F12"/>
    </sheetView>
  </sheetViews>
  <sheetFormatPr baseColWidth="10" defaultRowHeight="15"/>
  <cols>
    <col min="2" max="2" width="23.85546875" customWidth="1"/>
    <col min="3" max="3" width="16.5703125" customWidth="1"/>
    <col min="4" max="4" width="22.7109375" customWidth="1"/>
    <col min="5" max="5" width="17.85546875" customWidth="1"/>
    <col min="6" max="6" width="26.28515625" customWidth="1"/>
    <col min="7" max="7" width="13.42578125" customWidth="1"/>
  </cols>
  <sheetData>
    <row r="4" spans="2:7">
      <c r="C4" s="1392" t="s">
        <v>399</v>
      </c>
      <c r="D4" s="1392"/>
      <c r="E4" s="1392"/>
      <c r="F4" s="1392"/>
      <c r="G4" s="1392"/>
    </row>
    <row r="5" spans="2:7" ht="16.5" customHeight="1">
      <c r="C5" s="752" t="s">
        <v>82</v>
      </c>
      <c r="D5" s="752" t="s">
        <v>389</v>
      </c>
      <c r="E5" s="752" t="s">
        <v>390</v>
      </c>
      <c r="F5" s="752" t="s">
        <v>391</v>
      </c>
      <c r="G5" s="752" t="s">
        <v>136</v>
      </c>
    </row>
    <row r="6" spans="2:7">
      <c r="B6" s="1279" t="s">
        <v>98</v>
      </c>
      <c r="C6" s="335" t="s">
        <v>147</v>
      </c>
      <c r="D6" s="335" t="s">
        <v>397</v>
      </c>
      <c r="E6" s="733">
        <v>35</v>
      </c>
      <c r="F6" s="733">
        <v>0</v>
      </c>
      <c r="G6" s="733">
        <f>E6-F6</f>
        <v>35</v>
      </c>
    </row>
    <row r="7" spans="2:7">
      <c r="B7" s="1279"/>
      <c r="C7" s="335" t="s">
        <v>392</v>
      </c>
      <c r="D7" s="335" t="s">
        <v>398</v>
      </c>
      <c r="E7" s="733">
        <v>25</v>
      </c>
      <c r="F7" s="733">
        <v>12.353999999999999</v>
      </c>
      <c r="G7" s="733">
        <f t="shared" ref="G7:G11" si="0">E7-F7</f>
        <v>12.646000000000001</v>
      </c>
    </row>
    <row r="8" spans="2:7">
      <c r="B8" s="1279" t="s">
        <v>100</v>
      </c>
      <c r="C8" s="335" t="s">
        <v>393</v>
      </c>
      <c r="D8" s="335" t="s">
        <v>397</v>
      </c>
      <c r="E8" s="733">
        <v>15</v>
      </c>
      <c r="F8" s="733">
        <v>0</v>
      </c>
      <c r="G8" s="733">
        <f t="shared" si="0"/>
        <v>15</v>
      </c>
    </row>
    <row r="9" spans="2:7">
      <c r="B9" s="1279"/>
      <c r="C9" s="335" t="s">
        <v>392</v>
      </c>
      <c r="D9" s="335" t="s">
        <v>400</v>
      </c>
      <c r="E9" s="733">
        <v>50</v>
      </c>
      <c r="F9" s="733">
        <v>28.245000000000001</v>
      </c>
      <c r="G9" s="733">
        <f t="shared" si="0"/>
        <v>21.754999999999999</v>
      </c>
    </row>
    <row r="10" spans="2:7">
      <c r="B10" s="733" t="s">
        <v>394</v>
      </c>
      <c r="C10" s="335" t="s">
        <v>395</v>
      </c>
      <c r="D10" s="335" t="s">
        <v>401</v>
      </c>
      <c r="E10" s="733">
        <v>15</v>
      </c>
      <c r="F10" s="733">
        <v>1.494</v>
      </c>
      <c r="G10" s="733">
        <f t="shared" si="0"/>
        <v>13.506</v>
      </c>
    </row>
    <row r="11" spans="2:7">
      <c r="B11" s="733" t="s">
        <v>396</v>
      </c>
      <c r="C11" s="335" t="s">
        <v>167</v>
      </c>
      <c r="D11" s="335" t="s">
        <v>397</v>
      </c>
      <c r="E11" s="733">
        <v>25</v>
      </c>
      <c r="F11" s="733">
        <v>10.141999999999999</v>
      </c>
      <c r="G11" s="733">
        <f t="shared" si="0"/>
        <v>14.858000000000001</v>
      </c>
    </row>
  </sheetData>
  <mergeCells count="3">
    <mergeCell ref="C4:G4"/>
    <mergeCell ref="B8:B9"/>
    <mergeCell ref="B6:B7"/>
  </mergeCells>
  <pageMargins left="0.7" right="0.7" top="0.75" bottom="0.75" header="0.3" footer="0.3"/>
  <pageSetup paperSize="119" orientation="portrait" r:id="rId1"/>
</worksheet>
</file>

<file path=xl/worksheets/sheet9.xml><?xml version="1.0" encoding="utf-8"?>
<worksheet xmlns="http://schemas.openxmlformats.org/spreadsheetml/2006/main" xmlns:r="http://schemas.openxmlformats.org/officeDocument/2006/relationships">
  <dimension ref="B2:D3"/>
  <sheetViews>
    <sheetView workbookViewId="0">
      <selection activeCell="F7" sqref="F7"/>
    </sheetView>
  </sheetViews>
  <sheetFormatPr baseColWidth="10" defaultRowHeight="15"/>
  <sheetData>
    <row r="2" spans="2:4">
      <c r="B2" s="419"/>
      <c r="C2" s="827"/>
      <c r="D2">
        <f>+C2*B2</f>
        <v>0</v>
      </c>
    </row>
    <row r="3" spans="2:4">
      <c r="B3" s="425"/>
      <c r="C3" s="827"/>
      <c r="D3" s="682">
        <f>+C3*B3</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Resumen LTP</vt:lpstr>
      <vt:lpstr>Pelagicos LTP </vt:lpstr>
      <vt:lpstr>Demersales LTP </vt:lpstr>
      <vt:lpstr>Crustaceos  LTP</vt:lpstr>
      <vt:lpstr>Cuotas Regionales Crustaceos</vt:lpstr>
      <vt:lpstr>Cuotas Licitadas </vt:lpstr>
      <vt:lpstr>Cuotas Globales </vt:lpstr>
      <vt:lpstr>PI</vt:lpstr>
      <vt:lpstr>Hoja1</vt:lpstr>
    </vt:vector>
  </TitlesOfParts>
  <Company>sernapesca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dcatalan</dc:creator>
  <cp:lastModifiedBy>Kamila Molina</cp:lastModifiedBy>
  <cp:lastPrinted>2015-02-02T13:43:30Z</cp:lastPrinted>
  <dcterms:created xsi:type="dcterms:W3CDTF">2013-07-18T15:01:42Z</dcterms:created>
  <dcterms:modified xsi:type="dcterms:W3CDTF">2018-07-30T17:34:30Z</dcterms:modified>
</cp:coreProperties>
</file>