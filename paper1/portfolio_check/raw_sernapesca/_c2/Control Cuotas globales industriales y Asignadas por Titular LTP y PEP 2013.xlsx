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vmlDrawing4.vml" ContentType="application/vnd.openxmlformats-officedocument.vmlDrawing"/>
  <Override PartName="/xl/drawings/drawing3.xml" ContentType="application/vnd.openxmlformats-officedocument.drawing+xml"/>
  <Override PartName="/xl/drawings/vmlDrawing2.vml" ContentType="application/vnd.openxmlformats-officedocument.vmlDrawing"/>
  <Override PartName="/xl/drawings/drawing4.xml" ContentType="application/vnd.openxmlformats-officedocument.drawing+xml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xl/comments2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 LTP" sheetId="1" state="visible" r:id="rId3"/>
    <sheet name="Pelagicos LMC y LTP " sheetId="2" state="visible" r:id="rId4"/>
    <sheet name="Crustaceos  LMC y LTP" sheetId="3" state="visible" r:id="rId5"/>
    <sheet name="Demersales LMC y LTP " sheetId="4" state="visible" r:id="rId6"/>
    <sheet name="Pescas de Investigación" sheetId="5" state="visible" r:id="rId7"/>
    <sheet name="REsumen consumo cuotas" sheetId="6" state="visible" r:id="rId8"/>
    <sheet name="Hoja1" sheetId="7" state="visible" r:id="rId9"/>
  </sheets>
  <definedNames>
    <definedName function="false" hidden="false" localSheetId="1" name="Excel_BuiltIn__FilterDatabase" vbProcedure="false">'Pelagicos LMC y LTP '!$C$5:$M$5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I6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Cede -4.259 ton a través de Res Nº 2908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86</xdr:colOff>
                <xdr:row>4</xdr:row>
                <xdr:rowOff>54</xdr:rowOff>
              </xdr:from>
              <xdr:to>
                <xdr:col>13</xdr:col>
                <xdr:colOff>37</xdr:colOff>
                <xdr:row>7</xdr:row>
                <xdr:rowOff>1</xdr:rowOff>
              </xdr:to>
            </anchor>
          </commentPr>
        </mc:Choice>
        <mc:Fallback/>
      </mc:AlternateContent>
    </comment>
    <comment ref="I8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Cede -20000 ton a través de la Res Nº2793. Cede -10000 ton a traves de Res Nº3352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86</xdr:colOff>
                <xdr:row>4</xdr:row>
                <xdr:rowOff>69</xdr:rowOff>
              </xdr:from>
              <xdr:to>
                <xdr:col>14</xdr:col>
                <xdr:colOff>71</xdr:colOff>
                <xdr:row>10</xdr:row>
                <xdr:rowOff>7</xdr:rowOff>
              </xdr:to>
            </anchor>
          </commentPr>
        </mc:Choice>
        <mc:Fallback/>
      </mc:AlternateContent>
    </comment>
    <comment ref="I21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29.698 ton a traves del certificado Nº64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95</xdr:colOff>
                <xdr:row>15</xdr:row>
                <xdr:rowOff>2</xdr:rowOff>
              </xdr:from>
              <xdr:to>
                <xdr:col>10</xdr:col>
                <xdr:colOff>13</xdr:colOff>
                <xdr:row>18</xdr:row>
                <xdr:rowOff>10</xdr:rowOff>
              </xdr:to>
            </anchor>
          </commentPr>
        </mc:Choice>
        <mc:Fallback/>
      </mc:AlternateContent>
    </comment>
    <comment ref="I25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(C ) Incremento de 97.375 ton a traves de certificado nº 50 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91</xdr:colOff>
                <xdr:row>20</xdr:row>
                <xdr:rowOff>5</xdr:rowOff>
              </xdr:from>
              <xdr:to>
                <xdr:col>14</xdr:col>
                <xdr:colOff>48</xdr:colOff>
                <xdr:row>23</xdr:row>
                <xdr:rowOff>13</xdr:rowOff>
              </xdr:to>
            </anchor>
          </commentPr>
        </mc:Choice>
        <mc:Fallback/>
      </mc:AlternateContent>
    </comment>
    <comment ref="I28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-7.955 ton a traves de certificado nº 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91</xdr:colOff>
                <xdr:row>22</xdr:row>
                <xdr:rowOff>21</xdr:rowOff>
              </xdr:from>
              <xdr:to>
                <xdr:col>15</xdr:col>
                <xdr:colOff>67</xdr:colOff>
                <xdr:row>24</xdr:row>
                <xdr:rowOff>15</xdr:rowOff>
              </xdr:to>
            </anchor>
          </commentPr>
        </mc:Choice>
        <mc:Fallback/>
      </mc:AlternateContent>
    </comment>
    <comment ref="I31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Incremento de 290 ton a traves de Res Nº 3453.
Incremento de 1101,389 ton a traves de Res Nº 3454.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86</xdr:colOff>
                <xdr:row>24</xdr:row>
                <xdr:rowOff>19</xdr:rowOff>
              </xdr:from>
              <xdr:to>
                <xdr:col>15</xdr:col>
                <xdr:colOff>16</xdr:colOff>
                <xdr:row>28</xdr:row>
                <xdr:rowOff>5</xdr:rowOff>
              </xdr:to>
            </anchor>
          </commentPr>
        </mc:Choice>
        <mc:Fallback/>
      </mc:AlternateContent>
    </comment>
    <comment ref="I32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Incremento de 200 ton a traves de Res Nº 3481.
Incremento de 170 ton a traves de Res Nº 3482.
(A) incremento de 7.955 ton a traves de certificado nº 25.
(A) incremento de 29.698 ton a traves de certificado nº 64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86</xdr:colOff>
                <xdr:row>24</xdr:row>
                <xdr:rowOff>8</xdr:rowOff>
              </xdr:from>
              <xdr:to>
                <xdr:col>16</xdr:col>
                <xdr:colOff>59</xdr:colOff>
                <xdr:row>27</xdr:row>
                <xdr:rowOff>16</xdr:rowOff>
              </xdr:to>
            </anchor>
          </commentPr>
        </mc:Choice>
        <mc:Fallback/>
      </mc:AlternateContent>
    </comment>
    <comment ref="I35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(C )cede 97.375 ton a traves de certificado nº50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91</xdr:colOff>
                <xdr:row>29</xdr:row>
                <xdr:rowOff>7</xdr:rowOff>
              </xdr:from>
              <xdr:to>
                <xdr:col>14</xdr:col>
                <xdr:colOff>48</xdr:colOff>
                <xdr:row>32</xdr:row>
                <xdr:rowOff>15</xdr:rowOff>
              </xdr:to>
            </anchor>
          </commentPr>
        </mc:Choice>
        <mc:Fallback/>
      </mc:AlternateContent>
    </comment>
    <comment ref="I39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(C )Cede 1525 ton a traves de certificado nº86.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53</xdr:colOff>
                <xdr:row>32</xdr:row>
                <xdr:rowOff>21</xdr:rowOff>
              </xdr:from>
              <xdr:to>
                <xdr:col>9</xdr:col>
                <xdr:colOff>65</xdr:colOff>
                <xdr:row>36</xdr:row>
                <xdr:rowOff>6</xdr:rowOff>
              </xdr:to>
            </anchor>
          </commentPr>
        </mc:Choice>
        <mc:Fallback/>
      </mc:AlternateContent>
    </comment>
    <comment ref="I40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© Cede -2000 ton a traves de certificado nº 73.
(C ) Cede -3000 ton a traves de certificado nº 117.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13</xdr:col>
                <xdr:colOff>23</xdr:colOff>
                <xdr:row>34</xdr:row>
                <xdr:rowOff>8</xdr:rowOff>
              </xdr:from>
              <xdr:to>
                <xdr:col>16</xdr:col>
                <xdr:colOff>18</xdr:colOff>
                <xdr:row>37</xdr:row>
                <xdr:rowOff>17</xdr:rowOff>
              </xdr:to>
            </anchor>
          </commentPr>
        </mc:Choice>
        <mc:Fallback/>
      </mc:AlternateContent>
    </comment>
    <comment ref="I47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(C ) cede -4.684 ton a traves de certificado nº 99.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53</xdr:colOff>
                <xdr:row>40</xdr:row>
                <xdr:rowOff>20</xdr:rowOff>
              </xdr:from>
              <xdr:to>
                <xdr:col>9</xdr:col>
                <xdr:colOff>65</xdr:colOff>
                <xdr:row>45</xdr:row>
                <xdr:rowOff>11</xdr:rowOff>
              </xdr:to>
            </anchor>
          </commentPr>
        </mc:Choice>
        <mc:Fallback/>
      </mc:AlternateContent>
    </comment>
    <comment ref="I50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(T) Cede -38.188 ton a traves de certificado nº 119.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53</xdr:colOff>
                <xdr:row>44</xdr:row>
                <xdr:rowOff>17</xdr:rowOff>
              </xdr:from>
              <xdr:to>
                <xdr:col>9</xdr:col>
                <xdr:colOff>65</xdr:colOff>
                <xdr:row>48</xdr:row>
                <xdr:rowOff>9</xdr:rowOff>
              </xdr:to>
            </anchor>
          </commentPr>
        </mc:Choice>
        <mc:Fallback/>
      </mc:AlternateContent>
    </comment>
    <comment ref="I52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2.563 ton a traves de certificado nº 95.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53</xdr:colOff>
                <xdr:row>46</xdr:row>
                <xdr:rowOff>17</xdr:rowOff>
              </xdr:from>
              <xdr:to>
                <xdr:col>10</xdr:col>
                <xdr:colOff>60</xdr:colOff>
                <xdr:row>49</xdr:row>
                <xdr:rowOff>2</xdr:rowOff>
              </xdr:to>
            </anchor>
          </commentPr>
        </mc:Choice>
        <mc:Fallback/>
      </mc:AlternateContent>
    </comment>
    <comment ref="I53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-2.563 ton a traves de certificado nº95.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53</xdr:colOff>
                <xdr:row>47</xdr:row>
                <xdr:rowOff>16</xdr:rowOff>
              </xdr:from>
              <xdr:to>
                <xdr:col>9</xdr:col>
                <xdr:colOff>65</xdr:colOff>
                <xdr:row>51</xdr:row>
                <xdr:rowOff>6</xdr:rowOff>
              </xdr:to>
            </anchor>
          </commentPr>
        </mc:Choice>
        <mc:Fallback/>
      </mc:AlternateContent>
    </comment>
    <comment ref="I55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(C ) Incrwemento de 4.684 ton a traves de certificado nº 99.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53</xdr:colOff>
                <xdr:row>49</xdr:row>
                <xdr:rowOff>14</xdr:rowOff>
              </xdr:from>
              <xdr:to>
                <xdr:col>9</xdr:col>
                <xdr:colOff>65</xdr:colOff>
                <xdr:row>53</xdr:row>
                <xdr:rowOff>4</xdr:rowOff>
              </xdr:to>
            </anchor>
          </commentPr>
        </mc:Choice>
        <mc:Fallback/>
      </mc:AlternateContent>
    </comment>
    <comment ref="I57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289.336 ton a traves de certificado nº 89.
(A) Incremento de 61.886 ton a traves de certificado nº 90
(A) Incremento de 171.041 ton a traves de certificado nº 91.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53</xdr:colOff>
                <xdr:row>51</xdr:row>
                <xdr:rowOff>2</xdr:rowOff>
              </xdr:from>
              <xdr:to>
                <xdr:col>11</xdr:col>
                <xdr:colOff>57</xdr:colOff>
                <xdr:row>53</xdr:row>
                <xdr:rowOff>20</xdr:rowOff>
              </xdr:to>
            </anchor>
          </commentPr>
        </mc:Choice>
        <mc:Fallback/>
      </mc:AlternateContent>
    </comment>
    <comment ref="I58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-42 ton a traves de certificado nº 62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53</xdr:colOff>
                <xdr:row>52</xdr:row>
                <xdr:rowOff>1</xdr:rowOff>
              </xdr:from>
              <xdr:to>
                <xdr:col>9</xdr:col>
                <xdr:colOff>65</xdr:colOff>
                <xdr:row>56</xdr:row>
                <xdr:rowOff>11</xdr:rowOff>
              </xdr:to>
            </anchor>
          </commentPr>
        </mc:Choice>
        <mc:Fallback/>
      </mc:AlternateContent>
    </comment>
    <comment ref="I60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incremento de 240 ton a traves de certificado nº 13.
(C ) Incremento de 1525 ton a traves de certificado nº 86.
(A) Incremento de 5.231 ton a traves de certificado nº 97.
(A) Incremento de 8.603 ton a traves de certificado nº 98.
(T) Incremento de 54.632 ton a traves de certificado nº 100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86</xdr:colOff>
                <xdr:row>53</xdr:row>
                <xdr:rowOff>2</xdr:rowOff>
              </xdr:from>
              <xdr:to>
                <xdr:col>15</xdr:col>
                <xdr:colOff>50</xdr:colOff>
                <xdr:row>58</xdr:row>
                <xdr:rowOff>15</xdr:rowOff>
              </xdr:to>
            </anchor>
          </commentPr>
        </mc:Choice>
        <mc:Fallback/>
      </mc:AlternateContent>
    </comment>
    <comment ref="I61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-8.603 ton a traves de certificado nº 98.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53</xdr:colOff>
                <xdr:row>56</xdr:row>
                <xdr:rowOff>7</xdr:rowOff>
              </xdr:from>
              <xdr:to>
                <xdr:col>9</xdr:col>
                <xdr:colOff>65</xdr:colOff>
                <xdr:row>59</xdr:row>
                <xdr:rowOff>20</xdr:rowOff>
              </xdr:to>
            </anchor>
          </commentPr>
        </mc:Choice>
        <mc:Fallback/>
      </mc:AlternateContent>
    </comment>
    <comment ref="I62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(T) Incremento de 476.076 ton a traves de certificado nº 120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53</xdr:colOff>
                <xdr:row>57</xdr:row>
                <xdr:rowOff>7</xdr:rowOff>
              </xdr:from>
              <xdr:to>
                <xdr:col>9</xdr:col>
                <xdr:colOff>65</xdr:colOff>
                <xdr:row>60</xdr:row>
                <xdr:rowOff>19</xdr:rowOff>
              </xdr:to>
            </anchor>
          </commentPr>
        </mc:Choice>
        <mc:Fallback/>
      </mc:AlternateContent>
    </comment>
    <comment ref="I66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Incremento de 200 ton a traves de Res Nº3483 mod por Res Nº 3646.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86</xdr:colOff>
                <xdr:row>59</xdr:row>
                <xdr:rowOff>18</xdr:rowOff>
              </xdr:from>
              <xdr:to>
                <xdr:col>15</xdr:col>
                <xdr:colOff>1</xdr:colOff>
                <xdr:row>63</xdr:row>
                <xdr:rowOff>9</xdr:rowOff>
              </xdr:to>
            </anchor>
          </commentPr>
        </mc:Choice>
        <mc:Fallback/>
      </mc:AlternateContent>
    </comment>
    <comment ref="I68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-4.891 ton a traves de certificado nº22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12</xdr:colOff>
                <xdr:row>62</xdr:row>
                <xdr:rowOff>13</xdr:rowOff>
              </xdr:from>
              <xdr:to>
                <xdr:col>13</xdr:col>
                <xdr:colOff>52</xdr:colOff>
                <xdr:row>65</xdr:row>
                <xdr:rowOff>20</xdr:rowOff>
              </xdr:to>
            </anchor>
          </commentPr>
        </mc:Choice>
        <mc:Fallback/>
      </mc:AlternateContent>
    </comment>
    <comment ref="I69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(Co) Incremento de 32.199 ton a traves de certificado nº 106.
(Co) Incremento de 89.707 ton a traves de certificado nº 107.
(T) Incremento de 133.851 ton a traves de certificado nº 118.
(T) Incremento de 38.188 ton a traves de certificado nº 119.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53</xdr:colOff>
                <xdr:row>63</xdr:row>
                <xdr:rowOff>23</xdr:rowOff>
              </xdr:from>
              <xdr:to>
                <xdr:col>11</xdr:col>
                <xdr:colOff>63</xdr:colOff>
                <xdr:row>67</xdr:row>
                <xdr:rowOff>9</xdr:rowOff>
              </xdr:to>
            </anchor>
          </commentPr>
        </mc:Choice>
        <mc:Fallback/>
      </mc:AlternateContent>
    </comment>
    <comment ref="I70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171.041 ton a traves de certificado nº 91.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53</xdr:colOff>
                <xdr:row>64</xdr:row>
                <xdr:rowOff>8</xdr:rowOff>
              </xdr:from>
              <xdr:to>
                <xdr:col>10</xdr:col>
                <xdr:colOff>112</xdr:colOff>
                <xdr:row>66</xdr:row>
                <xdr:rowOff>10</xdr:rowOff>
              </xdr:to>
            </anchor>
          </commentPr>
        </mc:Choice>
        <mc:Fallback/>
      </mc:AlternateContent>
    </comment>
    <comment ref="I71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Incremento de 228.7 ton a través de Res Nº 2988.
(S) incremento de 4.981 ton a traves de certificado nº 93.
(A) Incremento de 395.382 ton a traves de certificado nº 96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86</xdr:colOff>
                <xdr:row>64</xdr:row>
                <xdr:rowOff>10</xdr:rowOff>
              </xdr:from>
              <xdr:to>
                <xdr:col>15</xdr:col>
                <xdr:colOff>62</xdr:colOff>
                <xdr:row>67</xdr:row>
                <xdr:rowOff>21</xdr:rowOff>
              </xdr:to>
            </anchor>
          </commentPr>
        </mc:Choice>
        <mc:Fallback/>
      </mc:AlternateContent>
    </comment>
    <comment ref="I72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4.891 ton a traves de certificado nº22.
(A) Incremento de 42 ton a traves de certificado nº 62
(S) Cede -4.981 ton a traves de certificado nº 93
(A) Cede -395.382 ton a traves de certificado nº 96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12</xdr:colOff>
                <xdr:row>66</xdr:row>
                <xdr:rowOff>5</xdr:rowOff>
              </xdr:from>
              <xdr:to>
                <xdr:col>15</xdr:col>
                <xdr:colOff>69</xdr:colOff>
                <xdr:row>69</xdr:row>
                <xdr:rowOff>16</xdr:rowOff>
              </xdr:to>
            </anchor>
          </commentPr>
        </mc:Choice>
        <mc:Fallback/>
      </mc:AlternateContent>
    </comment>
    <comment ref="I73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289.336 ton a traves de certificado nº 89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53</xdr:colOff>
                <xdr:row>67</xdr:row>
                <xdr:rowOff>5</xdr:rowOff>
              </xdr:from>
              <xdr:to>
                <xdr:col>9</xdr:col>
                <xdr:colOff>65</xdr:colOff>
                <xdr:row>70</xdr:row>
                <xdr:rowOff>16</xdr:rowOff>
              </xdr:to>
            </anchor>
          </commentPr>
        </mc:Choice>
        <mc:Fallback/>
      </mc:AlternateContent>
    </comment>
    <comment ref="I75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© Incremento de 2000 ton a traves de certificado nº 73.
(C ) Incremento de 3000 ton a traves de certificado nº 117.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12</xdr:colOff>
                <xdr:row>69</xdr:row>
                <xdr:rowOff>2</xdr:rowOff>
              </xdr:from>
              <xdr:to>
                <xdr:col>15</xdr:col>
                <xdr:colOff>55</xdr:colOff>
                <xdr:row>72</xdr:row>
                <xdr:rowOff>13</xdr:rowOff>
              </xdr:to>
            </anchor>
          </commentPr>
        </mc:Choice>
        <mc:Fallback/>
      </mc:AlternateContent>
    </comment>
    <comment ref="I76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(Co) Cede -32.199 ton a traves de certificado nº 106.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53</xdr:colOff>
                <xdr:row>70</xdr:row>
                <xdr:rowOff>12</xdr:rowOff>
              </xdr:from>
              <xdr:to>
                <xdr:col>9</xdr:col>
                <xdr:colOff>65</xdr:colOff>
                <xdr:row>74</xdr:row>
                <xdr:rowOff>2</xdr:rowOff>
              </xdr:to>
            </anchor>
          </commentPr>
        </mc:Choice>
        <mc:Fallback/>
      </mc:AlternateContent>
    </comment>
    <comment ref="I77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61.886 ton a traves de certificado nº 90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53</xdr:colOff>
                <xdr:row>71</xdr:row>
                <xdr:rowOff>1</xdr:rowOff>
              </xdr:from>
              <xdr:to>
                <xdr:col>9</xdr:col>
                <xdr:colOff>65</xdr:colOff>
                <xdr:row>74</xdr:row>
                <xdr:rowOff>12</xdr:rowOff>
              </xdr:to>
            </anchor>
          </commentPr>
        </mc:Choice>
        <mc:Fallback/>
      </mc:AlternateContent>
    </comment>
    <comment ref="I82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0.792 ton a traves de certificado nº 63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53</xdr:colOff>
                <xdr:row>75</xdr:row>
                <xdr:rowOff>17</xdr:rowOff>
              </xdr:from>
              <xdr:to>
                <xdr:col>9</xdr:col>
                <xdr:colOff>65</xdr:colOff>
                <xdr:row>80</xdr:row>
                <xdr:rowOff>7</xdr:rowOff>
              </xdr:to>
            </anchor>
          </commentPr>
        </mc:Choice>
        <mc:Fallback/>
      </mc:AlternateContent>
    </comment>
    <comment ref="I85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(T)cede 240 a traves de certificado nº 13.
(T) Cede -54.632 ton a traves de certificado nº 100.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86</xdr:colOff>
                <xdr:row>77</xdr:row>
                <xdr:rowOff>17</xdr:rowOff>
              </xdr:from>
              <xdr:to>
                <xdr:col>13</xdr:col>
                <xdr:colOff>74</xdr:colOff>
                <xdr:row>83</xdr:row>
                <xdr:rowOff>10</xdr:rowOff>
              </xdr:to>
            </anchor>
          </commentPr>
        </mc:Choice>
        <mc:Fallback/>
      </mc:AlternateContent>
    </comment>
    <comment ref="I86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-5.231 ton a traves de certificado nº 97.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53</xdr:colOff>
                <xdr:row>81</xdr:row>
                <xdr:rowOff>3</xdr:rowOff>
              </xdr:from>
              <xdr:to>
                <xdr:col>9</xdr:col>
                <xdr:colOff>65</xdr:colOff>
                <xdr:row>84</xdr:row>
                <xdr:rowOff>15</xdr:rowOff>
              </xdr:to>
            </anchor>
          </commentPr>
        </mc:Choice>
        <mc:Fallback/>
      </mc:AlternateContent>
    </comment>
    <comment ref="I87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(T) Cede -476.076 ton a traves de certificado nº 120.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53</xdr:colOff>
                <xdr:row>82</xdr:row>
                <xdr:rowOff>3</xdr:rowOff>
              </xdr:from>
              <xdr:to>
                <xdr:col>9</xdr:col>
                <xdr:colOff>65</xdr:colOff>
                <xdr:row>85</xdr:row>
                <xdr:rowOff>14</xdr:rowOff>
              </xdr:to>
            </anchor>
          </commentPr>
        </mc:Choice>
        <mc:Fallback/>
      </mc:AlternateContent>
    </comment>
    <comment ref="I93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-0.258 ton a traves de certificado nº23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12</xdr:colOff>
                <xdr:row>87</xdr:row>
                <xdr:rowOff>8</xdr:rowOff>
              </xdr:from>
              <xdr:to>
                <xdr:col>14</xdr:col>
                <xdr:colOff>31</xdr:colOff>
                <xdr:row>90</xdr:row>
                <xdr:rowOff>15</xdr:rowOff>
              </xdr:to>
            </anchor>
          </commentPr>
        </mc:Choice>
        <mc:Fallback/>
      </mc:AlternateContent>
    </comment>
    <comment ref="I94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(T) Cede -133.851 ton a traves de certificado nº 118.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53</xdr:colOff>
                <xdr:row>88</xdr:row>
                <xdr:rowOff>18</xdr:rowOff>
              </xdr:from>
              <xdr:to>
                <xdr:col>9</xdr:col>
                <xdr:colOff>65</xdr:colOff>
                <xdr:row>92</xdr:row>
                <xdr:rowOff>4</xdr:rowOff>
              </xdr:to>
            </anchor>
          </commentPr>
        </mc:Choice>
        <mc:Fallback/>
      </mc:AlternateContent>
    </comment>
    <comment ref="I95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(S) Incremento de 0.258 ton a traves de certificado nº 92.
(A) Incremento de 39.827 ton a traves de certificado nº 94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58</xdr:colOff>
                <xdr:row>89</xdr:row>
                <xdr:rowOff>14</xdr:rowOff>
              </xdr:from>
              <xdr:to>
                <xdr:col>10</xdr:col>
                <xdr:colOff>41</xdr:colOff>
                <xdr:row>93</xdr:row>
                <xdr:rowOff>4</xdr:rowOff>
              </xdr:to>
            </anchor>
          </commentPr>
        </mc:Choice>
        <mc:Fallback/>
      </mc:AlternateContent>
    </comment>
    <comment ref="I96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0.258 ton a traves de certificado nº23.
(A) Incremento de 0.792 ton a traves de certificado nº 63.
(S) Cede -0.258 ton a traves de certificado nº 92.
(A) Cede -39.827 ton a traves de certificado nº 94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12</xdr:colOff>
                <xdr:row>90</xdr:row>
                <xdr:rowOff>1</xdr:rowOff>
              </xdr:from>
              <xdr:to>
                <xdr:col>15</xdr:col>
                <xdr:colOff>60</xdr:colOff>
                <xdr:row>93</xdr:row>
                <xdr:rowOff>12</xdr:rowOff>
              </xdr:to>
            </anchor>
          </commentPr>
        </mc:Choice>
        <mc:Fallback/>
      </mc:AlternateContent>
    </comment>
    <comment ref="I99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(C ) Cede 89.707 ton a traves de certificado nº 107.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53</xdr:colOff>
                <xdr:row>93</xdr:row>
                <xdr:rowOff>9</xdr:rowOff>
              </xdr:from>
              <xdr:to>
                <xdr:col>9</xdr:col>
                <xdr:colOff>65</xdr:colOff>
                <xdr:row>96</xdr:row>
                <xdr:rowOff>20</xdr:rowOff>
              </xdr:to>
            </anchor>
          </commentPr>
        </mc:Choice>
        <mc:Fallback/>
      </mc:AlternateContent>
    </comment>
    <comment ref="I104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-923.329 ton a traves de certificado nº 65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53</xdr:colOff>
                <xdr:row>97</xdr:row>
                <xdr:rowOff>15</xdr:rowOff>
              </xdr:from>
              <xdr:to>
                <xdr:col>9</xdr:col>
                <xdr:colOff>65</xdr:colOff>
                <xdr:row>101</xdr:row>
                <xdr:rowOff>4</xdr:rowOff>
              </xdr:to>
            </anchor>
          </commentPr>
        </mc:Choice>
        <mc:Fallback/>
      </mc:AlternateContent>
    </comment>
    <comment ref="I108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(c ) Incremento de 710.65 ton a traves de certificado Nº 51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46</xdr:colOff>
                <xdr:row>101</xdr:row>
                <xdr:rowOff>10</xdr:rowOff>
              </xdr:from>
              <xdr:to>
                <xdr:col>9</xdr:col>
                <xdr:colOff>58</xdr:colOff>
                <xdr:row>105</xdr:row>
                <xdr:rowOff>3</xdr:rowOff>
              </xdr:to>
            </anchor>
          </commentPr>
        </mc:Choice>
        <mc:Fallback/>
      </mc:AlternateContent>
    </comment>
    <comment ref="I111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96.096 ton a traves de certificado nº24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12</xdr:colOff>
                <xdr:row>104</xdr:row>
                <xdr:rowOff>8</xdr:rowOff>
              </xdr:from>
              <xdr:to>
                <xdr:col>13</xdr:col>
                <xdr:colOff>52</xdr:colOff>
                <xdr:row>108</xdr:row>
                <xdr:rowOff>2</xdr:rowOff>
              </xdr:to>
            </anchor>
          </commentPr>
        </mc:Choice>
        <mc:Fallback/>
      </mc:AlternateContent>
    </comment>
    <comment ref="I114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Incremento de 2470 ton a traves de Res Nº 3453.
Incremento de 9070,702 ton a traves de Res Nº 3454.
Incremento de 300 ton a traves de Res Nº 3765.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86</xdr:colOff>
                <xdr:row>106</xdr:row>
                <xdr:rowOff>11</xdr:rowOff>
              </xdr:from>
              <xdr:to>
                <xdr:col>15</xdr:col>
                <xdr:colOff>21</xdr:colOff>
                <xdr:row>110</xdr:row>
                <xdr:rowOff>5</xdr:rowOff>
              </xdr:to>
            </anchor>
          </commentPr>
        </mc:Choice>
        <mc:Fallback/>
      </mc:AlternateContent>
    </comment>
    <comment ref="I115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Incremento de 2600 ton a traves de Res Nº 3481. 
Incremento de 1360 ton a través de Res Nº 3482.
(A) Incremento de 96.096 ton a traves de certificado nº24.
(A) Incremento de 923.329 ton a traves de certificado nº 65.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86</xdr:colOff>
                <xdr:row>107</xdr:row>
                <xdr:rowOff>11</xdr:rowOff>
              </xdr:from>
              <xdr:to>
                <xdr:col>15</xdr:col>
                <xdr:colOff>75</xdr:colOff>
                <xdr:row>111</xdr:row>
                <xdr:rowOff>5</xdr:rowOff>
              </xdr:to>
            </anchor>
          </commentPr>
        </mc:Choice>
        <mc:Fallback/>
      </mc:AlternateContent>
    </comment>
    <comment ref="I118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(C ) cede -710.650 ton a traves de certificado nº 51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46</xdr:colOff>
                <xdr:row>111</xdr:row>
                <xdr:rowOff>9</xdr:rowOff>
              </xdr:from>
              <xdr:to>
                <xdr:col>9</xdr:col>
                <xdr:colOff>58</xdr:colOff>
                <xdr:row>114</xdr:row>
                <xdr:rowOff>5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6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Traspaso cuota a Rubio y Mahuad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225</xdr:colOff>
                <xdr:row>4</xdr:row>
                <xdr:rowOff>49</xdr:rowOff>
              </xdr:from>
              <xdr:to>
                <xdr:col>6</xdr:col>
                <xdr:colOff>116</xdr:colOff>
                <xdr:row>6</xdr:row>
                <xdr:rowOff>20</xdr:rowOff>
              </xdr:to>
            </anchor>
          </commentPr>
        </mc:Choice>
        <mc:Fallback/>
      </mc:AlternateContent>
    </comment>
    <comment ref="B14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Traspaso cuota a Landes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11</xdr:colOff>
                <xdr:row>6</xdr:row>
                <xdr:rowOff>19</xdr:rowOff>
              </xdr:from>
              <xdr:to>
                <xdr:col>7</xdr:col>
                <xdr:colOff>22</xdr:colOff>
                <xdr:row>10</xdr:row>
                <xdr:rowOff>9</xdr:rowOff>
              </xdr:to>
            </anchor>
          </commentPr>
        </mc:Choice>
        <mc:Fallback/>
      </mc:AlternateContent>
    </comment>
    <comment ref="B26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Traspaso cuota a Rubio y Mahuad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225</xdr:colOff>
                <xdr:row>21</xdr:row>
                <xdr:rowOff>14</xdr:rowOff>
              </xdr:from>
              <xdr:to>
                <xdr:col>6</xdr:col>
                <xdr:colOff>117</xdr:colOff>
                <xdr:row>26</xdr:row>
                <xdr:rowOff>4</xdr:rowOff>
              </xdr:to>
            </anchor>
          </commentPr>
        </mc:Choice>
        <mc:Fallback/>
      </mc:AlternateContent>
    </comment>
    <comment ref="B38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Traspaso cuota a Rubio y Mahuad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225</xdr:colOff>
                <xdr:row>34</xdr:row>
                <xdr:rowOff>2</xdr:rowOff>
              </xdr:from>
              <xdr:to>
                <xdr:col>6</xdr:col>
                <xdr:colOff>117</xdr:colOff>
                <xdr:row>38</xdr:row>
                <xdr:rowOff>13</xdr:rowOff>
              </xdr:to>
            </anchor>
          </commentPr>
        </mc:Choice>
        <mc:Fallback/>
      </mc:AlternateContent>
    </comment>
    <comment ref="H8" authorId="0">
      <text>
        <r>
          <rPr>
            <b val="true"/>
            <sz val="10"/>
            <color rgb="FF000000"/>
            <rFont val="Tahoma"/>
            <family val="2"/>
          </rPr>
          <t xml:space="preserve">dcatalan:
</t>
        </r>
        <r>
          <rPr>
            <sz val="10"/>
            <color rgb="FF000000"/>
            <rFont val="Tahoma"/>
            <family val="2"/>
          </rPr>
          <t xml:space="preserve">(C ) Cede toda su cuota, sin embargo se registro el traspaso solo del saldo que son 61.262 ton. A traves del certificado nº 8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77</xdr:colOff>
                <xdr:row>4</xdr:row>
                <xdr:rowOff>74</xdr:rowOff>
              </xdr:from>
              <xdr:to>
                <xdr:col>14</xdr:col>
                <xdr:colOff>31</xdr:colOff>
                <xdr:row>9</xdr:row>
                <xdr:rowOff>12</xdr:rowOff>
              </xdr:to>
            </anchor>
          </commentPr>
        </mc:Choice>
        <mc:Fallback/>
      </mc:AlternateContent>
    </comment>
    <comment ref="H12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(CV) Cede 6.532 ton a traves de resolucion nº 2776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94</xdr:colOff>
                <xdr:row>8</xdr:row>
                <xdr:rowOff>12</xdr:rowOff>
              </xdr:from>
              <xdr:to>
                <xdr:col>9</xdr:col>
                <xdr:colOff>15</xdr:colOff>
                <xdr:row>12</xdr:row>
                <xdr:rowOff>2</xdr:rowOff>
              </xdr:to>
            </anchor>
          </commentPr>
        </mc:Choice>
        <mc:Fallback/>
      </mc:AlternateContent>
    </comment>
    <comment ref="H13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toda su cuota 31.658 a traves de certificado nº 11.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77</xdr:colOff>
                <xdr:row>10</xdr:row>
                <xdr:rowOff>16</xdr:rowOff>
              </xdr:from>
              <xdr:to>
                <xdr:col>14</xdr:col>
                <xdr:colOff>74</xdr:colOff>
                <xdr:row>14</xdr:row>
                <xdr:rowOff>7</xdr:rowOff>
              </xdr:to>
            </anchor>
          </commentPr>
        </mc:Choice>
        <mc:Fallback/>
      </mc:AlternateContent>
    </comment>
    <comment ref="H21" authorId="0">
      <text>
        <r>
          <rPr>
            <b val="true"/>
            <sz val="10"/>
            <color rgb="FF000000"/>
            <rFont val="Tahoma"/>
            <family val="2"/>
          </rPr>
          <t xml:space="preserve">dcatalan:
</t>
        </r>
        <r>
          <rPr>
            <sz val="10"/>
            <color rgb="FF000000"/>
            <rFont val="Tahoma"/>
            <family val="2"/>
          </rPr>
          <t xml:space="preserve">(C ) Incremento a traves de 61.262 ton a traves del certificado nº8.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77</xdr:colOff>
                <xdr:row>18</xdr:row>
                <xdr:rowOff>8</xdr:rowOff>
              </xdr:from>
              <xdr:to>
                <xdr:col>14</xdr:col>
                <xdr:colOff>9</xdr:colOff>
                <xdr:row>21</xdr:row>
                <xdr:rowOff>20</xdr:rowOff>
              </xdr:to>
            </anchor>
          </commentPr>
        </mc:Choice>
        <mc:Fallback/>
      </mc:AlternateContent>
    </comment>
    <comment ref="H23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31.658 ton a traves de certificado nº 11.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77</xdr:colOff>
                <xdr:row>20</xdr:row>
                <xdr:rowOff>6</xdr:rowOff>
              </xdr:from>
              <xdr:to>
                <xdr:col>15</xdr:col>
                <xdr:colOff>0</xdr:colOff>
                <xdr:row>23</xdr:row>
                <xdr:rowOff>18</xdr:rowOff>
              </xdr:to>
            </anchor>
          </commentPr>
        </mc:Choice>
        <mc:Fallback/>
      </mc:AlternateContent>
    </comment>
    <comment ref="H24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10"/>
            <color rgb="FF000000"/>
            <rFont val="Tahoma"/>
            <family val="2"/>
          </rPr>
          <t xml:space="preserve">(V) Incremento de 6.532 a traves de resolucion 2776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94</xdr:colOff>
                <xdr:row>20</xdr:row>
                <xdr:rowOff>0</xdr:rowOff>
              </xdr:from>
              <xdr:to>
                <xdr:col>9</xdr:col>
                <xdr:colOff>15</xdr:colOff>
                <xdr:row>23</xdr:row>
                <xdr:rowOff>11</xdr:rowOff>
              </xdr:to>
            </anchor>
          </commentPr>
        </mc:Choice>
        <mc:Fallback/>
      </mc:AlternateContent>
    </comment>
    <comment ref="H28" authorId="0">
      <text>
        <r>
          <rPr>
            <b val="true"/>
            <sz val="10"/>
            <color rgb="FF000000"/>
            <rFont val="Tahoma"/>
            <family val="2"/>
          </rPr>
          <t xml:space="preserve">dcatalan:
</t>
        </r>
        <r>
          <rPr>
            <sz val="10"/>
            <color rgb="FF000000"/>
            <rFont val="Tahoma"/>
            <family val="2"/>
          </rPr>
          <t xml:space="preserve">(C )Cede toda l9.374 ton a traves de certificado nº 9.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77</xdr:colOff>
                <xdr:row>26</xdr:row>
                <xdr:rowOff>1</xdr:rowOff>
              </xdr:from>
              <xdr:to>
                <xdr:col>14</xdr:col>
                <xdr:colOff>51</xdr:colOff>
                <xdr:row>29</xdr:row>
                <xdr:rowOff>13</xdr:rowOff>
              </xdr:to>
            </anchor>
          </commentPr>
        </mc:Choice>
        <mc:Fallback/>
      </mc:AlternateContent>
    </comment>
    <comment ref="H29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Cede 45 ton a traves de Res Nº 3022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77</xdr:colOff>
                <xdr:row>27</xdr:row>
                <xdr:rowOff>0</xdr:rowOff>
              </xdr:from>
              <xdr:to>
                <xdr:col>13</xdr:col>
                <xdr:colOff>10</xdr:colOff>
                <xdr:row>30</xdr:row>
                <xdr:rowOff>12</xdr:rowOff>
              </xdr:to>
            </anchor>
          </commentPr>
        </mc:Choice>
        <mc:Fallback/>
      </mc:AlternateContent>
    </comment>
    <comment ref="H34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(C ) Incremento de 9.374 ton a traves de certificado nº 9.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77</xdr:colOff>
                <xdr:row>31</xdr:row>
                <xdr:rowOff>16</xdr:rowOff>
              </xdr:from>
              <xdr:to>
                <xdr:col>14</xdr:col>
                <xdr:colOff>78</xdr:colOff>
                <xdr:row>35</xdr:row>
                <xdr:rowOff>7</xdr:rowOff>
              </xdr:to>
            </anchor>
          </commentPr>
        </mc:Choice>
        <mc:Fallback/>
      </mc:AlternateContent>
    </comment>
    <comment ref="H35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Cede -40 ton a través de Res Nº 2844. 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77</xdr:colOff>
                <xdr:row>32</xdr:row>
                <xdr:rowOff>15</xdr:rowOff>
              </xdr:from>
              <xdr:to>
                <xdr:col>13</xdr:col>
                <xdr:colOff>10</xdr:colOff>
                <xdr:row>37</xdr:row>
                <xdr:rowOff>6</xdr:rowOff>
              </xdr:to>
            </anchor>
          </commentPr>
        </mc:Choice>
        <mc:Fallback/>
      </mc:AlternateContent>
    </comment>
    <comment ref="H42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Cede -16.5 ton a través de Res Nº 2845.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77</xdr:colOff>
                <xdr:row>40</xdr:row>
                <xdr:rowOff>8</xdr:rowOff>
              </xdr:from>
              <xdr:to>
                <xdr:col>13</xdr:col>
                <xdr:colOff>10</xdr:colOff>
                <xdr:row>43</xdr:row>
                <xdr:rowOff>19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H7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(T) Incremento de 0.577 ton a traves de certificado nº 44.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60</xdr:colOff>
                <xdr:row>6</xdr:row>
                <xdr:rowOff>5</xdr:rowOff>
              </xdr:from>
              <xdr:to>
                <xdr:col>11</xdr:col>
                <xdr:colOff>49</xdr:colOff>
                <xdr:row>11</xdr:row>
                <xdr:rowOff>14</xdr:rowOff>
              </xdr:to>
            </anchor>
          </commentPr>
        </mc:Choice>
        <mc:Fallback/>
      </mc:AlternateContent>
    </comment>
    <comment ref="H8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(T) Incremento de 6.73 ton a traves de certificado nº 42.
(T) Cede 125.472 ton a traves de certificado nº 43.
(T) Cede 0.577 ton a traves de certificado nº 44.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60</xdr:colOff>
                <xdr:row>7</xdr:row>
                <xdr:rowOff>1</xdr:rowOff>
              </xdr:from>
              <xdr:to>
                <xdr:col>11</xdr:col>
                <xdr:colOff>40</xdr:colOff>
                <xdr:row>10</xdr:row>
                <xdr:rowOff>14</xdr:rowOff>
              </xdr:to>
            </anchor>
          </commentPr>
        </mc:Choice>
        <mc:Fallback/>
      </mc:AlternateContent>
    </comment>
    <comment ref="H10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(A)Incremento de 15 ton a traves de certificado nº 35.
(T) Incremento de 125.472 ton a traves de certificado nº43.
(A) Cede -20 ton a traves de certificado nº 74.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60</xdr:colOff>
                <xdr:row>9</xdr:row>
                <xdr:rowOff>1</xdr:rowOff>
              </xdr:from>
              <xdr:to>
                <xdr:col>11</xdr:col>
                <xdr:colOff>62</xdr:colOff>
                <xdr:row>12</xdr:row>
                <xdr:rowOff>11</xdr:rowOff>
              </xdr:to>
            </anchor>
          </commentPr>
        </mc:Choice>
        <mc:Fallback/>
      </mc:AlternateContent>
    </comment>
    <comment ref="H11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-15 ton a traves de certificado nº 35.
(T) Cede 6.73 ton a traves de certificado nº42.
(A) Incremento de 20 ton a traves de certificado nº 74.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60</xdr:colOff>
                <xdr:row>10</xdr:row>
                <xdr:rowOff>1</xdr:rowOff>
              </xdr:from>
              <xdr:to>
                <xdr:col>11</xdr:col>
                <xdr:colOff>45</xdr:colOff>
                <xdr:row>13</xdr:row>
                <xdr:rowOff>9</xdr:rowOff>
              </xdr:to>
            </anchor>
          </commentPr>
        </mc:Choice>
        <mc:Fallback/>
      </mc:AlternateContent>
    </comment>
    <comment ref="H13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(T) Cede -11.294 ton a traves de certificado nº 45.
(T) Cede 1.88 ton a traves de certificado nº 46.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60</xdr:colOff>
                <xdr:row>12</xdr:row>
                <xdr:rowOff>3</xdr:rowOff>
              </xdr:from>
              <xdr:to>
                <xdr:col>11</xdr:col>
                <xdr:colOff>4</xdr:colOff>
                <xdr:row>15</xdr:row>
                <xdr:rowOff>3</xdr:rowOff>
              </xdr:to>
            </anchor>
          </commentPr>
        </mc:Choice>
        <mc:Fallback/>
      </mc:AlternateContent>
    </comment>
    <comment ref="H15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(T) Incremento de 11.294 ton a traves de certificado nº45.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60</xdr:colOff>
                <xdr:row>14</xdr:row>
                <xdr:rowOff>2</xdr:rowOff>
              </xdr:from>
              <xdr:to>
                <xdr:col>11</xdr:col>
                <xdr:colOff>44</xdr:colOff>
                <xdr:row>17</xdr:row>
                <xdr:rowOff>9</xdr:rowOff>
              </xdr:to>
            </anchor>
          </commentPr>
        </mc:Choice>
        <mc:Fallback/>
      </mc:AlternateContent>
    </comment>
    <comment ref="H17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(T) Incremento de 1.88 ton a traves de certificado nº46.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60</xdr:colOff>
                <xdr:row>16</xdr:row>
                <xdr:rowOff>2</xdr:rowOff>
              </xdr:from>
              <xdr:to>
                <xdr:col>11</xdr:col>
                <xdr:colOff>34</xdr:colOff>
                <xdr:row>19</xdr:row>
                <xdr:rowOff>11</xdr:rowOff>
              </xdr:to>
            </anchor>
          </commentPr>
        </mc:Choice>
        <mc:Fallback/>
      </mc:AlternateContent>
    </comment>
    <comment ref="H19" authorId="0">
      <text>
        <r>
          <rPr>
            <b val="true"/>
            <sz val="10"/>
            <color rgb="FF000000"/>
            <rFont val="Tahoma"/>
            <family val="2"/>
          </rPr>
          <t xml:space="preserve">dcatalan:
</t>
        </r>
        <r>
          <rPr>
            <sz val="10"/>
            <color rgb="FF000000"/>
            <rFont val="Tahoma"/>
            <family val="2"/>
          </rPr>
          <t xml:space="preserve">Incremento de 190 ton a traves de Res Nº 190. 
Incremento de 230.941 ton a través de Res Nº 2859. 
(A)incremento  de  102.503 tone a traves de certificado nº 5. 
(T) Incremento de 302.402 ton a traves de certificado nº 39.
(A) Incremento de 6 ton a traves de certificado nº 101.
(T) Cede -14.779 ton a traves de certificado nº 105.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96</xdr:colOff>
                <xdr:row>17</xdr:row>
                <xdr:rowOff>19</xdr:rowOff>
              </xdr:from>
              <xdr:to>
                <xdr:col>11</xdr:col>
                <xdr:colOff>93</xdr:colOff>
                <xdr:row>22</xdr:row>
                <xdr:rowOff>20</xdr:rowOff>
              </xdr:to>
            </anchor>
          </commentPr>
        </mc:Choice>
        <mc:Fallback/>
      </mc:AlternateContent>
    </comment>
    <comment ref="H20" authorId="0">
      <text>
        <r>
          <rPr>
            <b val="true"/>
            <sz val="10"/>
            <color rgb="FF000000"/>
            <rFont val="Tahoma"/>
            <family val="2"/>
          </rPr>
          <t xml:space="preserve">dcatalan:
</t>
        </r>
        <r>
          <rPr>
            <sz val="10"/>
            <color rgb="FF000000"/>
            <rFont val="Tahoma"/>
            <family val="2"/>
          </rPr>
          <t xml:space="preserve">(T) Incremento 661 ton a traves de certificado Nº1. 
Incremento de 63.033 ton a través de la Res Nº 2911 modificada por la Nº 3045.
(T) Incremento de 173.207 ton a traves de certificado nº33.
(T) Cede 447.227 ton a traves de certificado nº 38.
(T) Cede 302.402 ton a traves de certificado nº 39.
(T) Incremento de 216.886 ton a traves de certificado nº 40.
(T) Cede -76 ton a traves de certificado nº 87.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75</xdr:colOff>
                <xdr:row>17</xdr:row>
                <xdr:rowOff>14</xdr:rowOff>
              </xdr:from>
              <xdr:to>
                <xdr:col>11</xdr:col>
                <xdr:colOff>66</xdr:colOff>
                <xdr:row>23</xdr:row>
                <xdr:rowOff>6</xdr:rowOff>
              </xdr:to>
            </anchor>
          </commentPr>
        </mc:Choice>
        <mc:Fallback/>
      </mc:AlternateContent>
    </comment>
    <comment ref="H22" authorId="0">
      <text>
        <r>
          <rPr>
            <b val="true"/>
            <sz val="10"/>
            <color rgb="FF000000"/>
            <rFont val="Tahoma"/>
            <family val="2"/>
          </rPr>
          <t xml:space="preserve">dcatalan:
</t>
        </r>
        <r>
          <rPr>
            <sz val="10"/>
            <color rgb="FF000000"/>
            <rFont val="Tahoma"/>
            <family val="2"/>
          </rPr>
          <t xml:space="preserve">Incremento de 296.276 ton a traves de Res Nº 2532, (Modifica Res Nº 2487.)
Incremento 200 Ton a traves de Res. N°2950.
(A) Incremento 162 ton a traves de certificado nº 2. 
(A) Incremento de 115 ton a traves de certificado nº 34.
Incremento de 156,344 ton a traves de Res Nº 3300.
Incremento de 68,104 ton a traves de Res Nº 3381.
Incremento de 44,387 ton a traves de Res Nº 3527.
(A) Cede 6 ton a traves de certificado nº 101.
(A) Incremento de 100 ton a traves de certificado nº 116.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87</xdr:colOff>
                <xdr:row>11</xdr:row>
                <xdr:rowOff>1</xdr:rowOff>
              </xdr:from>
              <xdr:to>
                <xdr:col>12</xdr:col>
                <xdr:colOff>26</xdr:colOff>
                <xdr:row>19</xdr:row>
                <xdr:rowOff>21</xdr:rowOff>
              </xdr:to>
            </anchor>
          </commentPr>
        </mc:Choice>
        <mc:Fallback/>
      </mc:AlternateContent>
    </comment>
    <comment ref="H23" authorId="0">
      <text>
        <r>
          <rPr>
            <b val="true"/>
            <sz val="10"/>
            <color rgb="FF000000"/>
            <rFont val="Tahoma"/>
            <family val="2"/>
          </rPr>
          <t xml:space="preserve">dcatalan:
</t>
        </r>
        <r>
          <rPr>
            <sz val="10"/>
            <color rgb="FF000000"/>
            <rFont val="Tahoma"/>
            <family val="2"/>
          </rPr>
          <t xml:space="preserve">Incremento de 564.832 ton a traves de Res nº 2488.
(A)Cede -162 tone a traves de certificado nº2. 
(A)Cede  -102.503 tone a traves de certificado nº 5. (A)Cede -115 tone a traves de certificado nº 34.
(T) Incremento de 447.227 ton a traves de certificado nº38.
(T) Cede 216.886 ton a traves de certificado nº 40.
Incremento de 292,505 ton a traves de Res Nº 3638.
Incremento de 78,399 ton a traves de Res Nº 3542.
Incremento de 110 ton a traves de Res Nº 3643.
Incremento de 100.464 ton a traves de Res Nº 3684.
Incremento de 90.307 ton a traves de Res Nº 3683.
(T) Incremento de 1.959 ton a traves de certificado nº 77.
(A) Cede 100 ton a traves de certificado nº 116.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32</xdr:colOff>
                <xdr:row>24</xdr:row>
                <xdr:rowOff>4</xdr:rowOff>
              </xdr:from>
              <xdr:to>
                <xdr:col>12</xdr:col>
                <xdr:colOff>24</xdr:colOff>
                <xdr:row>34</xdr:row>
                <xdr:rowOff>6</xdr:rowOff>
              </xdr:to>
            </anchor>
          </commentPr>
        </mc:Choice>
        <mc:Fallback/>
      </mc:AlternateContent>
    </comment>
    <comment ref="H25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(T) Cede 131.313 ton a traves de certificado nº41.
(T) Cede  48.041 ton a traves de certificado nº 49.
(T) Incremento de 14.779 ton a traves de certificado nº105.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60</xdr:colOff>
                <xdr:row>23</xdr:row>
                <xdr:rowOff>18</xdr:rowOff>
              </xdr:from>
              <xdr:to>
                <xdr:col>11</xdr:col>
                <xdr:colOff>63</xdr:colOff>
                <xdr:row>27</xdr:row>
                <xdr:rowOff>8</xdr:rowOff>
              </xdr:to>
            </anchor>
          </commentPr>
        </mc:Choice>
        <mc:Fallback/>
      </mc:AlternateContent>
    </comment>
    <comment ref="H27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(T) Cede -661 ton a traves de certificado Nº1.
Incremento de 277.219 ton a traves de Res Nº 2620. 
(T) Cede 173.207 ton a traves de certificado nº 33.
(T) Incremento de 131.313 ton a traves de certificado nº 41.
Incremento de 76,948 ton a traves de Res Nº 3230.
(T) Incremento de 76 ton a traves de certificado nº 87.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75</xdr:colOff>
                <xdr:row>24</xdr:row>
                <xdr:rowOff>14</xdr:rowOff>
              </xdr:from>
              <xdr:to>
                <xdr:col>10</xdr:col>
                <xdr:colOff>100</xdr:colOff>
                <xdr:row>29</xdr:row>
                <xdr:rowOff>10</xdr:rowOff>
              </xdr:to>
            </anchor>
          </commentPr>
        </mc:Choice>
        <mc:Fallback/>
      </mc:AlternateContent>
    </comment>
    <comment ref="H29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(T) Incremento de 48.041 ton a traves de certificado Nº 49. (T) Cede -48.041 ton a traves de certificado nº 76.
(T) Cede -1.959 ton a traves de certificado nº 77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60</xdr:colOff>
                <xdr:row>27</xdr:row>
                <xdr:rowOff>19</xdr:rowOff>
              </xdr:from>
              <xdr:to>
                <xdr:col>11</xdr:col>
                <xdr:colOff>56</xdr:colOff>
                <xdr:row>31</xdr:row>
                <xdr:rowOff>11</xdr:rowOff>
              </xdr:to>
            </anchor>
          </commentPr>
        </mc:Choice>
        <mc:Fallback/>
      </mc:AlternateContent>
    </comment>
    <comment ref="H31" authorId="0">
      <text>
        <r>
          <rPr>
            <b val="true"/>
            <sz val="10"/>
            <color rgb="FF000000"/>
            <rFont val="Tahoma"/>
            <family val="2"/>
          </rPr>
          <t xml:space="preserve">dcatalan:
</t>
        </r>
        <r>
          <rPr>
            <sz val="10"/>
            <color rgb="FF000000"/>
            <rFont val="Tahoma"/>
            <family val="2"/>
          </rPr>
          <t xml:space="preserve">(A) cede 985.721 tone a traves de certificado nº6. 
(T) cede 2129.26 ton a traves de certificado nº36.
(A) Cede 1500 ton a traves de certificado nº 3.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118</xdr:colOff>
                <xdr:row>23</xdr:row>
                <xdr:rowOff>0</xdr:rowOff>
              </xdr:from>
              <xdr:to>
                <xdr:col>9</xdr:col>
                <xdr:colOff>99</xdr:colOff>
                <xdr:row>27</xdr:row>
                <xdr:rowOff>3</xdr:rowOff>
              </xdr:to>
            </anchor>
          </commentPr>
        </mc:Choice>
        <mc:Fallback/>
      </mc:AlternateContent>
    </comment>
    <comment ref="H32" authorId="0">
      <text>
        <r>
          <rPr>
            <b val="true"/>
            <sz val="10"/>
            <color rgb="FF000000"/>
            <rFont val="Tahoma"/>
            <family val="2"/>
          </rPr>
          <t xml:space="preserve">dcatalan:
</t>
        </r>
        <r>
          <rPr>
            <sz val="10"/>
            <color rgb="FF000000"/>
            <rFont val="Tahoma"/>
            <family val="2"/>
          </rPr>
          <t xml:space="preserve">(A)  Incremento de 1500 ton a traves de certificado nº3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20</xdr:colOff>
                <xdr:row>29</xdr:row>
                <xdr:rowOff>11</xdr:rowOff>
              </xdr:from>
              <xdr:to>
                <xdr:col>5</xdr:col>
                <xdr:colOff>45</xdr:colOff>
                <xdr:row>32</xdr:row>
                <xdr:rowOff>21</xdr:rowOff>
              </xdr:to>
            </anchor>
          </commentPr>
        </mc:Choice>
        <mc:Fallback/>
      </mc:AlternateContent>
    </comment>
    <comment ref="H33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(T) incremento de 2129.26 ton a traves de certificado nº 36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60</xdr:colOff>
                <xdr:row>31</xdr:row>
                <xdr:rowOff>17</xdr:rowOff>
              </xdr:from>
              <xdr:to>
                <xdr:col>11</xdr:col>
                <xdr:colOff>54</xdr:colOff>
                <xdr:row>35</xdr:row>
                <xdr:rowOff>7</xdr:rowOff>
              </xdr:to>
            </anchor>
          </commentPr>
        </mc:Choice>
        <mc:Fallback/>
      </mc:AlternateContent>
    </comment>
    <comment ref="H34" authorId="0">
      <text>
        <r>
          <rPr>
            <b val="true"/>
            <sz val="10"/>
            <color rgb="FF000000"/>
            <rFont val="Tahoma"/>
            <family val="2"/>
          </rPr>
          <t xml:space="preserve">dcatalan:
</t>
        </r>
        <r>
          <rPr>
            <sz val="10"/>
            <color rgb="FF000000"/>
            <rFont val="Tahoma"/>
            <family val="2"/>
          </rPr>
          <t xml:space="preserve">(A) incremento de 985.721 tone a traves de certificado nº 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96</xdr:colOff>
                <xdr:row>32</xdr:row>
                <xdr:rowOff>17</xdr:rowOff>
              </xdr:from>
              <xdr:to>
                <xdr:col>10</xdr:col>
                <xdr:colOff>96</xdr:colOff>
                <xdr:row>36</xdr:row>
                <xdr:rowOff>8</xdr:rowOff>
              </xdr:to>
            </anchor>
          </commentPr>
        </mc:Choice>
        <mc:Fallback/>
      </mc:AlternateContent>
    </comment>
    <comment ref="H36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toda su cuota 2599.297 a traves de certificado nº 19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60</xdr:colOff>
                <xdr:row>34</xdr:row>
                <xdr:rowOff>14</xdr:rowOff>
              </xdr:from>
              <xdr:to>
                <xdr:col>10</xdr:col>
                <xdr:colOff>8</xdr:colOff>
                <xdr:row>38</xdr:row>
                <xdr:rowOff>9</xdr:rowOff>
              </xdr:to>
            </anchor>
          </commentPr>
        </mc:Choice>
        <mc:Fallback/>
      </mc:AlternateContent>
    </comment>
    <comment ref="H37" authorId="0">
      <text>
        <r>
          <rPr>
            <b val="true"/>
            <sz val="12"/>
            <color rgb="FF000000"/>
            <rFont val="Tahoma"/>
            <family val="2"/>
          </rPr>
          <t xml:space="preserve">dcatalan:
</t>
        </r>
        <r>
          <rPr>
            <sz val="12"/>
            <color rgb="FF000000"/>
            <rFont val="Tahoma"/>
            <family val="2"/>
          </rPr>
          <t xml:space="preserve">(NT) Incremento de 2559.239 ton a traves de certificado nº 14. 
(A) Cede 480.671 ton a traves de certificado Nº54.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60</xdr:colOff>
                <xdr:row>35</xdr:row>
                <xdr:rowOff>14</xdr:rowOff>
              </xdr:from>
              <xdr:to>
                <xdr:col>13</xdr:col>
                <xdr:colOff>27</xdr:colOff>
                <xdr:row>41</xdr:row>
                <xdr:rowOff>5</xdr:rowOff>
              </xdr:to>
            </anchor>
          </commentPr>
        </mc:Choice>
        <mc:Fallback/>
      </mc:AlternateContent>
    </comment>
    <comment ref="H38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480.671 ton a traves de certificado nº54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60</xdr:colOff>
                <xdr:row>36</xdr:row>
                <xdr:rowOff>14</xdr:rowOff>
              </xdr:from>
              <xdr:to>
                <xdr:col>11</xdr:col>
                <xdr:colOff>54</xdr:colOff>
                <xdr:row>40</xdr:row>
                <xdr:rowOff>9</xdr:rowOff>
              </xdr:to>
            </anchor>
          </commentPr>
        </mc:Choice>
        <mc:Fallback/>
      </mc:AlternateContent>
    </comment>
    <comment ref="H41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10"/>
            <color rgb="FF000000"/>
            <rFont val="Tahoma"/>
            <family val="2"/>
          </rPr>
          <t xml:space="preserve">(A) cede 450 ton a traves de certificado nº 27. 
(A)cede 187.194 ton a traves de certificado nº 28.
 (A) cede 522 ton a traves de certificado nº 29.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60</xdr:colOff>
                <xdr:row>39</xdr:row>
                <xdr:rowOff>14</xdr:rowOff>
              </xdr:from>
              <xdr:to>
                <xdr:col>11</xdr:col>
                <xdr:colOff>77</xdr:colOff>
                <xdr:row>44</xdr:row>
                <xdr:rowOff>9</xdr:rowOff>
              </xdr:to>
            </anchor>
          </commentPr>
        </mc:Choice>
        <mc:Fallback/>
      </mc:AlternateContent>
    </comment>
    <comment ref="H42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450 ton a traves de certificado nº 27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60</xdr:colOff>
                <xdr:row>40</xdr:row>
                <xdr:rowOff>14</xdr:rowOff>
              </xdr:from>
              <xdr:to>
                <xdr:col>11</xdr:col>
                <xdr:colOff>40</xdr:colOff>
                <xdr:row>44</xdr:row>
                <xdr:rowOff>9</xdr:rowOff>
              </xdr:to>
            </anchor>
          </commentPr>
        </mc:Choice>
        <mc:Fallback/>
      </mc:AlternateContent>
    </comment>
    <comment ref="H43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-10.365 ton a traves de certificado nº26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20</xdr:colOff>
                <xdr:row>40</xdr:row>
                <xdr:rowOff>8</xdr:rowOff>
              </xdr:from>
              <xdr:to>
                <xdr:col>5</xdr:col>
                <xdr:colOff>45</xdr:colOff>
                <xdr:row>44</xdr:row>
                <xdr:rowOff>2</xdr:rowOff>
              </xdr:to>
            </anchor>
          </commentPr>
        </mc:Choice>
        <mc:Fallback/>
      </mc:AlternateContent>
    </comment>
    <comment ref="H45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</t>
        </r>
        <r>
          <rPr>
            <sz val="10"/>
            <color rgb="FF000000"/>
            <rFont val="Tahoma"/>
            <family val="2"/>
          </rPr>
          <t xml:space="preserve">A) incremento de 187.194 ton a traves de certificado nº28. (A) incremento de 2599.297 ton a traves de certificado nº19.
(A) incremento de 143.714 ton a traves de certificado nº20. (A) incremento de 53.733 ton a traves de certificado nº 21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60</xdr:colOff>
                <xdr:row>43</xdr:row>
                <xdr:rowOff>14</xdr:rowOff>
              </xdr:from>
              <xdr:to>
                <xdr:col>12</xdr:col>
                <xdr:colOff>4</xdr:colOff>
                <xdr:row>49</xdr:row>
                <xdr:rowOff>7</xdr:rowOff>
              </xdr:to>
            </anchor>
          </commentPr>
        </mc:Choice>
        <mc:Fallback/>
      </mc:AlternateContent>
    </comment>
    <comment ref="H47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10.365 ton a traves de certificado nº 26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20</xdr:colOff>
                <xdr:row>44</xdr:row>
                <xdr:rowOff>8</xdr:rowOff>
              </xdr:from>
              <xdr:to>
                <xdr:col>5</xdr:col>
                <xdr:colOff>45</xdr:colOff>
                <xdr:row>48</xdr:row>
                <xdr:rowOff>2</xdr:rowOff>
              </xdr:to>
            </anchor>
          </commentPr>
        </mc:Choice>
        <mc:Fallback/>
      </mc:AlternateContent>
    </comment>
    <comment ref="H48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143.714 a traves de certificado nº 20.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60</xdr:colOff>
                <xdr:row>46</xdr:row>
                <xdr:rowOff>14</xdr:rowOff>
              </xdr:from>
              <xdr:to>
                <xdr:col>11</xdr:col>
                <xdr:colOff>1</xdr:colOff>
                <xdr:row>50</xdr:row>
                <xdr:rowOff>9</xdr:rowOff>
              </xdr:to>
            </anchor>
          </commentPr>
        </mc:Choice>
        <mc:Fallback/>
      </mc:AlternateContent>
    </comment>
    <comment ref="H52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53.733 a traves de certificado nº 21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60</xdr:colOff>
                <xdr:row>50</xdr:row>
                <xdr:rowOff>14</xdr:rowOff>
              </xdr:from>
              <xdr:to>
                <xdr:col>10</xdr:col>
                <xdr:colOff>8</xdr:colOff>
                <xdr:row>55</xdr:row>
                <xdr:rowOff>9</xdr:rowOff>
              </xdr:to>
            </anchor>
          </commentPr>
        </mc:Choice>
        <mc:Fallback/>
      </mc:AlternateContent>
    </comment>
    <comment ref="H53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522 ton a traves de certificado nº 29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60</xdr:colOff>
                <xdr:row>51</xdr:row>
                <xdr:rowOff>14</xdr:rowOff>
              </xdr:from>
              <xdr:to>
                <xdr:col>11</xdr:col>
                <xdr:colOff>34</xdr:colOff>
                <xdr:row>56</xdr:row>
                <xdr:rowOff>9</xdr:rowOff>
              </xdr:to>
            </anchor>
          </commentPr>
        </mc:Choice>
        <mc:Fallback/>
      </mc:AlternateContent>
    </comment>
    <comment ref="H54" authorId="0">
      <text>
        <r>
          <rPr>
            <b val="true"/>
            <sz val="10"/>
            <color rgb="FF000000"/>
            <rFont val="Tahoma"/>
            <family val="2"/>
          </rPr>
          <t xml:space="preserve">dcatalan:
</t>
        </r>
        <r>
          <rPr>
            <sz val="10"/>
            <color rgb="FF000000"/>
            <rFont val="Tahoma"/>
            <family val="2"/>
          </rPr>
          <t xml:space="preserve">(NT) Cede 2926.164 ton a traves del certificado nº14. sin embargo solo  se traspaso este año el saldo de camanchaca 2559.239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60</xdr:colOff>
                <xdr:row>52</xdr:row>
                <xdr:rowOff>14</xdr:rowOff>
              </xdr:from>
              <xdr:to>
                <xdr:col>11</xdr:col>
                <xdr:colOff>23</xdr:colOff>
                <xdr:row>58</xdr:row>
                <xdr:rowOff>14</xdr:rowOff>
              </xdr:to>
            </anchor>
          </commentPr>
        </mc:Choice>
        <mc:Fallback/>
      </mc:AlternateContent>
    </comment>
    <comment ref="H57" authorId="0">
      <text>
        <r>
          <rPr>
            <b val="true"/>
            <sz val="10"/>
            <color rgb="FF000000"/>
            <rFont val="Tahoma"/>
            <family val="2"/>
          </rPr>
          <t xml:space="preserve">dcatalan:
</t>
        </r>
        <r>
          <rPr>
            <sz val="10"/>
            <color rgb="FF000000"/>
            <rFont val="Tahoma"/>
            <family val="2"/>
          </rPr>
          <t xml:space="preserve">(A)Cede -500 tone a traves de certificado nº 4. 
(A)Cede -500 tone a traves de certificado nº7.
(T) Cede 564.296 ton a traves de certificado nº47.
(T) Incremento de 1000 ton a traves de certificado nº48. 
(A) Cede 583 ton a traves de certificado nº70.
(A) Cede 400 ton a traves de certificado nº 71.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96</xdr:colOff>
                <xdr:row>56</xdr:row>
                <xdr:rowOff>14</xdr:rowOff>
              </xdr:from>
              <xdr:to>
                <xdr:col>11</xdr:col>
                <xdr:colOff>59</xdr:colOff>
                <xdr:row>64</xdr:row>
                <xdr:rowOff>15</xdr:rowOff>
              </xdr:to>
            </anchor>
          </commentPr>
        </mc:Choice>
        <mc:Fallback/>
      </mc:AlternateContent>
    </comment>
    <comment ref="H58" authorId="0">
      <text>
        <r>
          <rPr>
            <b val="true"/>
            <sz val="10"/>
            <color rgb="FF000000"/>
            <rFont val="Tahoma"/>
            <family val="2"/>
          </rPr>
          <t xml:space="preserve">dcatalan:
</t>
        </r>
        <r>
          <rPr>
            <sz val="10"/>
            <color rgb="FF000000"/>
            <rFont val="Tahoma"/>
            <family val="2"/>
          </rPr>
          <t xml:space="preserve">(A)Incremento de 500 ton a traves de certificado nº 4.
(A) Incremento de 400 ton a traves de certificado nº 71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96</xdr:colOff>
                <xdr:row>57</xdr:row>
                <xdr:rowOff>14</xdr:rowOff>
              </xdr:from>
              <xdr:to>
                <xdr:col>11</xdr:col>
                <xdr:colOff>40</xdr:colOff>
                <xdr:row>61</xdr:row>
                <xdr:rowOff>7</xdr:rowOff>
              </xdr:to>
            </anchor>
          </commentPr>
        </mc:Choice>
        <mc:Fallback/>
      </mc:AlternateContent>
    </comment>
    <comment ref="H59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(T) Incremento de 564.296 ton a traves de certificado nº 47.
(T) Cede 1000 ton a traves de certificado nº 48.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60</xdr:colOff>
                <xdr:row>58</xdr:row>
                <xdr:rowOff>14</xdr:rowOff>
              </xdr:from>
              <xdr:to>
                <xdr:col>11</xdr:col>
                <xdr:colOff>63</xdr:colOff>
                <xdr:row>62</xdr:row>
                <xdr:rowOff>7</xdr:rowOff>
              </xdr:to>
            </anchor>
          </commentPr>
        </mc:Choice>
        <mc:Fallback/>
      </mc:AlternateContent>
    </comment>
    <comment ref="H60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10"/>
            <color rgb="FF000000"/>
            <rFont val="Tahoma"/>
            <family val="2"/>
          </rPr>
          <t xml:space="preserve">(A)Incremento de 500 ton a traves de certificado nº7.
 (A) Incremento de 583 ton a traves de certificado nº 70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96</xdr:colOff>
                <xdr:row>59</xdr:row>
                <xdr:rowOff>14</xdr:rowOff>
              </xdr:from>
              <xdr:to>
                <xdr:col>11</xdr:col>
                <xdr:colOff>45</xdr:colOff>
                <xdr:row>63</xdr:row>
                <xdr:rowOff>7</xdr:rowOff>
              </xdr:to>
            </anchor>
          </commentPr>
        </mc:Choice>
        <mc:Fallback/>
      </mc:AlternateContent>
    </comment>
    <comment ref="H62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4.204 ton a traves de certificado nº31. (A) cede 80.637 ton a traves de certificado nº32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60</xdr:colOff>
                <xdr:row>61</xdr:row>
                <xdr:rowOff>12</xdr:rowOff>
              </xdr:from>
              <xdr:to>
                <xdr:col>11</xdr:col>
                <xdr:colOff>8</xdr:colOff>
                <xdr:row>65</xdr:row>
                <xdr:rowOff>7</xdr:rowOff>
              </xdr:to>
            </anchor>
          </commentPr>
        </mc:Choice>
        <mc:Fallback/>
      </mc:AlternateContent>
    </comment>
    <comment ref="H63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-9.393 ton a traves de certificado nº61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20</xdr:colOff>
                <xdr:row>61</xdr:row>
                <xdr:rowOff>6</xdr:rowOff>
              </xdr:from>
              <xdr:to>
                <xdr:col>5</xdr:col>
                <xdr:colOff>45</xdr:colOff>
                <xdr:row>64</xdr:row>
                <xdr:rowOff>20</xdr:rowOff>
              </xdr:to>
            </anchor>
          </commentPr>
        </mc:Choice>
        <mc:Fallback/>
      </mc:AlternateContent>
    </comment>
    <comment ref="H65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(A)incremento de 200 ton a traves de certificado nº30. 
(A) Cede 478.116 ton a traves de certificado Nº55. 
(A) Incremento de 500 ton a traves de certificado Nº 60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60</xdr:colOff>
                <xdr:row>64</xdr:row>
                <xdr:rowOff>12</xdr:rowOff>
              </xdr:from>
              <xdr:to>
                <xdr:col>11</xdr:col>
                <xdr:colOff>62</xdr:colOff>
                <xdr:row>68</xdr:row>
                <xdr:rowOff>7</xdr:rowOff>
              </xdr:to>
            </anchor>
          </commentPr>
        </mc:Choice>
        <mc:Fallback/>
      </mc:AlternateContent>
    </comment>
    <comment ref="H66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478.116 ton a traves de certificado nº55.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60</xdr:colOff>
                <xdr:row>65</xdr:row>
                <xdr:rowOff>12</xdr:rowOff>
              </xdr:from>
              <xdr:to>
                <xdr:col>11</xdr:col>
                <xdr:colOff>51</xdr:colOff>
                <xdr:row>69</xdr:row>
                <xdr:rowOff>7</xdr:rowOff>
              </xdr:to>
            </anchor>
          </commentPr>
        </mc:Choice>
        <mc:Fallback/>
      </mc:AlternateContent>
    </comment>
    <comment ref="H68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118.294 ton a traves de certificado nº 16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96</xdr:colOff>
                <xdr:row>67</xdr:row>
                <xdr:rowOff>12</xdr:rowOff>
              </xdr:from>
              <xdr:to>
                <xdr:col>9</xdr:col>
                <xdr:colOff>48</xdr:colOff>
                <xdr:row>71</xdr:row>
                <xdr:rowOff>7</xdr:rowOff>
              </xdr:to>
            </anchor>
          </commentPr>
        </mc:Choice>
        <mc:Fallback/>
      </mc:AlternateContent>
    </comment>
    <comment ref="H69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291.601 a traves de certificado nº 15. (A) incremento de 80.637 ton a traves de certificado nº32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96</xdr:colOff>
                <xdr:row>68</xdr:row>
                <xdr:rowOff>12</xdr:rowOff>
              </xdr:from>
              <xdr:to>
                <xdr:col>10</xdr:col>
                <xdr:colOff>82</xdr:colOff>
                <xdr:row>72</xdr:row>
                <xdr:rowOff>7</xdr:rowOff>
              </xdr:to>
            </anchor>
          </commentPr>
        </mc:Choice>
        <mc:Fallback/>
      </mc:AlternateContent>
    </comment>
    <comment ref="H70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(T) Incremento de 60 ton a traves de certificado nº 52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61</xdr:colOff>
                <xdr:row>69</xdr:row>
                <xdr:rowOff>12</xdr:rowOff>
              </xdr:from>
              <xdr:to>
                <xdr:col>10</xdr:col>
                <xdr:colOff>8</xdr:colOff>
                <xdr:row>73</xdr:row>
                <xdr:rowOff>7</xdr:rowOff>
              </xdr:to>
            </anchor>
          </commentPr>
        </mc:Choice>
        <mc:Fallback/>
      </mc:AlternateContent>
    </comment>
    <comment ref="H71" authorId="0">
      <text>
        <r>
          <rPr>
            <b val="true"/>
            <sz val="10"/>
            <color rgb="FF000000"/>
            <rFont val="Tahoma"/>
            <family val="2"/>
          </rPr>
          <t xml:space="preserve">dcatalan:
</t>
        </r>
        <r>
          <rPr>
            <sz val="10"/>
            <color rgb="FF000000"/>
            <rFont val="Tahoma"/>
            <family val="2"/>
          </rPr>
          <t xml:space="preserve">(C ) Incremento de 36.609 ton a traves de certificaod nº 10.
 (T) Incremento de 100 ton a traves de certificado Nº 53.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61</xdr:colOff>
                <xdr:row>67</xdr:row>
                <xdr:rowOff>13</xdr:rowOff>
              </xdr:from>
              <xdr:to>
                <xdr:col>12</xdr:col>
                <xdr:colOff>21</xdr:colOff>
                <xdr:row>71</xdr:row>
                <xdr:rowOff>7</xdr:rowOff>
              </xdr:to>
            </anchor>
          </commentPr>
        </mc:Choice>
        <mc:Fallback/>
      </mc:AlternateContent>
    </comment>
    <comment ref="H72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200 ton a traves de certificado nº 30. 
T) Incremento de 66.423 ton a traves de certificado nº37.
(A) Incremento de 175 ton a traves de certificado nº 72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61</xdr:colOff>
                <xdr:row>71</xdr:row>
                <xdr:rowOff>12</xdr:rowOff>
              </xdr:from>
              <xdr:to>
                <xdr:col>11</xdr:col>
                <xdr:colOff>59</xdr:colOff>
                <xdr:row>75</xdr:row>
                <xdr:rowOff>7</xdr:rowOff>
              </xdr:to>
            </anchor>
          </commentPr>
        </mc:Choice>
        <mc:Fallback/>
      </mc:AlternateContent>
    </comment>
    <comment ref="H73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(C ) Cede 36.609 toneladas a traves de certificado nº10 (toda la cuota).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61</xdr:colOff>
                <xdr:row>72</xdr:row>
                <xdr:rowOff>12</xdr:rowOff>
              </xdr:from>
              <xdr:to>
                <xdr:col>11</xdr:col>
                <xdr:colOff>102</xdr:colOff>
                <xdr:row>76</xdr:row>
                <xdr:rowOff>7</xdr:rowOff>
              </xdr:to>
            </anchor>
          </commentPr>
        </mc:Choice>
        <mc:Fallback/>
      </mc:AlternateContent>
    </comment>
    <comment ref="H75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(T) Cede 60 ton a traves de certificado Nº 52. (T) Cede 100 ton a traves de certificado nº 53. (A) Cede 500 ton a traves de certificado nº60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61</xdr:colOff>
                <xdr:row>74</xdr:row>
                <xdr:rowOff>12</xdr:rowOff>
              </xdr:from>
              <xdr:to>
                <xdr:col>10</xdr:col>
                <xdr:colOff>97</xdr:colOff>
                <xdr:row>78</xdr:row>
                <xdr:rowOff>7</xdr:rowOff>
              </xdr:to>
            </anchor>
          </commentPr>
        </mc:Choice>
        <mc:Fallback/>
      </mc:AlternateContent>
    </comment>
    <comment ref="H76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118.294 ton a traves de certificado nº16. (A) cede 118.294 ton a traves de certificado nº17. (A) cede 118.294 ton a traves de certificado nº18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96</xdr:colOff>
                <xdr:row>75</xdr:row>
                <xdr:rowOff>12</xdr:rowOff>
              </xdr:from>
              <xdr:to>
                <xdr:col>10</xdr:col>
                <xdr:colOff>48</xdr:colOff>
                <xdr:row>79</xdr:row>
                <xdr:rowOff>7</xdr:rowOff>
              </xdr:to>
            </anchor>
          </commentPr>
        </mc:Choice>
        <mc:Fallback/>
      </mc:AlternateContent>
    </comment>
    <comment ref="H77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118.294 ton a traves de certificado nº17.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96</xdr:colOff>
                <xdr:row>76</xdr:row>
                <xdr:rowOff>12</xdr:rowOff>
              </xdr:from>
              <xdr:to>
                <xdr:col>10</xdr:col>
                <xdr:colOff>96</xdr:colOff>
                <xdr:row>80</xdr:row>
                <xdr:rowOff>7</xdr:rowOff>
              </xdr:to>
            </anchor>
          </commentPr>
        </mc:Choice>
        <mc:Fallback/>
      </mc:AlternateContent>
    </comment>
    <comment ref="H79" authorId="0">
      <text>
        <r>
          <rPr>
            <b val="true"/>
            <sz val="8"/>
            <color rgb="FF000000"/>
            <rFont val="Tahoma"/>
            <family val="2"/>
          </rPr>
          <t xml:space="preserve">dcatalan
</t>
        </r>
        <r>
          <rPr>
            <sz val="8"/>
            <color rgb="FF000000"/>
            <rFont val="Tahoma"/>
            <family val="2"/>
          </rPr>
          <t xml:space="preserve">(T) cede -66.423 ton a traves de certificado nº 37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61</xdr:colOff>
                <xdr:row>78</xdr:row>
                <xdr:rowOff>12</xdr:rowOff>
              </xdr:from>
              <xdr:to>
                <xdr:col>11</xdr:col>
                <xdr:colOff>14</xdr:colOff>
                <xdr:row>81</xdr:row>
                <xdr:rowOff>20</xdr:rowOff>
              </xdr:to>
            </anchor>
          </commentPr>
        </mc:Choice>
        <mc:Fallback/>
      </mc:AlternateContent>
    </comment>
    <comment ref="H80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291.601 ton a traves de certificado nº 15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96</xdr:colOff>
                <xdr:row>79</xdr:row>
                <xdr:rowOff>12</xdr:rowOff>
              </xdr:from>
              <xdr:to>
                <xdr:col>9</xdr:col>
                <xdr:colOff>48</xdr:colOff>
                <xdr:row>83</xdr:row>
                <xdr:rowOff>2</xdr:rowOff>
              </xdr:to>
            </anchor>
          </commentPr>
        </mc:Choice>
        <mc:Fallback/>
      </mc:AlternateContent>
    </comment>
    <comment ref="H81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Cede 175 ton a traves de certificado nº 72.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61</xdr:colOff>
                <xdr:row>80</xdr:row>
                <xdr:rowOff>15</xdr:rowOff>
              </xdr:from>
              <xdr:to>
                <xdr:col>10</xdr:col>
                <xdr:colOff>104</xdr:colOff>
                <xdr:row>84</xdr:row>
                <xdr:rowOff>2</xdr:rowOff>
              </xdr:to>
            </anchor>
          </commentPr>
        </mc:Choice>
        <mc:Fallback/>
      </mc:AlternateContent>
    </comment>
    <comment ref="H82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118.294 ton a traves de certificado nº18.
(A) Incremento de 9.393 ton a traves de certificado nº 61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61</xdr:colOff>
                <xdr:row>81</xdr:row>
                <xdr:rowOff>15</xdr:rowOff>
              </xdr:from>
              <xdr:to>
                <xdr:col>11</xdr:col>
                <xdr:colOff>52</xdr:colOff>
                <xdr:row>85</xdr:row>
                <xdr:rowOff>1</xdr:rowOff>
              </xdr:to>
            </anchor>
          </commentPr>
        </mc:Choice>
        <mc:Fallback/>
      </mc:AlternateContent>
    </comment>
    <comment ref="H83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(A) Incremento de 4.204 ton a traves de certificado nº 31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61</xdr:colOff>
                <xdr:row>82</xdr:row>
                <xdr:rowOff>11</xdr:rowOff>
              </xdr:from>
              <xdr:to>
                <xdr:col>11</xdr:col>
                <xdr:colOff>45</xdr:colOff>
                <xdr:row>86</xdr:row>
                <xdr:rowOff>10</xdr:rowOff>
              </xdr:to>
            </anchor>
          </commentPr>
        </mc:Choice>
        <mc:Fallback/>
      </mc:AlternateContent>
    </comment>
  </commentList>
</comments>
</file>

<file path=xl/comments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27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puede representar el 1% respecto a la especie objetivo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117</xdr:colOff>
                <xdr:row>28</xdr:row>
                <xdr:rowOff>11</xdr:rowOff>
              </xdr:from>
              <xdr:to>
                <xdr:col>2</xdr:col>
                <xdr:colOff>4</xdr:colOff>
                <xdr:row>32</xdr:row>
                <xdr:rowOff>6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<sst xmlns="http://schemas.openxmlformats.org/spreadsheetml/2006/main" count="511" uniqueCount="210">
  <si>
    <t xml:space="preserve">Informe </t>
  </si>
  <si>
    <t xml:space="preserve">Resumen LTP 2013</t>
  </si>
  <si>
    <t xml:space="preserve">Desde el 10 de Agosto al 31 de diciembre   2013</t>
  </si>
  <si>
    <t xml:space="preserve">Periodo LMC (desde el 10 de febrero hasta el 9 de agosto del 2013)</t>
  </si>
  <si>
    <t xml:space="preserve">Periodo LTP ( desde el 10 de agosto hasta el 31 de diciembre de 2013</t>
  </si>
  <si>
    <t xml:space="preserve">Unidad de Pesquería</t>
  </si>
  <si>
    <t xml:space="preserve">Zona</t>
  </si>
  <si>
    <t xml:space="preserve">Cuota LMC según D.Ex 198  y sus modificaciones.</t>
  </si>
  <si>
    <t xml:space="preserve">Cesiones o traspasos </t>
  </si>
  <si>
    <t xml:space="preserve">Cuota final </t>
  </si>
  <si>
    <t xml:space="preserve">Desembarque (t)</t>
  </si>
  <si>
    <t xml:space="preserve">Cuota LTP (Remanente LMC R.Ex. Nº 2342 modificada por Res Nº2939) </t>
  </si>
  <si>
    <t xml:space="preserve">Arriendos u otro</t>
  </si>
  <si>
    <t xml:space="preserve">Incremento Jurel  Res Nº 3241. Incremento anchoveta y Sardina española Res Nº 3365</t>
  </si>
  <si>
    <t xml:space="preserve">Cuota Final </t>
  </si>
  <si>
    <t xml:space="preserve">Desembarque total (t)</t>
  </si>
  <si>
    <t xml:space="preserve">Aguas internacionales</t>
  </si>
  <si>
    <t xml:space="preserve">Saldo total (t)</t>
  </si>
  <si>
    <t xml:space="preserve">% LTP consumido 2013</t>
  </si>
  <si>
    <t xml:space="preserve">% total consumido </t>
  </si>
  <si>
    <t xml:space="preserve">Anchoveta</t>
  </si>
  <si>
    <t xml:space="preserve">XV- I - II</t>
  </si>
  <si>
    <t xml:space="preserve">III - IV</t>
  </si>
  <si>
    <t xml:space="preserve">V - X</t>
  </si>
  <si>
    <t xml:space="preserve">Camarón nailon</t>
  </si>
  <si>
    <t xml:space="preserve">II-VIII</t>
  </si>
  <si>
    <t xml:space="preserve">Congrio dorado</t>
  </si>
  <si>
    <t xml:space="preserve">NE F + H</t>
  </si>
  <si>
    <t xml:space="preserve"> SE</t>
  </si>
  <si>
    <t xml:space="preserve">Jurel</t>
  </si>
  <si>
    <t xml:space="preserve">XV - I - II</t>
  </si>
  <si>
    <t xml:space="preserve">V - IX</t>
  </si>
  <si>
    <t xml:space="preserve">XIV - X</t>
  </si>
  <si>
    <t xml:space="preserve">Langostino amarillo</t>
  </si>
  <si>
    <t xml:space="preserve">III-IV</t>
  </si>
  <si>
    <t xml:space="preserve">Langostino colorado</t>
  </si>
  <si>
    <t xml:space="preserve">I -IV</t>
  </si>
  <si>
    <t xml:space="preserve">Merluza común</t>
  </si>
  <si>
    <t xml:space="preserve">IV- 41º 28, 6</t>
  </si>
  <si>
    <t xml:space="preserve">Merluza de cola</t>
  </si>
  <si>
    <t xml:space="preserve">V -X </t>
  </si>
  <si>
    <t xml:space="preserve">XI -XII</t>
  </si>
  <si>
    <t xml:space="preserve">Merluza de tres aletas</t>
  </si>
  <si>
    <t xml:space="preserve">41º28,6 - XII</t>
  </si>
  <si>
    <t xml:space="preserve">Merluza del sur</t>
  </si>
  <si>
    <t xml:space="preserve">Sardina común</t>
  </si>
  <si>
    <t xml:space="preserve">V -X</t>
  </si>
  <si>
    <t xml:space="preserve">Sardina española</t>
  </si>
  <si>
    <t xml:space="preserve">Nota: desembarque aguas internacionales Jurel desde III a X regiones, esta incorporado en la columna de desembarque total, solo se incorpora el dato para tenerlo de referencia</t>
  </si>
  <si>
    <r>
      <rPr>
        <b val="true"/>
        <sz val="12"/>
        <rFont val="Calibri"/>
        <family val="2"/>
      </rPr>
      <t xml:space="preserve">CONTROL DE CUOTAS RECURSOS </t>
    </r>
    <r>
      <rPr>
        <b val="true"/>
        <sz val="12"/>
        <color rgb="FFFFFF00"/>
        <rFont val="Calibri"/>
        <family val="2"/>
      </rPr>
      <t xml:space="preserve">PELÁGICOS</t>
    </r>
    <r>
      <rPr>
        <b val="true"/>
        <sz val="12"/>
        <rFont val="Calibri"/>
        <family val="2"/>
      </rPr>
      <t xml:space="preserve">, LMC Y LTP, AL 31 DE DICIEMBRE DE 2013</t>
    </r>
  </si>
  <si>
    <t xml:space="preserve">Control cuota LTP (desde el 10 de agosto hasta el 31 de diciembre del 2013)</t>
  </si>
  <si>
    <t xml:space="preserve">Cuota  (Ton)</t>
  </si>
  <si>
    <t xml:space="preserve">Operación</t>
  </si>
  <si>
    <t xml:space="preserve">Unidad de pesquería </t>
  </si>
  <si>
    <t xml:space="preserve">Armador </t>
  </si>
  <si>
    <t xml:space="preserve">Arriendos u otro </t>
  </si>
  <si>
    <t xml:space="preserve">Saldo (t)</t>
  </si>
  <si>
    <t xml:space="preserve">% consumido</t>
  </si>
  <si>
    <t xml:space="preserve">Anchoveta XV - I - II</t>
  </si>
  <si>
    <t xml:space="preserve">Arica Seafood Producer S.A.</t>
  </si>
  <si>
    <t xml:space="preserve">Camanchaca S.A. Cia. Pesq.</t>
  </si>
  <si>
    <t xml:space="preserve">Corpesca S.A.</t>
  </si>
  <si>
    <t xml:space="preserve">Orizón S.A</t>
  </si>
  <si>
    <t xml:space="preserve">Anchoveta III - IV</t>
  </si>
  <si>
    <t xml:space="preserve">Alimentos Marinos S.A., </t>
  </si>
  <si>
    <t xml:space="preserve">Bahia Caldera S.A. Pesq.</t>
  </si>
  <si>
    <t xml:space="preserve">Blumar S.A.</t>
  </si>
  <si>
    <t xml:space="preserve">Camanchaca S.A. Cia. Pesq. </t>
  </si>
  <si>
    <t xml:space="preserve">Corpesca S.A., </t>
  </si>
  <si>
    <t xml:space="preserve">Inversiones Pesqueras S.A.</t>
  </si>
  <si>
    <t xml:space="preserve">Orizón S.A.</t>
  </si>
  <si>
    <t xml:space="preserve">Camanchaca Pesca Sur S.A.</t>
  </si>
  <si>
    <t xml:space="preserve">Anchoveta V-X</t>
  </si>
  <si>
    <t xml:space="preserve">Alimentos Marinos S.A.</t>
  </si>
  <si>
    <t xml:space="preserve">Berta Elena Ltda. Soc. Pesq.</t>
  </si>
  <si>
    <t xml:space="preserve">Centro Sur S.A. Pesq.</t>
  </si>
  <si>
    <t xml:space="preserve">Foodcorp S.A.</t>
  </si>
  <si>
    <t xml:space="preserve">Genmar Ltda. Soc. Pesq. </t>
  </si>
  <si>
    <t xml:space="preserve">Inostroza Concha Pelantaro</t>
  </si>
  <si>
    <t xml:space="preserve">Inversiones Pesqueras S.A. </t>
  </si>
  <si>
    <t xml:space="preserve">Isla Quihua S.A. Pesq.</t>
  </si>
  <si>
    <t xml:space="preserve">Landes S.A. Soc. Pesq.</t>
  </si>
  <si>
    <t xml:space="preserve">Lota Protein S.A.</t>
  </si>
  <si>
    <t xml:space="preserve">Mar profundo S.A. Soc. Pesq.</t>
  </si>
  <si>
    <t xml:space="preserve">Salmoalimentos S.A. </t>
  </si>
  <si>
    <t xml:space="preserve">San Antonio S.A. Pesq. </t>
  </si>
  <si>
    <t xml:space="preserve">Jurel XV-I-II</t>
  </si>
  <si>
    <t xml:space="preserve">Corpesca S.A. </t>
  </si>
  <si>
    <t xml:space="preserve">Jurel III - IV</t>
  </si>
  <si>
    <t xml:space="preserve">Arica Seafood Producer S.A</t>
  </si>
  <si>
    <t xml:space="preserve">Camanchaca S.A. CIA. Pesq.</t>
  </si>
  <si>
    <t xml:space="preserve">Isladamas S.A. Pesq.</t>
  </si>
  <si>
    <t xml:space="preserve">Jurel V-IX</t>
  </si>
  <si>
    <t xml:space="preserve">se corrige por desembarques hechos en el 2014 con capturas del 2013</t>
  </si>
  <si>
    <t xml:space="preserve">Centro Sur S.A. Pesq., y </t>
  </si>
  <si>
    <t xml:space="preserve">Da Venezia Retamales Antonio. </t>
  </si>
  <si>
    <t xml:space="preserve">Enfemar Ltda. Soc. Pesq.</t>
  </si>
  <si>
    <t xml:space="preserve">Lota protein S.A.</t>
  </si>
  <si>
    <t xml:space="preserve">Nordio Ltda. Soc.</t>
  </si>
  <si>
    <t xml:space="preserve">Salmoalimentos S.A.</t>
  </si>
  <si>
    <t xml:space="preserve">San Antonio S.A. Pesq.</t>
  </si>
  <si>
    <t xml:space="preserve">Sur Austral S.A. Pesq.</t>
  </si>
  <si>
    <t xml:space="preserve">Jurel XIV-X</t>
  </si>
  <si>
    <t xml:space="preserve">Bio Bio S.A. Pesq.</t>
  </si>
  <si>
    <t xml:space="preserve">Sardina común V-X</t>
  </si>
  <si>
    <t xml:space="preserve">Mar Profundo S.A. Soc. Pesq</t>
  </si>
  <si>
    <t xml:space="preserve">Sardina española XV - I - II</t>
  </si>
  <si>
    <t xml:space="preserve">Arica Seafood Producer  S.A.</t>
  </si>
  <si>
    <t xml:space="preserve">Sardina española III - IV</t>
  </si>
  <si>
    <r>
      <rPr>
        <b val="true"/>
        <sz val="12"/>
        <rFont val="Calibri"/>
        <family val="2"/>
      </rPr>
      <t xml:space="preserve">CONTROL DE CUOTAS RECURSOS </t>
    </r>
    <r>
      <rPr>
        <b val="true"/>
        <sz val="12"/>
        <color rgb="FFFFFF00"/>
        <rFont val="Calibri"/>
        <family val="2"/>
      </rPr>
      <t xml:space="preserve">CRUSTÁCEOS</t>
    </r>
    <r>
      <rPr>
        <b val="true"/>
        <sz val="12"/>
        <rFont val="Calibri"/>
        <family val="2"/>
      </rPr>
      <t xml:space="preserve">, LMC Y LTP, AL 31 DE DICIEMBRE DE 2013</t>
    </r>
  </si>
  <si>
    <t xml:space="preserve">Armador o Asociatividad </t>
  </si>
  <si>
    <t xml:space="preserve">Cuota LTP (Remanente LMC R.Ex. Nº 2342) </t>
  </si>
  <si>
    <t xml:space="preserve">Camarón nailon II-VIII</t>
  </si>
  <si>
    <t xml:space="preserve">Amancay Ltda. Pesq.</t>
  </si>
  <si>
    <t xml:space="preserve">Antarctic Seafood S.A.</t>
  </si>
  <si>
    <t xml:space="preserve">Baycic Baycic Maria</t>
  </si>
  <si>
    <t xml:space="preserve">Bracpesca S.A</t>
  </si>
  <si>
    <t xml:space="preserve">Concepción  Ltda. Pesq.</t>
  </si>
  <si>
    <t xml:space="preserve">Costa Brava Ltda. Pesq.</t>
  </si>
  <si>
    <t xml:space="preserve">Gonzalez Rivera Marcelino</t>
  </si>
  <si>
    <t xml:space="preserve">Grimar S.A. Pesq.</t>
  </si>
  <si>
    <t xml:space="preserve">Morozin Baycic Maria Ana</t>
  </si>
  <si>
    <t xml:space="preserve">Morozin Yurecic Mario</t>
  </si>
  <si>
    <t xml:space="preserve">Quintero Ltda. Soc. Pesq.</t>
  </si>
  <si>
    <t xml:space="preserve">Quintero S.A., Pesquera</t>
  </si>
  <si>
    <t xml:space="preserve">Rubio y Mauad Ltda.</t>
  </si>
  <si>
    <t xml:space="preserve">Sunrise S.A. Pesq.</t>
  </si>
  <si>
    <t xml:space="preserve">Antonio Cruz Cordova Nakouzi</t>
  </si>
  <si>
    <t xml:space="preserve">Langostino amarillo      III-IV</t>
  </si>
  <si>
    <t xml:space="preserve">Antarctic Seafood S.A</t>
  </si>
  <si>
    <t xml:space="preserve">Grimar S.A. Pesq. </t>
  </si>
  <si>
    <t xml:space="preserve">Mororzin Yurecic Mario</t>
  </si>
  <si>
    <t xml:space="preserve">Quinteros S.A. Pesq.</t>
  </si>
  <si>
    <t xml:space="preserve">Langostino colorado   XV- IV</t>
  </si>
  <si>
    <t xml:space="preserve">Isladamas S.A. </t>
  </si>
  <si>
    <r>
      <rPr>
        <b val="true"/>
        <sz val="12"/>
        <rFont val="Calibri"/>
        <family val="2"/>
      </rPr>
      <t xml:space="preserve">CONTROL DE CUOTAS RECURSOS </t>
    </r>
    <r>
      <rPr>
        <b val="true"/>
        <sz val="12"/>
        <color rgb="FFFFFF00"/>
        <rFont val="Calibri"/>
        <family val="2"/>
      </rPr>
      <t xml:space="preserve">DEMERSALES,</t>
    </r>
    <r>
      <rPr>
        <b val="true"/>
        <sz val="12"/>
        <rFont val="Calibri"/>
        <family val="2"/>
      </rPr>
      <t xml:space="preserve"> LMC Y LTP, AL 31 DE DICIEMBRE DE 2013</t>
    </r>
  </si>
  <si>
    <t xml:space="preserve">Arriendos, cesión, traspaso u otro.</t>
  </si>
  <si>
    <t xml:space="preserve">Congrio dorado NE H/F (41º28,6 LS hasta 47º)</t>
  </si>
  <si>
    <t xml:space="preserve">Emdepes S.A.</t>
  </si>
  <si>
    <t xml:space="preserve">Pesca Chile S.A.</t>
  </si>
  <si>
    <t xml:space="preserve">Pesca Cisne S.A</t>
  </si>
  <si>
    <t xml:space="preserve">Grimar S.A.Pesq.</t>
  </si>
  <si>
    <t xml:space="preserve">Congrio dorado SE (47º hasta 57º)</t>
  </si>
  <si>
    <t xml:space="preserve">Emdepes S.A.,  </t>
  </si>
  <si>
    <t xml:space="preserve">Merluza del sur NE F/H (41º28,6 LS al 47º LS)</t>
  </si>
  <si>
    <t xml:space="preserve">Pesca Cisne S.A.</t>
  </si>
  <si>
    <t xml:space="preserve">Sur Austral S.A. Pesq. </t>
  </si>
  <si>
    <t xml:space="preserve">Merluza Del Sur SE Fabrica (47º LS al 57º LS)</t>
  </si>
  <si>
    <t xml:space="preserve">Pesca Chile S.A. </t>
  </si>
  <si>
    <t xml:space="preserve">Merluza tres aletas NE/SE (41º28,6 LS hasta 57º)</t>
  </si>
  <si>
    <t xml:space="preserve">Merluza cola V-X</t>
  </si>
  <si>
    <t xml:space="preserve">Bio Bio S.A.Pesq.</t>
  </si>
  <si>
    <t xml:space="preserve">Camanchaca S.A. CIA. Pesq. </t>
  </si>
  <si>
    <t xml:space="preserve">Inostroza Concha Pelantaro.</t>
  </si>
  <si>
    <t xml:space="preserve">Landes S.A. Pesq.</t>
  </si>
  <si>
    <t xml:space="preserve">Mar Profundo S.A. Soc. Pesq.</t>
  </si>
  <si>
    <t xml:space="preserve">Merluza de Cola XI-XII</t>
  </si>
  <si>
    <t xml:space="preserve">Merluza común IV a 41°28,6'LS</t>
  </si>
  <si>
    <t xml:space="preserve">Alvarez Armijo Jaime</t>
  </si>
  <si>
    <t xml:space="preserve">Bio Bio S.A.</t>
  </si>
  <si>
    <t xml:space="preserve">Blumar S.A. </t>
  </si>
  <si>
    <t xml:space="preserve">Concepción Ltda. Pesq. </t>
  </si>
  <si>
    <t xml:space="preserve">Da Venezia Retamales Antonio</t>
  </si>
  <si>
    <t xml:space="preserve">Enfemar Ltda. Soc. Pesq. </t>
  </si>
  <si>
    <t xml:space="preserve">Genmar Ltda. Soc. Pesq.</t>
  </si>
  <si>
    <t xml:space="preserve">Gonzalez Silva Marcelino.</t>
  </si>
  <si>
    <t xml:space="preserve">Leucoton Ltda. Soc Pesq.</t>
  </si>
  <si>
    <t xml:space="preserve">Pessur Ltda. Soc. Pesq.</t>
  </si>
  <si>
    <t xml:space="preserve">Sur Austral S.A. Pesq</t>
  </si>
  <si>
    <t xml:space="preserve">Pesquera Antonio Cruz Cordoba Nakouzi EIRL</t>
  </si>
  <si>
    <t xml:space="preserve">Isla Quihua S.A</t>
  </si>
  <si>
    <t xml:space="preserve">Al 31 de diciembre de 2013</t>
  </si>
  <si>
    <t xml:space="preserve">Resolución Nº 1526/2013:  Pesca de Investigación vigente entre el 27.06.13 y 30.11.13</t>
  </si>
  <si>
    <t xml:space="preserve">Imputa a reserva de Inv. </t>
  </si>
  <si>
    <t xml:space="preserve">Cuota (ton)</t>
  </si>
  <si>
    <t xml:space="preserve">Desembarque (ton)</t>
  </si>
  <si>
    <t xml:space="preserve">Saldo</t>
  </si>
  <si>
    <t xml:space="preserve">Embarcaciones autorizadas </t>
  </si>
  <si>
    <t xml:space="preserve">D.Ex. Nº 1336/12</t>
  </si>
  <si>
    <t xml:space="preserve">Don Jose Miguel</t>
  </si>
  <si>
    <t xml:space="preserve">V-VIII</t>
  </si>
  <si>
    <t xml:space="preserve">D.Ex. Nº 1189/12</t>
  </si>
  <si>
    <t xml:space="preserve">Foche</t>
  </si>
  <si>
    <t xml:space="preserve">II-IV</t>
  </si>
  <si>
    <t xml:space="preserve">Amancay I </t>
  </si>
  <si>
    <t xml:space="preserve">D.Ex. Nº 1188/12</t>
  </si>
  <si>
    <t xml:space="preserve">Isla Orcas</t>
  </si>
  <si>
    <t xml:space="preserve">Merluza Común</t>
  </si>
  <si>
    <t xml:space="preserve">IV-VIII</t>
  </si>
  <si>
    <t xml:space="preserve">Camaron nailón</t>
  </si>
  <si>
    <t xml:space="preserve">Resolución Nº 2254/2013:  Pesca de Investigación vigente entre el 19.08.13 y 31.08.13</t>
  </si>
  <si>
    <t xml:space="preserve">Bacalao de profundidad</t>
  </si>
  <si>
    <t xml:space="preserve">47º LS-XII</t>
  </si>
  <si>
    <t xml:space="preserve">D.Ex. Nº 1237/12</t>
  </si>
  <si>
    <t xml:space="preserve">Globalpesca II</t>
  </si>
  <si>
    <t xml:space="preserve">Resolución Nº 2582/2013:  Pesca de Investigación vigente entre el 08.10.13 y 31.12.13</t>
  </si>
  <si>
    <t xml:space="preserve">Caracter</t>
  </si>
  <si>
    <t xml:space="preserve">D.Ex. Nº 195/13</t>
  </si>
  <si>
    <t xml:space="preserve">Titular</t>
  </si>
  <si>
    <t xml:space="preserve">Suplente</t>
  </si>
  <si>
    <t xml:space="preserve">Cuota Global (D.Ex Nº 195) y sus modificaciones (D.Ex. Nº 427, Nº 579, Nº 846, Nº 1198 y Nº 1058</t>
  </si>
  <si>
    <t xml:space="preserve">Cesiones o traspasos periodo LMC </t>
  </si>
  <si>
    <t xml:space="preserve">Arriendos u otro, periodo LTP</t>
  </si>
  <si>
    <t xml:space="preserve">Cuota Final</t>
  </si>
  <si>
    <t xml:space="preserve">Desembarques Industriales entre el 1 y el 31 de enero de 2013</t>
  </si>
  <si>
    <t xml:space="preserve">Desembarques Industriales entre el 10 de febrero y el 31 de diciembre de 2013</t>
  </si>
  <si>
    <t xml:space="preserve">% Consumido de la cuota global sin considerar periodo entre el 1 y el 9 de febrero</t>
  </si>
  <si>
    <t xml:space="preserve">Desembarques entre el 1 y el 9 de febrero</t>
  </si>
  <si>
    <t xml:space="preserve">% Consumido de la cuota global considerando desembarques industriales de todo el 2013</t>
  </si>
  <si>
    <t xml:space="preserve">√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</si>
</sst>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_-* #,##0.00_-;\-* #,##0.00_-;_-* \-??_-;_-@_-"/>
    <numFmt numFmtId="166" formatCode="0%"/>
    <numFmt numFmtId="167" formatCode="d\-mmm\-yy"/>
    <numFmt numFmtId="168" formatCode="#,##0"/>
    <numFmt numFmtId="169" formatCode="#,##0.000"/>
    <numFmt numFmtId="170" formatCode="0.00%"/>
    <numFmt numFmtId="171" formatCode="#,##0.00"/>
    <numFmt numFmtId="172" formatCode="[$-409]m/d/yyyy"/>
    <numFmt numFmtId="173" formatCode="0.000"/>
    <numFmt numFmtId="174" formatCode="0.00_ ;[RED]\-0.00\ "/>
    <numFmt numFmtId="175" formatCode="0.000_ ;[RED]\-0.000\ "/>
  </numFmts>
  <fonts count="34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11"/>
      <color rgb="FF000000"/>
      <name val="gobCL"/>
      <family val="2"/>
    </font>
    <font>
      <sz val="10"/>
      <color rgb="FF000000"/>
      <name val="Arial"/>
      <family val="2"/>
    </font>
    <font>
      <sz val="10"/>
      <name val="Calibri"/>
      <family val="2"/>
    </font>
    <font>
      <b val="true"/>
      <sz val="10"/>
      <name val="Calibri"/>
      <family val="2"/>
    </font>
    <font>
      <b val="true"/>
      <sz val="12"/>
      <name val="Calibri"/>
      <family val="2"/>
    </font>
    <font>
      <b val="true"/>
      <sz val="10"/>
      <color rgb="FF000000"/>
      <name val="Calibri"/>
      <family val="2"/>
    </font>
    <font>
      <sz val="10"/>
      <color rgb="FFFF0000"/>
      <name val="Calibri"/>
      <family val="2"/>
    </font>
    <font>
      <sz val="10"/>
      <color rgb="FF00CCFF"/>
      <name val="Calibri"/>
      <family val="2"/>
    </font>
    <font>
      <sz val="10"/>
      <color rgb="FF000000"/>
      <name val="Calibri"/>
      <family val="2"/>
    </font>
    <font>
      <b val="true"/>
      <sz val="12"/>
      <color rgb="FFFFFF00"/>
      <name val="Calibri"/>
      <family val="2"/>
    </font>
    <font>
      <sz val="12"/>
      <color rgb="FF000000"/>
      <name val="Calibri"/>
      <family val="2"/>
    </font>
    <font>
      <b val="true"/>
      <sz val="14"/>
      <color rgb="FF000000"/>
      <name val="Calibri"/>
      <family val="2"/>
    </font>
    <font>
      <b val="true"/>
      <sz val="12"/>
      <color rgb="FF000000"/>
      <name val="Calibri"/>
      <family val="2"/>
    </font>
    <font>
      <sz val="12"/>
      <name val="Calibri"/>
      <family val="2"/>
    </font>
    <font>
      <sz val="12"/>
      <color rgb="FFFF0000"/>
      <name val="Calibri"/>
      <family val="2"/>
    </font>
    <font>
      <sz val="12"/>
      <color rgb="FF00CCFF"/>
      <name val="Calibri"/>
      <family val="2"/>
    </font>
    <font>
      <sz val="11"/>
      <name val="Calibri"/>
      <family val="2"/>
    </font>
    <font>
      <b val="true"/>
      <sz val="8"/>
      <color rgb="FF000000"/>
      <name val="Tahoma"/>
      <family val="2"/>
    </font>
    <font>
      <sz val="8"/>
      <color rgb="FF000000"/>
      <name val="Tahoma"/>
      <family val="2"/>
    </font>
    <font>
      <b val="true"/>
      <sz val="10"/>
      <color rgb="FF000000"/>
      <name val="Tahoma"/>
      <family val="2"/>
    </font>
    <font>
      <sz val="10"/>
      <color rgb="FF000000"/>
      <name val="Tahoma"/>
      <family val="2"/>
    </font>
    <font>
      <b val="true"/>
      <sz val="11"/>
      <color rgb="FF000000"/>
      <name val="Calibri"/>
      <family val="2"/>
    </font>
    <font>
      <b val="true"/>
      <sz val="10"/>
      <color rgb="FF00CCFF"/>
      <name val="Calibri"/>
      <family val="2"/>
    </font>
    <font>
      <sz val="11"/>
      <color rgb="FFFF0000"/>
      <name val="Calibri"/>
      <family val="2"/>
    </font>
    <font>
      <b val="true"/>
      <sz val="10"/>
      <color rgb="FFFF0000"/>
      <name val="Calibri"/>
      <family val="2"/>
    </font>
    <font>
      <b val="true"/>
      <sz val="12"/>
      <color rgb="FF000000"/>
      <name val="Tahoma"/>
      <family val="2"/>
    </font>
    <font>
      <sz val="12"/>
      <color rgb="FF000000"/>
      <name val="Tahoma"/>
      <family val="2"/>
    </font>
    <font>
      <b val="true"/>
      <sz val="10"/>
      <color rgb="FFFFFFFF"/>
      <name val="Calibri"/>
      <family val="2"/>
    </font>
    <font>
      <sz val="10"/>
      <color rgb="FF0066CC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CC00"/>
      </patternFill>
    </fill>
    <fill>
      <patternFill patternType="solid">
        <fgColor rgb="FFFF99CC"/>
        <bgColor rgb="FFFF8080"/>
      </patternFill>
    </fill>
    <fill>
      <patternFill patternType="solid">
        <fgColor rgb="FFCCFFFF"/>
        <bgColor rgb="FFCCFFFF"/>
      </patternFill>
    </fill>
    <fill>
      <patternFill patternType="solid">
        <fgColor rgb="FFC0C0C0"/>
        <bgColor rgb="FFCCCCFF"/>
      </patternFill>
    </fill>
    <fill>
      <patternFill patternType="solid">
        <fgColor rgb="FFFFCC00"/>
        <bgColor rgb="FFFFFF00"/>
      </patternFill>
    </fill>
    <fill>
      <patternFill patternType="solid">
        <fgColor rgb="FFCC99FF"/>
        <bgColor rgb="FF9999FF"/>
      </patternFill>
    </fill>
    <fill>
      <patternFill patternType="solid">
        <fgColor rgb="FF969696"/>
        <bgColor rgb="FF808080"/>
      </patternFill>
    </fill>
    <fill>
      <patternFill patternType="solid">
        <fgColor rgb="FFFF00FF"/>
        <bgColor rgb="FFFF00FF"/>
      </patternFill>
    </fill>
    <fill>
      <patternFill patternType="solid">
        <fgColor rgb="FF00CCFF"/>
        <bgColor rgb="FF33CCCC"/>
      </patternFill>
    </fill>
    <fill>
      <patternFill patternType="solid">
        <fgColor rgb="FF339966"/>
        <bgColor rgb="FF008080"/>
      </patternFill>
    </fill>
    <fill>
      <patternFill patternType="solid">
        <fgColor rgb="FFCCFFCC"/>
        <bgColor rgb="FFCCFFFF"/>
      </patternFill>
    </fill>
  </fills>
  <borders count="6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>
        <color rgb="FFC0C0C0"/>
      </left>
      <right style="hair">
        <color rgb="FFC0C0C0"/>
      </right>
      <top style="thin"/>
      <bottom style="hair">
        <color rgb="FFC0C0C0"/>
      </bottom>
      <diagonal/>
    </border>
    <border diagonalUp="false" diagonalDown="false">
      <left style="hair">
        <color rgb="FFC0C0C0"/>
      </left>
      <right style="hair">
        <color rgb="FFC0C0C0"/>
      </right>
      <top style="thin"/>
      <bottom style="hair">
        <color rgb="FFC0C0C0"/>
      </bottom>
      <diagonal/>
    </border>
    <border diagonalUp="false" diagonalDown="false">
      <left style="hair">
        <color rgb="FFC0C0C0"/>
      </left>
      <right/>
      <top style="thin"/>
      <bottom style="hair">
        <color rgb="FFC0C0C0"/>
      </bottom>
      <diagonal/>
    </border>
    <border diagonalUp="false" diagonalDown="false">
      <left/>
      <right style="hair">
        <color rgb="FFC0C0C0"/>
      </right>
      <top style="thin"/>
      <bottom style="hair">
        <color rgb="FFC0C0C0"/>
      </bottom>
      <diagonal/>
    </border>
    <border diagonalUp="false" diagonalDown="false">
      <left/>
      <right/>
      <top style="thin"/>
      <bottom style="hair">
        <color rgb="FFC0C0C0"/>
      </bottom>
      <diagonal/>
    </border>
    <border diagonalUp="false" diagonalDown="false">
      <left/>
      <right style="hair"/>
      <top/>
      <bottom style="hair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/>
      <top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 diagonalUp="false" diagonalDown="false"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 diagonalUp="false" diagonalDown="false">
      <left style="hair">
        <color rgb="FFC0C0C0"/>
      </left>
      <right style="hair">
        <color rgb="FFC0C0C0"/>
      </right>
      <top/>
      <bottom style="hair"/>
      <diagonal/>
    </border>
    <border diagonalUp="false" diagonalDown="false">
      <left style="hair">
        <color rgb="FFC0C0C0"/>
      </left>
      <right/>
      <top style="hair">
        <color rgb="FFC0C0C0"/>
      </top>
      <bottom style="hair">
        <color rgb="FFC0C0C0"/>
      </bottom>
      <diagonal/>
    </border>
    <border diagonalUp="false" diagonalDown="false">
      <left/>
      <right/>
      <top style="hair">
        <color rgb="FFC0C0C0"/>
      </top>
      <bottom style="hair">
        <color rgb="FFC0C0C0"/>
      </bottom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>
        <color rgb="FFC0C0C0"/>
      </left>
      <right style="hair">
        <color rgb="FFC0C0C0"/>
      </right>
      <top style="hair"/>
      <bottom style="hair"/>
      <diagonal/>
    </border>
    <border diagonalUp="false" diagonalDown="false">
      <left style="hair">
        <color rgb="FFC0C0C0"/>
      </left>
      <right style="hair">
        <color rgb="FFC0C0C0"/>
      </right>
      <top/>
      <bottom/>
      <diagonal/>
    </border>
    <border diagonalUp="false" diagonalDown="false">
      <left style="hair">
        <color rgb="FFC0C0C0"/>
      </left>
      <right style="hair">
        <color rgb="FFC0C0C0"/>
      </right>
      <top style="hair">
        <color rgb="FFC0C0C0"/>
      </top>
      <bottom/>
      <diagonal/>
    </border>
    <border diagonalUp="false" diagonalDown="false">
      <left style="hair">
        <color rgb="FFC0C0C0"/>
      </left>
      <right style="hair">
        <color rgb="FFC0C0C0"/>
      </right>
      <top style="hair"/>
      <bottom/>
      <diagonal/>
    </border>
    <border diagonalUp="false" diagonalDown="false">
      <left style="hair">
        <color rgb="FFC0C0C0"/>
      </left>
      <right style="hair">
        <color rgb="FFC0C0C0"/>
      </right>
      <top style="hair"/>
      <bottom style="hair">
        <color rgb="FFC0C0C0"/>
      </bottom>
      <diagonal/>
    </border>
    <border diagonalUp="false" diagonalDown="false">
      <left style="hair">
        <color rgb="FFC0C0C0"/>
      </left>
      <right style="hair"/>
      <top style="hair"/>
      <bottom style="hair"/>
      <diagonal/>
    </border>
    <border diagonalUp="false" diagonalDown="false">
      <left/>
      <right style="hair">
        <color rgb="FFC0C0C0"/>
      </right>
      <top style="hair">
        <color rgb="FFC0C0C0"/>
      </top>
      <bottom style="hair">
        <color rgb="FFC0C0C0"/>
      </bottom>
      <diagonal/>
    </border>
    <border diagonalUp="false" diagonalDown="false">
      <left style="thin">
        <color rgb="FFC0C0C0"/>
      </left>
      <right style="hair">
        <color rgb="FFC0C0C0"/>
      </right>
      <top style="hair">
        <color rgb="FFC0C0C0"/>
      </top>
      <bottom style="thin"/>
      <diagonal/>
    </border>
    <border diagonalUp="false" diagonalDown="false">
      <left style="hair">
        <color rgb="FFC0C0C0"/>
      </left>
      <right style="hair">
        <color rgb="FFC0C0C0"/>
      </right>
      <top style="hair">
        <color rgb="FFC0C0C0"/>
      </top>
      <bottom style="thin"/>
      <diagonal/>
    </border>
    <border diagonalUp="false" diagonalDown="false">
      <left style="hair">
        <color rgb="FFC0C0C0"/>
      </left>
      <right/>
      <top style="hair">
        <color rgb="FFC0C0C0"/>
      </top>
      <bottom style="thin"/>
      <diagonal/>
    </border>
    <border diagonalUp="false" diagonalDown="false">
      <left/>
      <right/>
      <top style="hair">
        <color rgb="FFC0C0C0"/>
      </top>
      <bottom style="thin"/>
      <diagonal/>
    </border>
    <border diagonalUp="false" diagonalDown="false">
      <left/>
      <right style="hair"/>
      <top style="hair"/>
      <bottom style="thin"/>
      <diagonal/>
    </border>
    <border diagonalUp="false" diagonalDown="false">
      <left style="thin">
        <color rgb="FFC0C0C0"/>
      </left>
      <right style="hair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3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</cellStyleXfs>
  <cellXfs count="5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5" xfId="57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5" xfId="59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2" borderId="15" xfId="62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7" fillId="4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2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2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2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3" fillId="2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0" xfId="6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2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2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7" fillId="2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" fillId="2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2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5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5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5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5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5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5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5" borderId="15" xfId="62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7" fillId="5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5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" fillId="5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2" fillId="2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2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2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2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2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3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6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5" xfId="57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57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36" xfId="57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37" xfId="57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38" xfId="57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7" xfId="57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39" xfId="57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7" xfId="57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7" xfId="59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7" xfId="60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4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41" xfId="68" applyFont="true" applyBorder="true" applyAlignment="true" applyProtection="false">
      <alignment horizontal="general" vertical="center" textRotation="0" wrapText="true" indent="0" shrinkToFit="true"/>
      <protection locked="true" hidden="false"/>
    </xf>
    <xf numFmtId="173" fontId="15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41" xfId="68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73" fontId="18" fillId="0" borderId="41" xfId="68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73" fontId="15" fillId="7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5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9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5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5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7" borderId="5" xfId="68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3" fontId="1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5" xfId="6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8" fillId="0" borderId="5" xfId="68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73" fontId="15" fillId="7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8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5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59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9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7" borderId="7" xfId="68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8" borderId="4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5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8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5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5" fillId="8" borderId="4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41" xfId="61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41" xfId="61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8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7" borderId="5" xfId="61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5" xfId="61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5" xfId="61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47" xfId="61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47" xfId="61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5" fillId="7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5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8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5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5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6" borderId="4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5" xfId="65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5" xfId="6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5" xfId="6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5" xfId="6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5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8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8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7" borderId="47" xfId="65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47" xfId="6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47" xfId="6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50" xfId="66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41" xfId="6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5" fillId="7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5" fillId="0" borderId="5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5" fillId="0" borderId="5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7" borderId="38" xfId="66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5" xfId="6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5" xfId="6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5" fillId="7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5" fillId="0" borderId="5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9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9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5" fillId="9" borderId="5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7" borderId="37" xfId="66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3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5" fillId="0" borderId="5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7" borderId="47" xfId="66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47" xfId="6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47" xfId="6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5" fillId="7" borderId="5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5" fillId="0" borderId="5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7" borderId="41" xfId="67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41" xfId="6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5" xfId="67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5" xfId="6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58" xfId="6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5" fillId="7" borderId="5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5" fillId="0" borderId="5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5" xfId="6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5" xfId="6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8" fillId="9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8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7" borderId="47" xfId="67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47" xfId="6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59" xfId="6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5" fillId="7" borderId="5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5" fillId="0" borderId="5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4" borderId="6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41" xfId="566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50" xfId="56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50" xfId="56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5" fillId="7" borderId="5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5" fillId="0" borderId="5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7" borderId="5" xfId="566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38" xfId="56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38" xfId="56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5" fillId="7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5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38" xfId="56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5" xfId="56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8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5" xfId="56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47" xfId="566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61" xfId="56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0" fillId="0" borderId="3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1" fillId="0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3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2" borderId="3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7" borderId="52" xfId="567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41" xfId="56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52" xfId="56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52" xfId="56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5" fillId="7" borderId="5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8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5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7" borderId="54" xfId="567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54" xfId="56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54" xfId="56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2" xfId="56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5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7" borderId="54" xfId="567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54" xfId="56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56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5" xfId="567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5" xfId="56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5" xfId="56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47" xfId="567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47" xfId="56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62" xfId="56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5" fillId="7" borderId="6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1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41" xfId="568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41" xfId="56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41" xfId="56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5" xfId="568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5" xfId="56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5" xfId="56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47" xfId="568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47" xfId="56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47" xfId="56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9" borderId="6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7" xfId="569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7" xfId="56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8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5" fillId="0" borderId="6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7" borderId="47" xfId="569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57" xfId="56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47" xfId="56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8" fillId="0" borderId="5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5" fillId="0" borderId="5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5" fillId="0" borderId="6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3" fontId="1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9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41" xfId="57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41" xfId="57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5" xfId="57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5" xfId="57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58" xfId="57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5" xfId="57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58" xfId="56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58" xfId="56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8" fillId="0" borderId="5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5" fillId="0" borderId="5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59" xfId="57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3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36" xfId="575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5" xfId="57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7" xfId="60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6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41" xfId="57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41" xfId="57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65" xfId="57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65" xfId="57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65" xfId="57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41" xfId="59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65" xfId="60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66" xfId="60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5" xfId="57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5" xfId="57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7" xfId="57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5" xfId="59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5" xfId="57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5" xfId="57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7" borderId="47" xfId="57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47" xfId="57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47" xfId="57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47" xfId="59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8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4" borderId="6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41" xfId="572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7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8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7" borderId="5" xfId="572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5" xfId="57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5" xfId="57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5" xfId="57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5" xfId="572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5" xfId="57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8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10" borderId="6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5" xfId="573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5" xfId="57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5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5" xfId="57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5" xfId="57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7" xfId="57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7" xfId="57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7" xfId="59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7" xfId="60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6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41" xfId="57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41" xfId="57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2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3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3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5" xfId="57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5" xfId="57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1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3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3" fillId="9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3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2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47" xfId="57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47" xfId="57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1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3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41" xfId="583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41" xfId="58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1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5" xfId="583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5" xfId="58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47" xfId="583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47" xfId="58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2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3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4" borderId="6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41" xfId="58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41" xfId="58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41" xfId="58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5" xfId="58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5" xfId="58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5" xfId="58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47" xfId="58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47" xfId="58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47" xfId="58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6" fillId="4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41" xfId="585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41" xfId="58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41" xfId="58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5" xfId="585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5" xfId="58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5" xfId="58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47" xfId="585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47" xfId="58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47" xfId="58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41" xfId="586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41" xfId="58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41" xfId="58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3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5" xfId="586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5" xfId="58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47" xfId="586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47" xfId="58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9" borderId="6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41" xfId="587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41" xfId="58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5" xfId="587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5" xfId="58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5" xfId="58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8" xfId="58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5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5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5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5" xfId="587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13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5" xfId="58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5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5" xfId="58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5" xfId="58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47" xfId="587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47" xfId="58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47" xfId="58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9" xfId="58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5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5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3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41" xfId="588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65" xfId="5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6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" fillId="0" borderId="6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6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3" fillId="0" borderId="6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5" xfId="588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7" xfId="5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7" xfId="5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3" fillId="0" borderId="6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2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6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47" xfId="588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47" xfId="5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47" xfId="5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2" borderId="6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67" xfId="589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67" xfId="58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1" xfId="58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589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58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" xfId="58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589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58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9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1" xfId="58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58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5" xfId="589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5" xfId="58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47" xfId="589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47" xfId="58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68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5" xfId="6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8" xfId="614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0" fillId="1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8" xfId="613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8" fillId="3" borderId="5" xfId="68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13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6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8" xfId="612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0" fillId="1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3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1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8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8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3" fillId="15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0" fillId="15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7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5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5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3" fillId="5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2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illares 10" xfId="20"/>
    <cellStyle name="Millares 11" xfId="21"/>
    <cellStyle name="Millares 12" xfId="22"/>
    <cellStyle name="Millares 13" xfId="23"/>
    <cellStyle name="Millares 14" xfId="24"/>
    <cellStyle name="Millares 15" xfId="25"/>
    <cellStyle name="Millares 16" xfId="26"/>
    <cellStyle name="Millares 17" xfId="27"/>
    <cellStyle name="Millares 18" xfId="28"/>
    <cellStyle name="Millares 19" xfId="29"/>
    <cellStyle name="Millares 2" xfId="30"/>
    <cellStyle name="Millares 20" xfId="31"/>
    <cellStyle name="Millares 21" xfId="32"/>
    <cellStyle name="Millares 22" xfId="33"/>
    <cellStyle name="Millares 23" xfId="34"/>
    <cellStyle name="Millares 24" xfId="35"/>
    <cellStyle name="Millares 25" xfId="36"/>
    <cellStyle name="Millares 3" xfId="37"/>
    <cellStyle name="Millares 4" xfId="38"/>
    <cellStyle name="Millares 5" xfId="39"/>
    <cellStyle name="Millares 6" xfId="40"/>
    <cellStyle name="Millares 7" xfId="41"/>
    <cellStyle name="Millares 8" xfId="42"/>
    <cellStyle name="Millares 9" xfId="43"/>
    <cellStyle name="Normal 10" xfId="44"/>
    <cellStyle name="Normal 10 2" xfId="45"/>
    <cellStyle name="Normal 10 3" xfId="46"/>
    <cellStyle name="Normal 10 4" xfId="47"/>
    <cellStyle name="Normal 10 5" xfId="48"/>
    <cellStyle name="Normal 10 6" xfId="49"/>
    <cellStyle name="Normal 11" xfId="50"/>
    <cellStyle name="Normal 11 2" xfId="51"/>
    <cellStyle name="Normal 11 3" xfId="52"/>
    <cellStyle name="Normal 11 4" xfId="53"/>
    <cellStyle name="Normal 11 5" xfId="54"/>
    <cellStyle name="Normal 11 6" xfId="55"/>
    <cellStyle name="Normal 12" xfId="56"/>
    <cellStyle name="Normal 12 2" xfId="57"/>
    <cellStyle name="Normal 13" xfId="58"/>
    <cellStyle name="Normal 13 2" xfId="59"/>
    <cellStyle name="Normal 14" xfId="60"/>
    <cellStyle name="Normal 14 2" xfId="61"/>
    <cellStyle name="Normal 15" xfId="62"/>
    <cellStyle name="Normal 15 2" xfId="63"/>
    <cellStyle name="Normal 16" xfId="64"/>
    <cellStyle name="Normal 17" xfId="65"/>
    <cellStyle name="Normal 18" xfId="66"/>
    <cellStyle name="Normal 19" xfId="67"/>
    <cellStyle name="Normal 2" xfId="68"/>
    <cellStyle name="Normal 2 10" xfId="69"/>
    <cellStyle name="Normal 2 11" xfId="70"/>
    <cellStyle name="Normal 2 11 2" xfId="71"/>
    <cellStyle name="Normal 2 11 2 2" xfId="72"/>
    <cellStyle name="Normal 2 11 2 2 2" xfId="73"/>
    <cellStyle name="Normal 2 11 2 2 3" xfId="74"/>
    <cellStyle name="Normal 2 11 2 2 4" xfId="75"/>
    <cellStyle name="Normal 2 11 2 2 5" xfId="76"/>
    <cellStyle name="Normal 2 11 2 3" xfId="77"/>
    <cellStyle name="Normal 2 11 2 4" xfId="78"/>
    <cellStyle name="Normal 2 11 2 5" xfId="79"/>
    <cellStyle name="Normal 2 11 3" xfId="80"/>
    <cellStyle name="Normal 2 11 4" xfId="81"/>
    <cellStyle name="Normal 2 11 5" xfId="82"/>
    <cellStyle name="Normal 2 11 6" xfId="83"/>
    <cellStyle name="Normal 2 12" xfId="84"/>
    <cellStyle name="Normal 2 13" xfId="85"/>
    <cellStyle name="Normal 2 14" xfId="86"/>
    <cellStyle name="Normal 2 15" xfId="87"/>
    <cellStyle name="Normal 2 15 2" xfId="88"/>
    <cellStyle name="Normal 2 15 3" xfId="89"/>
    <cellStyle name="Normal 2 15 4" xfId="90"/>
    <cellStyle name="Normal 2 15 5" xfId="91"/>
    <cellStyle name="Normal 2 16" xfId="92"/>
    <cellStyle name="Normal 2 17" xfId="93"/>
    <cellStyle name="Normal 2 18" xfId="94"/>
    <cellStyle name="Normal 2 2" xfId="95"/>
    <cellStyle name="Normal 2 2 10" xfId="96"/>
    <cellStyle name="Normal 2 2 11" xfId="97"/>
    <cellStyle name="Normal 2 2 11 2" xfId="98"/>
    <cellStyle name="Normal 2 2 11 2 2" xfId="99"/>
    <cellStyle name="Normal 2 2 11 2 2 2" xfId="100"/>
    <cellStyle name="Normal 2 2 11 2 2 3" xfId="101"/>
    <cellStyle name="Normal 2 2 11 2 2 4" xfId="102"/>
    <cellStyle name="Normal 2 2 11 2 2 5" xfId="103"/>
    <cellStyle name="Normal 2 2 11 2 3" xfId="104"/>
    <cellStyle name="Normal 2 2 11 2 4" xfId="105"/>
    <cellStyle name="Normal 2 2 11 2 5" xfId="106"/>
    <cellStyle name="Normal 2 2 11 3" xfId="107"/>
    <cellStyle name="Normal 2 2 11 4" xfId="108"/>
    <cellStyle name="Normal 2 2 11 5" xfId="109"/>
    <cellStyle name="Normal 2 2 11 6" xfId="110"/>
    <cellStyle name="Normal 2 2 12" xfId="111"/>
    <cellStyle name="Normal 2 2 13" xfId="112"/>
    <cellStyle name="Normal 2 2 14" xfId="113"/>
    <cellStyle name="Normal 2 2 15" xfId="114"/>
    <cellStyle name="Normal 2 2 15 2" xfId="115"/>
    <cellStyle name="Normal 2 2 15 3" xfId="116"/>
    <cellStyle name="Normal 2 2 15 4" xfId="117"/>
    <cellStyle name="Normal 2 2 15 5" xfId="118"/>
    <cellStyle name="Normal 2 2 16" xfId="119"/>
    <cellStyle name="Normal 2 2 17" xfId="120"/>
    <cellStyle name="Normal 2 2 18" xfId="121"/>
    <cellStyle name="Normal 2 2 2" xfId="122"/>
    <cellStyle name="Normal 2 2 2 10" xfId="123"/>
    <cellStyle name="Normal 2 2 2 11" xfId="124"/>
    <cellStyle name="Normal 2 2 2 12" xfId="125"/>
    <cellStyle name="Normal 2 2 2 13" xfId="126"/>
    <cellStyle name="Normal 2 2 2 13 2" xfId="127"/>
    <cellStyle name="Normal 2 2 2 13 3" xfId="128"/>
    <cellStyle name="Normal 2 2 2 13 4" xfId="129"/>
    <cellStyle name="Normal 2 2 2 13 5" xfId="130"/>
    <cellStyle name="Normal 2 2 2 14" xfId="131"/>
    <cellStyle name="Normal 2 2 2 15" xfId="132"/>
    <cellStyle name="Normal 2 2 2 16" xfId="133"/>
    <cellStyle name="Normal 2 2 2 2" xfId="134"/>
    <cellStyle name="Normal 2 2 2 2 10" xfId="135"/>
    <cellStyle name="Normal 2 2 2 2 11" xfId="136"/>
    <cellStyle name="Normal 2 2 2 2 12" xfId="137"/>
    <cellStyle name="Normal 2 2 2 2 13" xfId="138"/>
    <cellStyle name="Normal 2 2 2 2 13 2" xfId="139"/>
    <cellStyle name="Normal 2 2 2 2 13 3" xfId="140"/>
    <cellStyle name="Normal 2 2 2 2 13 4" xfId="141"/>
    <cellStyle name="Normal 2 2 2 2 13 5" xfId="142"/>
    <cellStyle name="Normal 2 2 2 2 14" xfId="143"/>
    <cellStyle name="Normal 2 2 2 2 15" xfId="144"/>
    <cellStyle name="Normal 2 2 2 2 16" xfId="145"/>
    <cellStyle name="Normal 2 2 2 2 2" xfId="146"/>
    <cellStyle name="Normal 2 2 2 2 2 2" xfId="147"/>
    <cellStyle name="Normal 2 2 2 2 2 2 2" xfId="148"/>
    <cellStyle name="Normal 2 2 2 2 2 2 2 2" xfId="149"/>
    <cellStyle name="Normal 2 2 2 2 2 2 2 2 2" xfId="150"/>
    <cellStyle name="Normal 2 2 2 2 2 2 2 2 2 2" xfId="151"/>
    <cellStyle name="Normal 2 2 2 2 2 2 2 2 2 3" xfId="152"/>
    <cellStyle name="Normal 2 2 2 2 2 2 2 2 2 4" xfId="153"/>
    <cellStyle name="Normal 2 2 2 2 2 2 2 2 2 5" xfId="154"/>
    <cellStyle name="Normal 2 2 2 2 2 2 2 2 3" xfId="155"/>
    <cellStyle name="Normal 2 2 2 2 2 2 2 2 4" xfId="156"/>
    <cellStyle name="Normal 2 2 2 2 2 2 2 2 5" xfId="157"/>
    <cellStyle name="Normal 2 2 2 2 2 2 2 3" xfId="158"/>
    <cellStyle name="Normal 2 2 2 2 2 2 2 4" xfId="159"/>
    <cellStyle name="Normal 2 2 2 2 2 2 2 5" xfId="160"/>
    <cellStyle name="Normal 2 2 2 2 2 2 2 6" xfId="161"/>
    <cellStyle name="Normal 2 2 2 2 2 2 3" xfId="162"/>
    <cellStyle name="Normal 2 2 2 2 2 2 4" xfId="163"/>
    <cellStyle name="Normal 2 2 2 2 2 2 5" xfId="164"/>
    <cellStyle name="Normal 2 2 2 2 2 2 6" xfId="165"/>
    <cellStyle name="Normal 2 2 2 2 2 2 6 2" xfId="166"/>
    <cellStyle name="Normal 2 2 2 2 2 2 6 3" xfId="167"/>
    <cellStyle name="Normal 2 2 2 2 2 2 6 4" xfId="168"/>
    <cellStyle name="Normal 2 2 2 2 2 2 6 5" xfId="169"/>
    <cellStyle name="Normal 2 2 2 2 2 2 7" xfId="170"/>
    <cellStyle name="Normal 2 2 2 2 2 2 8" xfId="171"/>
    <cellStyle name="Normal 2 2 2 2 2 2 9" xfId="172"/>
    <cellStyle name="Normal 2 2 2 2 2 3" xfId="173"/>
    <cellStyle name="Normal 2 2 2 2 2 3 2" xfId="174"/>
    <cellStyle name="Normal 2 2 2 2 2 3 2 2" xfId="175"/>
    <cellStyle name="Normal 2 2 2 2 2 3 2 2 2" xfId="176"/>
    <cellStyle name="Normal 2 2 2 2 2 3 2 2 3" xfId="177"/>
    <cellStyle name="Normal 2 2 2 2 2 3 2 2 4" xfId="178"/>
    <cellStyle name="Normal 2 2 2 2 2 3 2 2 5" xfId="179"/>
    <cellStyle name="Normal 2 2 2 2 2 3 2 3" xfId="180"/>
    <cellStyle name="Normal 2 2 2 2 2 3 2 4" xfId="181"/>
    <cellStyle name="Normal 2 2 2 2 2 3 2 5" xfId="182"/>
    <cellStyle name="Normal 2 2 2 2 2 3 3" xfId="183"/>
    <cellStyle name="Normal 2 2 2 2 2 3 4" xfId="184"/>
    <cellStyle name="Normal 2 2 2 2 2 3 5" xfId="185"/>
    <cellStyle name="Normal 2 2 2 2 2 3 6" xfId="186"/>
    <cellStyle name="Normal 2 2 2 2 2 4" xfId="187"/>
    <cellStyle name="Normal 2 2 2 2 2 5" xfId="188"/>
    <cellStyle name="Normal 2 2 2 2 2 6" xfId="189"/>
    <cellStyle name="Normal 2 2 2 2 2 6 2" xfId="190"/>
    <cellStyle name="Normal 2 2 2 2 2 6 3" xfId="191"/>
    <cellStyle name="Normal 2 2 2 2 2 6 4" xfId="192"/>
    <cellStyle name="Normal 2 2 2 2 2 6 5" xfId="193"/>
    <cellStyle name="Normal 2 2 2 2 2 7" xfId="194"/>
    <cellStyle name="Normal 2 2 2 2 2 8" xfId="195"/>
    <cellStyle name="Normal 2 2 2 2 2 9" xfId="196"/>
    <cellStyle name="Normal 2 2 2 2 3" xfId="197"/>
    <cellStyle name="Normal 2 2 2 2 4" xfId="198"/>
    <cellStyle name="Normal 2 2 2 2 5" xfId="199"/>
    <cellStyle name="Normal 2 2 2 2 6" xfId="200"/>
    <cellStyle name="Normal 2 2 2 2 7" xfId="201"/>
    <cellStyle name="Normal 2 2 2 2 8" xfId="202"/>
    <cellStyle name="Normal 2 2 2 2 9" xfId="203"/>
    <cellStyle name="Normal 2 2 2 2 9 2" xfId="204"/>
    <cellStyle name="Normal 2 2 2 2 9 2 2" xfId="205"/>
    <cellStyle name="Normal 2 2 2 2 9 2 2 2" xfId="206"/>
    <cellStyle name="Normal 2 2 2 2 9 2 2 3" xfId="207"/>
    <cellStyle name="Normal 2 2 2 2 9 2 2 4" xfId="208"/>
    <cellStyle name="Normal 2 2 2 2 9 2 2 5" xfId="209"/>
    <cellStyle name="Normal 2 2 2 2 9 2 3" xfId="210"/>
    <cellStyle name="Normal 2 2 2 2 9 2 4" xfId="211"/>
    <cellStyle name="Normal 2 2 2 2 9 2 5" xfId="212"/>
    <cellStyle name="Normal 2 2 2 2 9 3" xfId="213"/>
    <cellStyle name="Normal 2 2 2 2 9 4" xfId="214"/>
    <cellStyle name="Normal 2 2 2 2 9 5" xfId="215"/>
    <cellStyle name="Normal 2 2 2 2 9 6" xfId="216"/>
    <cellStyle name="Normal 2 2 2 3" xfId="217"/>
    <cellStyle name="Normal 2 2 2 3 2" xfId="218"/>
    <cellStyle name="Normal 2 2 2 3 2 2" xfId="219"/>
    <cellStyle name="Normal 2 2 2 3 2 2 2" xfId="220"/>
    <cellStyle name="Normal 2 2 2 3 2 2 2 2" xfId="221"/>
    <cellStyle name="Normal 2 2 2 3 2 2 2 2 2" xfId="222"/>
    <cellStyle name="Normal 2 2 2 3 2 2 2 2 3" xfId="223"/>
    <cellStyle name="Normal 2 2 2 3 2 2 2 2 4" xfId="224"/>
    <cellStyle name="Normal 2 2 2 3 2 2 2 2 5" xfId="225"/>
    <cellStyle name="Normal 2 2 2 3 2 2 2 3" xfId="226"/>
    <cellStyle name="Normal 2 2 2 3 2 2 2 4" xfId="227"/>
    <cellStyle name="Normal 2 2 2 3 2 2 2 5" xfId="228"/>
    <cellStyle name="Normal 2 2 2 3 2 2 3" xfId="229"/>
    <cellStyle name="Normal 2 2 2 3 2 2 4" xfId="230"/>
    <cellStyle name="Normal 2 2 2 3 2 2 5" xfId="231"/>
    <cellStyle name="Normal 2 2 2 3 2 2 6" xfId="232"/>
    <cellStyle name="Normal 2 2 2 3 2 3" xfId="233"/>
    <cellStyle name="Normal 2 2 2 3 2 4" xfId="234"/>
    <cellStyle name="Normal 2 2 2 3 2 5" xfId="235"/>
    <cellStyle name="Normal 2 2 2 3 2 6" xfId="236"/>
    <cellStyle name="Normal 2 2 2 3 2 6 2" xfId="237"/>
    <cellStyle name="Normal 2 2 2 3 2 6 3" xfId="238"/>
    <cellStyle name="Normal 2 2 2 3 2 6 4" xfId="239"/>
    <cellStyle name="Normal 2 2 2 3 2 6 5" xfId="240"/>
    <cellStyle name="Normal 2 2 2 3 2 7" xfId="241"/>
    <cellStyle name="Normal 2 2 2 3 2 8" xfId="242"/>
    <cellStyle name="Normal 2 2 2 3 2 9" xfId="243"/>
    <cellStyle name="Normal 2 2 2 3 3" xfId="244"/>
    <cellStyle name="Normal 2 2 2 3 3 2" xfId="245"/>
    <cellStyle name="Normal 2 2 2 3 3 2 2" xfId="246"/>
    <cellStyle name="Normal 2 2 2 3 3 2 2 2" xfId="247"/>
    <cellStyle name="Normal 2 2 2 3 3 2 2 3" xfId="248"/>
    <cellStyle name="Normal 2 2 2 3 3 2 2 4" xfId="249"/>
    <cellStyle name="Normal 2 2 2 3 3 2 2 5" xfId="250"/>
    <cellStyle name="Normal 2 2 2 3 3 2 3" xfId="251"/>
    <cellStyle name="Normal 2 2 2 3 3 2 4" xfId="252"/>
    <cellStyle name="Normal 2 2 2 3 3 2 5" xfId="253"/>
    <cellStyle name="Normal 2 2 2 3 3 3" xfId="254"/>
    <cellStyle name="Normal 2 2 2 3 3 4" xfId="255"/>
    <cellStyle name="Normal 2 2 2 3 3 5" xfId="256"/>
    <cellStyle name="Normal 2 2 2 3 3 6" xfId="257"/>
    <cellStyle name="Normal 2 2 2 3 4" xfId="258"/>
    <cellStyle name="Normal 2 2 2 3 5" xfId="259"/>
    <cellStyle name="Normal 2 2 2 3 6" xfId="260"/>
    <cellStyle name="Normal 2 2 2 3 6 2" xfId="261"/>
    <cellStyle name="Normal 2 2 2 3 6 3" xfId="262"/>
    <cellStyle name="Normal 2 2 2 3 6 4" xfId="263"/>
    <cellStyle name="Normal 2 2 2 3 6 5" xfId="264"/>
    <cellStyle name="Normal 2 2 2 3 7" xfId="265"/>
    <cellStyle name="Normal 2 2 2 3 8" xfId="266"/>
    <cellStyle name="Normal 2 2 2 3 9" xfId="267"/>
    <cellStyle name="Normal 2 2 2 4" xfId="268"/>
    <cellStyle name="Normal 2 2 2 5" xfId="269"/>
    <cellStyle name="Normal 2 2 2 6" xfId="270"/>
    <cellStyle name="Normal 2 2 2 7" xfId="271"/>
    <cellStyle name="Normal 2 2 2 8" xfId="272"/>
    <cellStyle name="Normal 2 2 2 9" xfId="273"/>
    <cellStyle name="Normal 2 2 2 9 2" xfId="274"/>
    <cellStyle name="Normal 2 2 2 9 2 2" xfId="275"/>
    <cellStyle name="Normal 2 2 2 9 2 2 2" xfId="276"/>
    <cellStyle name="Normal 2 2 2 9 2 2 3" xfId="277"/>
    <cellStyle name="Normal 2 2 2 9 2 2 4" xfId="278"/>
    <cellStyle name="Normal 2 2 2 9 2 2 5" xfId="279"/>
    <cellStyle name="Normal 2 2 2 9 2 3" xfId="280"/>
    <cellStyle name="Normal 2 2 2 9 2 4" xfId="281"/>
    <cellStyle name="Normal 2 2 2 9 2 5" xfId="282"/>
    <cellStyle name="Normal 2 2 2 9 3" xfId="283"/>
    <cellStyle name="Normal 2 2 2 9 4" xfId="284"/>
    <cellStyle name="Normal 2 2 2 9 5" xfId="285"/>
    <cellStyle name="Normal 2 2 2 9 6" xfId="286"/>
    <cellStyle name="Normal 2 2 3" xfId="287"/>
    <cellStyle name="Normal 2 2 4" xfId="288"/>
    <cellStyle name="Normal 2 2 4 2" xfId="289"/>
    <cellStyle name="Normal 2 2 4 2 2" xfId="290"/>
    <cellStyle name="Normal 2 2 4 2 2 2" xfId="291"/>
    <cellStyle name="Normal 2 2 4 2 2 2 2" xfId="292"/>
    <cellStyle name="Normal 2 2 4 2 2 2 2 2" xfId="293"/>
    <cellStyle name="Normal 2 2 4 2 2 2 2 3" xfId="294"/>
    <cellStyle name="Normal 2 2 4 2 2 2 2 4" xfId="295"/>
    <cellStyle name="Normal 2 2 4 2 2 2 2 5" xfId="296"/>
    <cellStyle name="Normal 2 2 4 2 2 2 3" xfId="297"/>
    <cellStyle name="Normal 2 2 4 2 2 2 4" xfId="298"/>
    <cellStyle name="Normal 2 2 4 2 2 2 5" xfId="299"/>
    <cellStyle name="Normal 2 2 4 2 2 3" xfId="300"/>
    <cellStyle name="Normal 2 2 4 2 2 4" xfId="301"/>
    <cellStyle name="Normal 2 2 4 2 2 5" xfId="302"/>
    <cellStyle name="Normal 2 2 4 2 2 6" xfId="303"/>
    <cellStyle name="Normal 2 2 4 2 3" xfId="304"/>
    <cellStyle name="Normal 2 2 4 2 4" xfId="305"/>
    <cellStyle name="Normal 2 2 4 2 5" xfId="306"/>
    <cellStyle name="Normal 2 2 4 2 6" xfId="307"/>
    <cellStyle name="Normal 2 2 4 2 6 2" xfId="308"/>
    <cellStyle name="Normal 2 2 4 2 6 3" xfId="309"/>
    <cellStyle name="Normal 2 2 4 2 6 4" xfId="310"/>
    <cellStyle name="Normal 2 2 4 2 6 5" xfId="311"/>
    <cellStyle name="Normal 2 2 4 2 7" xfId="312"/>
    <cellStyle name="Normal 2 2 4 2 8" xfId="313"/>
    <cellStyle name="Normal 2 2 4 2 9" xfId="314"/>
    <cellStyle name="Normal 2 2 4 3" xfId="315"/>
    <cellStyle name="Normal 2 2 4 3 2" xfId="316"/>
    <cellStyle name="Normal 2 2 4 3 2 2" xfId="317"/>
    <cellStyle name="Normal 2 2 4 3 2 2 2" xfId="318"/>
    <cellStyle name="Normal 2 2 4 3 2 2 3" xfId="319"/>
    <cellStyle name="Normal 2 2 4 3 2 2 4" xfId="320"/>
    <cellStyle name="Normal 2 2 4 3 2 2 5" xfId="321"/>
    <cellStyle name="Normal 2 2 4 3 2 3" xfId="322"/>
    <cellStyle name="Normal 2 2 4 3 2 4" xfId="323"/>
    <cellStyle name="Normal 2 2 4 3 2 5" xfId="324"/>
    <cellStyle name="Normal 2 2 4 3 3" xfId="325"/>
    <cellStyle name="Normal 2 2 4 3 4" xfId="326"/>
    <cellStyle name="Normal 2 2 4 3 5" xfId="327"/>
    <cellStyle name="Normal 2 2 4 3 6" xfId="328"/>
    <cellStyle name="Normal 2 2 4 4" xfId="329"/>
    <cellStyle name="Normal 2 2 4 5" xfId="330"/>
    <cellStyle name="Normal 2 2 4 6" xfId="331"/>
    <cellStyle name="Normal 2 2 4 6 2" xfId="332"/>
    <cellStyle name="Normal 2 2 4 6 3" xfId="333"/>
    <cellStyle name="Normal 2 2 4 6 4" xfId="334"/>
    <cellStyle name="Normal 2 2 4 6 5" xfId="335"/>
    <cellStyle name="Normal 2 2 4 7" xfId="336"/>
    <cellStyle name="Normal 2 2 4 8" xfId="337"/>
    <cellStyle name="Normal 2 2 4 9" xfId="338"/>
    <cellStyle name="Normal 2 2 5" xfId="339"/>
    <cellStyle name="Normal 2 2 6" xfId="340"/>
    <cellStyle name="Normal 2 2 7" xfId="341"/>
    <cellStyle name="Normal 2 2 8" xfId="342"/>
    <cellStyle name="Normal 2 2 9" xfId="343"/>
    <cellStyle name="Normal 2 3" xfId="344"/>
    <cellStyle name="Normal 2 3 10" xfId="345"/>
    <cellStyle name="Normal 2 3 11" xfId="346"/>
    <cellStyle name="Normal 2 3 12" xfId="347"/>
    <cellStyle name="Normal 2 3 13" xfId="348"/>
    <cellStyle name="Normal 2 3 13 2" xfId="349"/>
    <cellStyle name="Normal 2 3 13 3" xfId="350"/>
    <cellStyle name="Normal 2 3 13 4" xfId="351"/>
    <cellStyle name="Normal 2 3 13 5" xfId="352"/>
    <cellStyle name="Normal 2 3 14" xfId="353"/>
    <cellStyle name="Normal 2 3 15" xfId="354"/>
    <cellStyle name="Normal 2 3 16" xfId="355"/>
    <cellStyle name="Normal 2 3 2" xfId="356"/>
    <cellStyle name="Normal 2 3 2 10" xfId="357"/>
    <cellStyle name="Normal 2 3 2 11" xfId="358"/>
    <cellStyle name="Normal 2 3 2 12" xfId="359"/>
    <cellStyle name="Normal 2 3 2 13" xfId="360"/>
    <cellStyle name="Normal 2 3 2 13 2" xfId="361"/>
    <cellStyle name="Normal 2 3 2 13 3" xfId="362"/>
    <cellStyle name="Normal 2 3 2 13 4" xfId="363"/>
    <cellStyle name="Normal 2 3 2 13 5" xfId="364"/>
    <cellStyle name="Normal 2 3 2 14" xfId="365"/>
    <cellStyle name="Normal 2 3 2 15" xfId="366"/>
    <cellStyle name="Normal 2 3 2 16" xfId="367"/>
    <cellStyle name="Normal 2 3 2 2" xfId="368"/>
    <cellStyle name="Normal 2 3 2 2 2" xfId="369"/>
    <cellStyle name="Normal 2 3 2 2 2 2" xfId="370"/>
    <cellStyle name="Normal 2 3 2 2 2 2 2" xfId="371"/>
    <cellStyle name="Normal 2 3 2 2 2 2 2 2" xfId="372"/>
    <cellStyle name="Normal 2 3 2 2 2 2 2 2 2" xfId="373"/>
    <cellStyle name="Normal 2 3 2 2 2 2 2 2 3" xfId="374"/>
    <cellStyle name="Normal 2 3 2 2 2 2 2 2 4" xfId="375"/>
    <cellStyle name="Normal 2 3 2 2 2 2 2 2 5" xfId="376"/>
    <cellStyle name="Normal 2 3 2 2 2 2 2 3" xfId="377"/>
    <cellStyle name="Normal 2 3 2 2 2 2 2 4" xfId="378"/>
    <cellStyle name="Normal 2 3 2 2 2 2 2 5" xfId="379"/>
    <cellStyle name="Normal 2 3 2 2 2 2 3" xfId="380"/>
    <cellStyle name="Normal 2 3 2 2 2 2 4" xfId="381"/>
    <cellStyle name="Normal 2 3 2 2 2 2 5" xfId="382"/>
    <cellStyle name="Normal 2 3 2 2 2 2 6" xfId="383"/>
    <cellStyle name="Normal 2 3 2 2 2 3" xfId="384"/>
    <cellStyle name="Normal 2 3 2 2 2 4" xfId="385"/>
    <cellStyle name="Normal 2 3 2 2 2 5" xfId="386"/>
    <cellStyle name="Normal 2 3 2 2 2 6" xfId="387"/>
    <cellStyle name="Normal 2 3 2 2 2 6 2" xfId="388"/>
    <cellStyle name="Normal 2 3 2 2 2 6 3" xfId="389"/>
    <cellStyle name="Normal 2 3 2 2 2 6 4" xfId="390"/>
    <cellStyle name="Normal 2 3 2 2 2 6 5" xfId="391"/>
    <cellStyle name="Normal 2 3 2 2 2 7" xfId="392"/>
    <cellStyle name="Normal 2 3 2 2 2 8" xfId="393"/>
    <cellStyle name="Normal 2 3 2 2 2 9" xfId="394"/>
    <cellStyle name="Normal 2 3 2 2 3" xfId="395"/>
    <cellStyle name="Normal 2 3 2 2 3 2" xfId="396"/>
    <cellStyle name="Normal 2 3 2 2 3 2 2" xfId="397"/>
    <cellStyle name="Normal 2 3 2 2 3 2 2 2" xfId="398"/>
    <cellStyle name="Normal 2 3 2 2 3 2 2 3" xfId="399"/>
    <cellStyle name="Normal 2 3 2 2 3 2 2 4" xfId="400"/>
    <cellStyle name="Normal 2 3 2 2 3 2 2 5" xfId="401"/>
    <cellStyle name="Normal 2 3 2 2 3 2 3" xfId="402"/>
    <cellStyle name="Normal 2 3 2 2 3 2 4" xfId="403"/>
    <cellStyle name="Normal 2 3 2 2 3 2 5" xfId="404"/>
    <cellStyle name="Normal 2 3 2 2 3 3" xfId="405"/>
    <cellStyle name="Normal 2 3 2 2 3 4" xfId="406"/>
    <cellStyle name="Normal 2 3 2 2 3 5" xfId="407"/>
    <cellStyle name="Normal 2 3 2 2 3 6" xfId="408"/>
    <cellStyle name="Normal 2 3 2 2 4" xfId="409"/>
    <cellStyle name="Normal 2 3 2 2 5" xfId="410"/>
    <cellStyle name="Normal 2 3 2 2 6" xfId="411"/>
    <cellStyle name="Normal 2 3 2 2 6 2" xfId="412"/>
    <cellStyle name="Normal 2 3 2 2 6 3" xfId="413"/>
    <cellStyle name="Normal 2 3 2 2 6 4" xfId="414"/>
    <cellStyle name="Normal 2 3 2 2 6 5" xfId="415"/>
    <cellStyle name="Normal 2 3 2 2 7" xfId="416"/>
    <cellStyle name="Normal 2 3 2 2 8" xfId="417"/>
    <cellStyle name="Normal 2 3 2 2 9" xfId="418"/>
    <cellStyle name="Normal 2 3 2 3" xfId="419"/>
    <cellStyle name="Normal 2 3 2 4" xfId="420"/>
    <cellStyle name="Normal 2 3 2 5" xfId="421"/>
    <cellStyle name="Normal 2 3 2 6" xfId="422"/>
    <cellStyle name="Normal 2 3 2 7" xfId="423"/>
    <cellStyle name="Normal 2 3 2 8" xfId="424"/>
    <cellStyle name="Normal 2 3 2 9" xfId="425"/>
    <cellStyle name="Normal 2 3 2 9 2" xfId="426"/>
    <cellStyle name="Normal 2 3 2 9 2 2" xfId="427"/>
    <cellStyle name="Normal 2 3 2 9 2 2 2" xfId="428"/>
    <cellStyle name="Normal 2 3 2 9 2 2 3" xfId="429"/>
    <cellStyle name="Normal 2 3 2 9 2 2 4" xfId="430"/>
    <cellStyle name="Normal 2 3 2 9 2 2 5" xfId="431"/>
    <cellStyle name="Normal 2 3 2 9 2 3" xfId="432"/>
    <cellStyle name="Normal 2 3 2 9 2 4" xfId="433"/>
    <cellStyle name="Normal 2 3 2 9 2 5" xfId="434"/>
    <cellStyle name="Normal 2 3 2 9 3" xfId="435"/>
    <cellStyle name="Normal 2 3 2 9 4" xfId="436"/>
    <cellStyle name="Normal 2 3 2 9 5" xfId="437"/>
    <cellStyle name="Normal 2 3 2 9 6" xfId="438"/>
    <cellStyle name="Normal 2 3 3" xfId="439"/>
    <cellStyle name="Normal 2 3 3 2" xfId="440"/>
    <cellStyle name="Normal 2 3 3 2 2" xfId="441"/>
    <cellStyle name="Normal 2 3 3 2 2 2" xfId="442"/>
    <cellStyle name="Normal 2 3 3 2 2 2 2" xfId="443"/>
    <cellStyle name="Normal 2 3 3 2 2 2 2 2" xfId="444"/>
    <cellStyle name="Normal 2 3 3 2 2 2 2 3" xfId="445"/>
    <cellStyle name="Normal 2 3 3 2 2 2 2 4" xfId="446"/>
    <cellStyle name="Normal 2 3 3 2 2 2 2 5" xfId="447"/>
    <cellStyle name="Normal 2 3 3 2 2 2 3" xfId="448"/>
    <cellStyle name="Normal 2 3 3 2 2 2 4" xfId="449"/>
    <cellStyle name="Normal 2 3 3 2 2 2 5" xfId="450"/>
    <cellStyle name="Normal 2 3 3 2 2 3" xfId="451"/>
    <cellStyle name="Normal 2 3 3 2 2 4" xfId="452"/>
    <cellStyle name="Normal 2 3 3 2 2 5" xfId="453"/>
    <cellStyle name="Normal 2 3 3 2 2 6" xfId="454"/>
    <cellStyle name="Normal 2 3 3 2 3" xfId="455"/>
    <cellStyle name="Normal 2 3 3 2 4" xfId="456"/>
    <cellStyle name="Normal 2 3 3 2 5" xfId="457"/>
    <cellStyle name="Normal 2 3 3 2 6" xfId="458"/>
    <cellStyle name="Normal 2 3 3 2 6 2" xfId="459"/>
    <cellStyle name="Normal 2 3 3 2 6 3" xfId="460"/>
    <cellStyle name="Normal 2 3 3 2 6 4" xfId="461"/>
    <cellStyle name="Normal 2 3 3 2 6 5" xfId="462"/>
    <cellStyle name="Normal 2 3 3 2 7" xfId="463"/>
    <cellStyle name="Normal 2 3 3 2 8" xfId="464"/>
    <cellStyle name="Normal 2 3 3 2 9" xfId="465"/>
    <cellStyle name="Normal 2 3 3 3" xfId="466"/>
    <cellStyle name="Normal 2 3 3 3 2" xfId="467"/>
    <cellStyle name="Normal 2 3 3 3 2 2" xfId="468"/>
    <cellStyle name="Normal 2 3 3 3 2 2 2" xfId="469"/>
    <cellStyle name="Normal 2 3 3 3 2 2 3" xfId="470"/>
    <cellStyle name="Normal 2 3 3 3 2 2 4" xfId="471"/>
    <cellStyle name="Normal 2 3 3 3 2 2 5" xfId="472"/>
    <cellStyle name="Normal 2 3 3 3 2 3" xfId="473"/>
    <cellStyle name="Normal 2 3 3 3 2 4" xfId="474"/>
    <cellStyle name="Normal 2 3 3 3 2 5" xfId="475"/>
    <cellStyle name="Normal 2 3 3 3 3" xfId="476"/>
    <cellStyle name="Normal 2 3 3 3 4" xfId="477"/>
    <cellStyle name="Normal 2 3 3 3 5" xfId="478"/>
    <cellStyle name="Normal 2 3 3 3 6" xfId="479"/>
    <cellStyle name="Normal 2 3 3 4" xfId="480"/>
    <cellStyle name="Normal 2 3 3 5" xfId="481"/>
    <cellStyle name="Normal 2 3 3 6" xfId="482"/>
    <cellStyle name="Normal 2 3 3 6 2" xfId="483"/>
    <cellStyle name="Normal 2 3 3 6 3" xfId="484"/>
    <cellStyle name="Normal 2 3 3 6 4" xfId="485"/>
    <cellStyle name="Normal 2 3 3 6 5" xfId="486"/>
    <cellStyle name="Normal 2 3 3 7" xfId="487"/>
    <cellStyle name="Normal 2 3 3 8" xfId="488"/>
    <cellStyle name="Normal 2 3 3 9" xfId="489"/>
    <cellStyle name="Normal 2 3 4" xfId="490"/>
    <cellStyle name="Normal 2 3 5" xfId="491"/>
    <cellStyle name="Normal 2 3 6" xfId="492"/>
    <cellStyle name="Normal 2 3 7" xfId="493"/>
    <cellStyle name="Normal 2 3 8" xfId="494"/>
    <cellStyle name="Normal 2 3 9" xfId="495"/>
    <cellStyle name="Normal 2 3 9 2" xfId="496"/>
    <cellStyle name="Normal 2 3 9 2 2" xfId="497"/>
    <cellStyle name="Normal 2 3 9 2 2 2" xfId="498"/>
    <cellStyle name="Normal 2 3 9 2 2 3" xfId="499"/>
    <cellStyle name="Normal 2 3 9 2 2 4" xfId="500"/>
    <cellStyle name="Normal 2 3 9 2 2 5" xfId="501"/>
    <cellStyle name="Normal 2 3 9 2 3" xfId="502"/>
    <cellStyle name="Normal 2 3 9 2 4" xfId="503"/>
    <cellStyle name="Normal 2 3 9 2 5" xfId="504"/>
    <cellStyle name="Normal 2 3 9 3" xfId="505"/>
    <cellStyle name="Normal 2 3 9 4" xfId="506"/>
    <cellStyle name="Normal 2 3 9 5" xfId="507"/>
    <cellStyle name="Normal 2 3 9 6" xfId="508"/>
    <cellStyle name="Normal 2 4" xfId="509"/>
    <cellStyle name="Normal 2 4 2" xfId="510"/>
    <cellStyle name="Normal 2 4 2 2" xfId="511"/>
    <cellStyle name="Normal 2 4 2 2 2" xfId="512"/>
    <cellStyle name="Normal 2 4 2 2 2 2" xfId="513"/>
    <cellStyle name="Normal 2 4 2 2 2 2 2" xfId="514"/>
    <cellStyle name="Normal 2 4 2 2 2 2 3" xfId="515"/>
    <cellStyle name="Normal 2 4 2 2 2 2 4" xfId="516"/>
    <cellStyle name="Normal 2 4 2 2 2 2 5" xfId="517"/>
    <cellStyle name="Normal 2 4 2 2 2 3" xfId="518"/>
    <cellStyle name="Normal 2 4 2 2 2 4" xfId="519"/>
    <cellStyle name="Normal 2 4 2 2 2 5" xfId="520"/>
    <cellStyle name="Normal 2 4 2 2 3" xfId="521"/>
    <cellStyle name="Normal 2 4 2 2 4" xfId="522"/>
    <cellStyle name="Normal 2 4 2 2 5" xfId="523"/>
    <cellStyle name="Normal 2 4 2 2 6" xfId="524"/>
    <cellStyle name="Normal 2 4 2 3" xfId="525"/>
    <cellStyle name="Normal 2 4 2 4" xfId="526"/>
    <cellStyle name="Normal 2 4 2 5" xfId="527"/>
    <cellStyle name="Normal 2 4 2 6" xfId="528"/>
    <cellStyle name="Normal 2 4 2 6 2" xfId="529"/>
    <cellStyle name="Normal 2 4 2 6 3" xfId="530"/>
    <cellStyle name="Normal 2 4 2 6 4" xfId="531"/>
    <cellStyle name="Normal 2 4 2 6 5" xfId="532"/>
    <cellStyle name="Normal 2 4 2 7" xfId="533"/>
    <cellStyle name="Normal 2 4 2 8" xfId="534"/>
    <cellStyle name="Normal 2 4 2 9" xfId="535"/>
    <cellStyle name="Normal 2 4 3" xfId="536"/>
    <cellStyle name="Normal 2 4 3 2" xfId="537"/>
    <cellStyle name="Normal 2 4 3 2 2" xfId="538"/>
    <cellStyle name="Normal 2 4 3 2 2 2" xfId="539"/>
    <cellStyle name="Normal 2 4 3 2 2 3" xfId="540"/>
    <cellStyle name="Normal 2 4 3 2 2 4" xfId="541"/>
    <cellStyle name="Normal 2 4 3 2 2 5" xfId="542"/>
    <cellStyle name="Normal 2 4 3 2 3" xfId="543"/>
    <cellStyle name="Normal 2 4 3 2 4" xfId="544"/>
    <cellStyle name="Normal 2 4 3 2 5" xfId="545"/>
    <cellStyle name="Normal 2 4 3 3" xfId="546"/>
    <cellStyle name="Normal 2 4 3 4" xfId="547"/>
    <cellStyle name="Normal 2 4 3 5" xfId="548"/>
    <cellStyle name="Normal 2 4 3 6" xfId="549"/>
    <cellStyle name="Normal 2 4 4" xfId="550"/>
    <cellStyle name="Normal 2 4 5" xfId="551"/>
    <cellStyle name="Normal 2 4 6" xfId="552"/>
    <cellStyle name="Normal 2 4 6 2" xfId="553"/>
    <cellStyle name="Normal 2 4 6 3" xfId="554"/>
    <cellStyle name="Normal 2 4 6 4" xfId="555"/>
    <cellStyle name="Normal 2 4 6 5" xfId="556"/>
    <cellStyle name="Normal 2 4 7" xfId="557"/>
    <cellStyle name="Normal 2 4 8" xfId="558"/>
    <cellStyle name="Normal 2 4 9" xfId="559"/>
    <cellStyle name="Normal 2 5" xfId="560"/>
    <cellStyle name="Normal 2 6" xfId="561"/>
    <cellStyle name="Normal 2 7" xfId="562"/>
    <cellStyle name="Normal 2 8" xfId="563"/>
    <cellStyle name="Normal 2 9" xfId="564"/>
    <cellStyle name="Normal 20" xfId="565"/>
    <cellStyle name="Normal 21" xfId="566"/>
    <cellStyle name="Normal 22" xfId="567"/>
    <cellStyle name="Normal 23" xfId="568"/>
    <cellStyle name="Normal 24" xfId="569"/>
    <cellStyle name="Normal 25" xfId="570"/>
    <cellStyle name="Normal 26" xfId="571"/>
    <cellStyle name="Normal 27" xfId="572"/>
    <cellStyle name="Normal 28" xfId="573"/>
    <cellStyle name="Normal 29" xfId="574"/>
    <cellStyle name="Normal 3" xfId="575"/>
    <cellStyle name="Normal 3 2" xfId="576"/>
    <cellStyle name="Normal 3 3" xfId="577"/>
    <cellStyle name="Normal 3 4" xfId="578"/>
    <cellStyle name="Normal 3 5" xfId="579"/>
    <cellStyle name="Normal 3 6" xfId="580"/>
    <cellStyle name="Normal 3 7" xfId="581"/>
    <cellStyle name="Normal 3 8" xfId="582"/>
    <cellStyle name="Normal 30" xfId="583"/>
    <cellStyle name="Normal 31" xfId="584"/>
    <cellStyle name="Normal 32" xfId="585"/>
    <cellStyle name="Normal 33" xfId="586"/>
    <cellStyle name="Normal 34" xfId="587"/>
    <cellStyle name="Normal 35" xfId="588"/>
    <cellStyle name="Normal 36" xfId="589"/>
    <cellStyle name="Normal 37" xfId="590"/>
    <cellStyle name="Normal 4" xfId="591"/>
    <cellStyle name="Normal 5" xfId="592"/>
    <cellStyle name="Normal 5 2" xfId="593"/>
    <cellStyle name="Normal 5 3" xfId="594"/>
    <cellStyle name="Normal 5 4" xfId="595"/>
    <cellStyle name="Normal 5 5" xfId="596"/>
    <cellStyle name="Normal 5 6" xfId="597"/>
    <cellStyle name="Normal 6" xfId="598"/>
    <cellStyle name="Normal 6 2" xfId="599"/>
    <cellStyle name="Normal 6 3" xfId="600"/>
    <cellStyle name="Normal 6 4" xfId="601"/>
    <cellStyle name="Normal 6 5" xfId="602"/>
    <cellStyle name="Normal 6 6" xfId="603"/>
    <cellStyle name="Normal 7" xfId="604"/>
    <cellStyle name="Normal 8" xfId="605"/>
    <cellStyle name="Normal 8 2" xfId="606"/>
    <cellStyle name="Normal 8 3" xfId="607"/>
    <cellStyle name="Normal 8 4" xfId="608"/>
    <cellStyle name="Normal 8 5" xfId="609"/>
    <cellStyle name="Normal 8 6" xfId="610"/>
    <cellStyle name="Normal 9" xfId="611"/>
    <cellStyle name="Normal_camaron nailon" xfId="612"/>
    <cellStyle name="Normal_lang amarillo" xfId="613"/>
    <cellStyle name="Normal_lang colorado" xfId="614"/>
    <cellStyle name="Porcentual 10" xfId="615"/>
    <cellStyle name="Porcentual 11" xfId="616"/>
    <cellStyle name="Porcentual 12" xfId="617"/>
    <cellStyle name="Porcentual 13" xfId="618"/>
    <cellStyle name="Porcentual 14" xfId="619"/>
    <cellStyle name="Porcentual 15" xfId="620"/>
    <cellStyle name="Porcentual 16" xfId="621"/>
    <cellStyle name="Porcentual 17" xfId="622"/>
    <cellStyle name="Porcentual 18" xfId="623"/>
    <cellStyle name="Porcentual 19" xfId="624"/>
    <cellStyle name="Porcentual 2" xfId="625"/>
    <cellStyle name="Porcentual 20" xfId="626"/>
    <cellStyle name="Porcentual 21" xfId="627"/>
    <cellStyle name="Porcentual 22" xfId="628"/>
    <cellStyle name="Porcentual 23" xfId="629"/>
    <cellStyle name="Porcentual 24" xfId="630"/>
    <cellStyle name="Porcentual 25" xfId="631"/>
    <cellStyle name="Porcentual 3" xfId="632"/>
    <cellStyle name="Porcentual 4" xfId="633"/>
    <cellStyle name="Porcentual 5" xfId="634"/>
    <cellStyle name="Porcentual 6" xfId="635"/>
    <cellStyle name="Porcentual 7" xfId="636"/>
    <cellStyle name="Porcentual 8" xfId="637"/>
    <cellStyle name="Porcentual 9" xfId="63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137160</xdr:rowOff>
    </xdr:from>
    <xdr:to>
      <xdr:col>1</xdr:col>
      <xdr:colOff>243360</xdr:colOff>
      <xdr:row>4</xdr:row>
      <xdr:rowOff>114480</xdr:rowOff>
    </xdr:to>
    <xdr:pic>
      <xdr:nvPicPr>
        <xdr:cNvPr id="1" name="2 Imagen" descr="LOGO_SNP_2012_sinfondo.PNG"/>
        <xdr:cNvPicPr/>
      </xdr:nvPicPr>
      <xdr:blipFill>
        <a:blip r:embed="rId1"/>
        <a:stretch/>
      </xdr:blipFill>
      <xdr:spPr>
        <a:xfrm>
          <a:off x="0" y="320040"/>
          <a:ext cx="1652400" cy="541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68760</xdr:rowOff>
    </xdr:from>
    <xdr:to>
      <xdr:col>1</xdr:col>
      <xdr:colOff>449280</xdr:colOff>
      <xdr:row>2</xdr:row>
      <xdr:rowOff>182880</xdr:rowOff>
    </xdr:to>
    <xdr:pic>
      <xdr:nvPicPr>
        <xdr:cNvPr id="2" name="1 Imagen" descr="LOGO_SNP_2012_sinfondo.PNG"/>
        <xdr:cNvPicPr/>
      </xdr:nvPicPr>
      <xdr:blipFill>
        <a:blip r:embed="rId1"/>
        <a:stretch/>
      </xdr:blipFill>
      <xdr:spPr>
        <a:xfrm>
          <a:off x="0" y="68760"/>
          <a:ext cx="1638720" cy="510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15480</xdr:rowOff>
    </xdr:from>
    <xdr:to>
      <xdr:col>1</xdr:col>
      <xdr:colOff>97560</xdr:colOff>
      <xdr:row>2</xdr:row>
      <xdr:rowOff>160200</xdr:rowOff>
    </xdr:to>
    <xdr:pic>
      <xdr:nvPicPr>
        <xdr:cNvPr id="3" name="1 Imagen" descr="LOGO_SNP_2012_sinfondo.PNG"/>
        <xdr:cNvPicPr/>
      </xdr:nvPicPr>
      <xdr:blipFill>
        <a:blip r:embed="rId1"/>
        <a:stretch/>
      </xdr:blipFill>
      <xdr:spPr>
        <a:xfrm>
          <a:off x="0" y="15480"/>
          <a:ext cx="1717920" cy="541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46440</xdr:colOff>
      <xdr:row>1</xdr:row>
      <xdr:rowOff>15480</xdr:rowOff>
    </xdr:from>
    <xdr:to>
      <xdr:col>0</xdr:col>
      <xdr:colOff>1764000</xdr:colOff>
      <xdr:row>3</xdr:row>
      <xdr:rowOff>151920</xdr:rowOff>
    </xdr:to>
    <xdr:pic>
      <xdr:nvPicPr>
        <xdr:cNvPr id="4" name="1 Imagen" descr="LOGO_SNP_2012_sinfondo.PNG"/>
        <xdr:cNvPicPr/>
      </xdr:nvPicPr>
      <xdr:blipFill>
        <a:blip r:embed="rId1"/>
        <a:stretch/>
      </xdr:blipFill>
      <xdr:spPr>
        <a:xfrm>
          <a:off x="46440" y="198360"/>
          <a:ext cx="1717560" cy="532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IW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4.4" customHeight="false" zeroHeight="false" outlineLevelRow="0" outlineLevelCol="0"/>
  <cols>
    <col collapsed="false" customWidth="true" hidden="false" outlineLevel="0" max="1" min="1" style="1" width="19.99"/>
    <col collapsed="false" customWidth="true" hidden="false" outlineLevel="0" max="2" min="2" style="1" width="11.32"/>
    <col collapsed="false" customWidth="true" hidden="false" outlineLevel="0" max="3" min="3" style="1" width="14.87"/>
    <col collapsed="false" customWidth="true" hidden="false" outlineLevel="0" max="5" min="4" style="1" width="11.32"/>
    <col collapsed="false" customWidth="true" hidden="false" outlineLevel="0" max="6" min="6" style="1" width="17.43"/>
    <col collapsed="false" customWidth="true" hidden="false" outlineLevel="0" max="7" min="7" style="1" width="17.66"/>
    <col collapsed="false" customWidth="true" hidden="false" outlineLevel="0" max="8" min="8" style="1" width="12.43"/>
    <col collapsed="false" customWidth="true" hidden="false" outlineLevel="0" max="9" min="9" style="1" width="10.77"/>
    <col collapsed="false" customWidth="true" hidden="false" outlineLevel="0" max="10" min="10" style="1" width="15.55"/>
    <col collapsed="false" customWidth="true" hidden="false" outlineLevel="0" max="11" min="11" style="1" width="15.66"/>
    <col collapsed="false" customWidth="true" hidden="false" outlineLevel="0" max="12" min="12" style="1" width="12.88"/>
    <col collapsed="false" customWidth="true" hidden="false" outlineLevel="0" max="13" min="13" style="1" width="14.43"/>
    <col collapsed="false" customWidth="true" hidden="false" outlineLevel="0" max="14" min="14" style="1" width="14.87"/>
    <col collapsed="false" customWidth="true" hidden="false" outlineLevel="0" max="15" min="15" style="1" width="15.43"/>
    <col collapsed="false" customWidth="false" hidden="false" outlineLevel="0" max="16" min="16" style="1" width="11.43"/>
    <col collapsed="false" customWidth="true" hidden="false" outlineLevel="0" max="17" min="17" style="1" width="11.99"/>
    <col collapsed="false" customWidth="false" hidden="false" outlineLevel="0" max="257" min="18" style="1" width="11.43"/>
  </cols>
  <sheetData>
    <row r="1" customFormat="false" ht="14.4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4.4" hidden="false" customHeight="false" outlineLevel="0" collapsed="false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2"/>
      <c r="P2" s="2"/>
      <c r="Q2" s="2"/>
    </row>
    <row r="3" customFormat="false" ht="14.4" hidden="false" customHeight="fals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/>
      <c r="P3" s="4"/>
      <c r="Q3" s="4"/>
      <c r="R3" s="5"/>
      <c r="S3" s="5"/>
    </row>
    <row r="4" customFormat="false" ht="15.6" hidden="false" customHeight="false" outlineLevel="0" collapsed="false">
      <c r="A4" s="6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/>
      <c r="P4" s="7"/>
      <c r="Q4" s="7"/>
      <c r="R4" s="7"/>
      <c r="S4" s="5"/>
    </row>
    <row r="5" customFormat="false" ht="15.6" hidden="false" customHeight="false" outlineLevel="0" collapsed="false">
      <c r="A5" s="6"/>
      <c r="B5" s="8"/>
      <c r="C5" s="9" t="s">
        <v>3</v>
      </c>
      <c r="D5" s="9"/>
      <c r="E5" s="9"/>
      <c r="F5" s="9"/>
      <c r="G5" s="10" t="s">
        <v>4</v>
      </c>
      <c r="H5" s="10"/>
      <c r="I5" s="10"/>
      <c r="J5" s="10"/>
      <c r="K5" s="10"/>
      <c r="L5" s="10"/>
      <c r="M5" s="10"/>
      <c r="N5" s="10"/>
      <c r="O5" s="7"/>
      <c r="P5" s="7"/>
      <c r="Q5" s="7"/>
      <c r="R5" s="7"/>
      <c r="S5" s="5"/>
    </row>
    <row r="6" customFormat="false" ht="52.5" hidden="false" customHeight="true" outlineLevel="0" collapsed="false">
      <c r="A6" s="11" t="s">
        <v>5</v>
      </c>
      <c r="B6" s="11" t="s">
        <v>6</v>
      </c>
      <c r="C6" s="12" t="s">
        <v>7</v>
      </c>
      <c r="D6" s="13" t="s">
        <v>8</v>
      </c>
      <c r="E6" s="14" t="s">
        <v>9</v>
      </c>
      <c r="F6" s="12" t="s">
        <v>10</v>
      </c>
      <c r="G6" s="15" t="s">
        <v>11</v>
      </c>
      <c r="H6" s="16" t="s">
        <v>12</v>
      </c>
      <c r="I6" s="15" t="s">
        <v>13</v>
      </c>
      <c r="J6" s="17" t="s">
        <v>14</v>
      </c>
      <c r="K6" s="11" t="s">
        <v>15</v>
      </c>
      <c r="L6" s="18" t="s">
        <v>16</v>
      </c>
      <c r="M6" s="19" t="s">
        <v>17</v>
      </c>
      <c r="N6" s="18" t="s">
        <v>18</v>
      </c>
      <c r="O6" s="20" t="s">
        <v>19</v>
      </c>
      <c r="P6" s="4"/>
      <c r="Q6" s="4"/>
      <c r="R6" s="5"/>
      <c r="S6" s="5"/>
    </row>
    <row r="7" customFormat="false" ht="14.4" hidden="false" customHeight="false" outlineLevel="0" collapsed="false">
      <c r="A7" s="21" t="s">
        <v>20</v>
      </c>
      <c r="B7" s="22" t="s">
        <v>21</v>
      </c>
      <c r="C7" s="22" t="n">
        <f aca="false">'Pelagicos LMC y LTP '!C6+'Pelagicos LMC y LTP '!C7+'Pelagicos LMC y LTP '!C8+'Pelagicos LMC y LTP '!C9</f>
        <v>598733.199</v>
      </c>
      <c r="D7" s="23" t="n">
        <f aca="false">SUM('Pelagicos LMC y LTP '!D6:D9)</f>
        <v>0</v>
      </c>
      <c r="E7" s="24" t="n">
        <f aca="false">C7+D7</f>
        <v>598733.199</v>
      </c>
      <c r="F7" s="25" t="n">
        <f aca="false">SUM('Pelagicos LMC y LTP '!F6:F9)</f>
        <v>169072.55</v>
      </c>
      <c r="G7" s="26" t="n">
        <f aca="false">SUM('Pelagicos LMC y LTP '!G6:G9)</f>
        <v>429660.649</v>
      </c>
      <c r="H7" s="27" t="n">
        <f aca="false">SUM('Pelagicos LMC y LTP '!I6:I9)</f>
        <v>-30004.259</v>
      </c>
      <c r="I7" s="28" t="n">
        <f aca="false">'Pelagicos LMC y LTP '!H6:H9</f>
        <v>2580.167</v>
      </c>
      <c r="J7" s="29" t="n">
        <f aca="false">SUM(G7:I7)</f>
        <v>402236.557</v>
      </c>
      <c r="K7" s="30" t="n">
        <f aca="false">SUM('Pelagicos LMC y LTP '!K6:K9)</f>
        <v>347952.483</v>
      </c>
      <c r="L7" s="31"/>
      <c r="M7" s="32" t="n">
        <f aca="false">J7-K7</f>
        <v>54284.074</v>
      </c>
      <c r="N7" s="33" t="n">
        <f aca="false">K7/J7</f>
        <v>0.865044404703375</v>
      </c>
      <c r="O7" s="34" t="n">
        <f aca="false">(K7+F7)/(C7+D7+H7+P8)</f>
        <v>0.909088665331502</v>
      </c>
      <c r="P7" s="35"/>
      <c r="Q7" s="35" t="n">
        <f aca="false">F7+K7</f>
        <v>517025.033</v>
      </c>
    </row>
    <row r="8" customFormat="false" ht="14.4" hidden="false" customHeight="false" outlineLevel="0" collapsed="false">
      <c r="A8" s="36" t="s">
        <v>20</v>
      </c>
      <c r="B8" s="37" t="s">
        <v>22</v>
      </c>
      <c r="C8" s="37" t="n">
        <f aca="false">'Pelagicos LMC y LTP '!C11+'Pelagicos LMC y LTP '!C12+'Pelagicos LMC y LTP '!C13+'Pelagicos LMC y LTP '!C14+'Pelagicos LMC y LTP '!C15+'Pelagicos LMC y LTP '!C16+'Pelagicos LMC y LTP '!C17+'Pelagicos LMC y LTP '!C18</f>
        <v>28393.001</v>
      </c>
      <c r="D8" s="38" t="n">
        <f aca="false">SUM('Pelagicos LMC y LTP '!D11:D18)</f>
        <v>-26086.515</v>
      </c>
      <c r="E8" s="39" t="n">
        <f aca="false">C8+D8</f>
        <v>2306.486</v>
      </c>
      <c r="F8" s="37" t="n">
        <f aca="false">SUM('Pelagicos LMC y LTP '!F11:F18)</f>
        <v>0</v>
      </c>
      <c r="G8" s="40" t="n">
        <f aca="false">SUM('Pelagicos LMC y LTP '!G11:G18)</f>
        <v>2306.486</v>
      </c>
      <c r="H8" s="40" t="n">
        <f aca="false">SUM('Pelagicos LMC y LTP '!I11:I18)</f>
        <v>0</v>
      </c>
      <c r="I8" s="41" t="n">
        <f aca="false">'Pelagicos LMC y LTP '!H11+'Pelagicos LMC y LTP '!H12+'Pelagicos LMC y LTP '!H13+'Pelagicos LMC y LTP '!H14+'Pelagicos LMC y LTP '!H15+'Pelagicos LMC y LTP '!H16+'Pelagicos LMC y LTP '!H17+'Pelagicos LMC y LTP '!H18</f>
        <v>0</v>
      </c>
      <c r="J8" s="41" t="n">
        <f aca="false">SUM(G8:I8)</f>
        <v>2306.486</v>
      </c>
      <c r="K8" s="42" t="n">
        <f aca="false">SUM('Pelagicos LMC y LTP '!K11:K18)</f>
        <v>0</v>
      </c>
      <c r="L8" s="43"/>
      <c r="M8" s="32" t="n">
        <f aca="false">J8-K8</f>
        <v>2306.486</v>
      </c>
      <c r="N8" s="33" t="n">
        <f aca="false">K8/J8</f>
        <v>0</v>
      </c>
      <c r="O8" s="34" t="n">
        <f aca="false">(K8+F8)/(C8+D8+H8+P9)</f>
        <v>0</v>
      </c>
      <c r="P8" s="2"/>
      <c r="Q8" s="35" t="n">
        <f aca="false">F8+K8</f>
        <v>0</v>
      </c>
    </row>
    <row r="9" customFormat="false" ht="14.4" hidden="false" customHeight="false" outlineLevel="0" collapsed="false">
      <c r="A9" s="36" t="s">
        <v>20</v>
      </c>
      <c r="B9" s="37" t="s">
        <v>23</v>
      </c>
      <c r="C9" s="37" t="n">
        <f aca="false">'Pelagicos LMC y LTP '!C20+'Pelagicos LMC y LTP '!C21+'Pelagicos LMC y LTP '!C22+'Pelagicos LMC y LTP '!C23+'Pelagicos LMC y LTP '!C24+'Pelagicos LMC y LTP '!C25+'Pelagicos LMC y LTP '!C26+'Pelagicos LMC y LTP '!C27+'Pelagicos LMC y LTP '!C28+'Pelagicos LMC y LTP '!C29+'Pelagicos LMC y LTP '!C30+'Pelagicos LMC y LTP '!C31+'Pelagicos LMC y LTP '!C32+'Pelagicos LMC y LTP '!C33+'Pelagicos LMC y LTP '!C34+'Pelagicos LMC y LTP '!C35+'Pelagicos LMC y LTP '!C36</f>
        <v>25527.998</v>
      </c>
      <c r="D9" s="38" t="n">
        <f aca="false">SUM('Pelagicos LMC y LTP '!D20:D36)</f>
        <v>-3083</v>
      </c>
      <c r="E9" s="44" t="n">
        <f aca="false">C9+D9</f>
        <v>22444.998</v>
      </c>
      <c r="F9" s="37" t="n">
        <f aca="false">SUM('Pelagicos LMC y LTP '!F20:F36)</f>
        <v>1551.163</v>
      </c>
      <c r="G9" s="40" t="n">
        <f aca="false">SUM('Pelagicos LMC y LTP '!G20:G36)</f>
        <v>20893.835</v>
      </c>
      <c r="H9" s="40" t="n">
        <f aca="false">SUM('Pelagicos LMC y LTP '!I20:I36)</f>
        <v>1761.389</v>
      </c>
      <c r="I9" s="41"/>
      <c r="J9" s="41" t="n">
        <f aca="false">SUM(G9:I9)</f>
        <v>22655.224</v>
      </c>
      <c r="K9" s="42" t="n">
        <f aca="false">SUM('Pelagicos LMC y LTP '!K20:K36)</f>
        <v>4222.392</v>
      </c>
      <c r="L9" s="43"/>
      <c r="M9" s="32" t="n">
        <f aca="false">J9-K9</f>
        <v>18432.832</v>
      </c>
      <c r="N9" s="33" t="n">
        <f aca="false">K9/J9</f>
        <v>0.186376087034055</v>
      </c>
      <c r="O9" s="34" t="n">
        <f aca="false">(K9+F9)/(C9+D9+H9+P10)</f>
        <v>0.238513703015655</v>
      </c>
      <c r="P9" s="2"/>
      <c r="Q9" s="35" t="n">
        <f aca="false">F9+K9</f>
        <v>5773.555</v>
      </c>
    </row>
    <row r="10" customFormat="false" ht="14.4" hidden="false" customHeight="false" outlineLevel="0" collapsed="false">
      <c r="A10" s="36" t="s">
        <v>24</v>
      </c>
      <c r="B10" s="37" t="s">
        <v>25</v>
      </c>
      <c r="C10" s="37" t="n">
        <f aca="false">'Crustaceos  LMC y LTP'!C6+'Crustaceos  LMC y LTP'!C7+'Crustaceos  LMC y LTP'!C8+'Crustaceos  LMC y LTP'!C9+'Crustaceos  LMC y LTP'!C10+'Crustaceos  LMC y LTP'!C11+'Crustaceos  LMC y LTP'!C12+'Crustaceos  LMC y LTP'!C13+'Crustaceos  LMC y LTP'!C14+'Crustaceos  LMC y LTP'!C15+'Crustaceos  LMC y LTP'!C16+'Crustaceos  LMC y LTP'!C17+'Crustaceos  LMC y LTP'!C18+'Crustaceos  LMC y LTP'!C19+'Crustaceos  LMC y LTP'!C20+'Crustaceos  LMC y LTP'!C21+'Crustaceos  LMC y LTP'!C22+'Crustaceos  LMC y LTP'!C23</f>
        <v>3051.7</v>
      </c>
      <c r="D10" s="37" t="n">
        <f aca="false">SUM('Crustaceos  LMC y LTP'!D6:D22)</f>
        <v>0</v>
      </c>
      <c r="E10" s="44" t="n">
        <f aca="false">C10+D10</f>
        <v>3051.7</v>
      </c>
      <c r="F10" s="37" t="n">
        <f aca="false">SUM('Crustaceos  LMC y LTP'!F6:F23)</f>
        <v>1420.984</v>
      </c>
      <c r="G10" s="40" t="n">
        <f aca="false">SUM('Crustaceos  LMC y LTP'!G7:G23)</f>
        <v>1630.716</v>
      </c>
      <c r="H10" s="40" t="n">
        <f aca="false">SUM('Crustaceos  LMC y LTP'!H7:H23)</f>
        <v>-6.532</v>
      </c>
      <c r="I10" s="41"/>
      <c r="J10" s="41" t="n">
        <f aca="false">SUM(G10:I10)</f>
        <v>1624.184</v>
      </c>
      <c r="K10" s="42" t="n">
        <f aca="false">SUM('Crustaceos  LMC y LTP'!J7:J23)</f>
        <v>1212.35</v>
      </c>
      <c r="L10" s="43"/>
      <c r="M10" s="32" t="n">
        <f aca="false">J10-K10</f>
        <v>411.834</v>
      </c>
      <c r="N10" s="33" t="n">
        <f aca="false">K10/J10</f>
        <v>0.746436364352807</v>
      </c>
      <c r="O10" s="34" t="n">
        <f aca="false">(K10+F10)/(C10+D10+H10+P11)</f>
        <v>0.864758200532778</v>
      </c>
      <c r="P10" s="2"/>
      <c r="Q10" s="35" t="n">
        <f aca="false">F10+K10</f>
        <v>2633.334</v>
      </c>
    </row>
    <row r="11" customFormat="false" ht="14.4" hidden="false" customHeight="false" outlineLevel="0" collapsed="false">
      <c r="A11" s="36" t="s">
        <v>26</v>
      </c>
      <c r="B11" s="37" t="s">
        <v>27</v>
      </c>
      <c r="C11" s="37" t="n">
        <f aca="false">'Demersales LMC y LTP '!C7+'Demersales LMC y LTP '!C8+'Demersales LMC y LTP '!C9+'Demersales LMC y LTP '!C10+'Demersales LMC y LTP '!C11</f>
        <v>542.601</v>
      </c>
      <c r="D11" s="37" t="n">
        <f aca="false">SUM('Demersales LMC y LTP '!D7:D11)</f>
        <v>0</v>
      </c>
      <c r="E11" s="44" t="n">
        <f aca="false">C11+D11</f>
        <v>542.601</v>
      </c>
      <c r="F11" s="37" t="n">
        <f aca="false">SUM('Demersales LMC y LTP '!F7:F11)</f>
        <v>46.949</v>
      </c>
      <c r="G11" s="40" t="n">
        <f aca="false">SUM('Demersales LMC y LTP '!G7:G11)</f>
        <v>495.652</v>
      </c>
      <c r="H11" s="40" t="n">
        <f aca="false">SUM('Demersales LMC y LTP '!H7:H11)</f>
        <v>-8.88178419700125E-015</v>
      </c>
      <c r="I11" s="41"/>
      <c r="J11" s="41" t="n">
        <f aca="false">SUM(G11:I11)</f>
        <v>495.652</v>
      </c>
      <c r="K11" s="42" t="n">
        <f aca="false">SUM('Demersales LMC y LTP '!J7:J11)</f>
        <v>455.38</v>
      </c>
      <c r="L11" s="43"/>
      <c r="M11" s="32" t="n">
        <f aca="false">J11-K11</f>
        <v>40.2720000000001</v>
      </c>
      <c r="N11" s="33" t="n">
        <f aca="false">K11/J11</f>
        <v>0.918749445175244</v>
      </c>
      <c r="O11" s="34" t="n">
        <f aca="false">(K11+F11)/(C11+D11+H11+P12)</f>
        <v>0.925779716587327</v>
      </c>
      <c r="P11" s="2"/>
      <c r="Q11" s="35" t="n">
        <f aca="false">F11+K11</f>
        <v>502.329</v>
      </c>
    </row>
    <row r="12" customFormat="false" ht="14.4" hidden="false" customHeight="false" outlineLevel="0" collapsed="false">
      <c r="A12" s="36" t="s">
        <v>26</v>
      </c>
      <c r="B12" s="37" t="s">
        <v>28</v>
      </c>
      <c r="C12" s="37" t="n">
        <f aca="false">'Demersales LMC y LTP '!C13+'Demersales LMC y LTP '!C14+'Demersales LMC y LTP '!C15+'Demersales LMC y LTP '!C16+'Demersales LMC y LTP '!C17</f>
        <v>326.5</v>
      </c>
      <c r="D12" s="37" t="n">
        <f aca="false">SUM('Demersales LMC y LTP '!D13:D17)</f>
        <v>0</v>
      </c>
      <c r="E12" s="45" t="n">
        <f aca="false">C12+D12</f>
        <v>326.5</v>
      </c>
      <c r="F12" s="37" t="n">
        <f aca="false">SUM('Demersales LMC y LTP '!F13:F17)</f>
        <v>158.571</v>
      </c>
      <c r="G12" s="40" t="n">
        <f aca="false">SUM('Demersales LMC y LTP '!G13:G17)</f>
        <v>167.929</v>
      </c>
      <c r="H12" s="40" t="n">
        <f aca="false">SUM('Demersales LMC y LTP '!H13:H17)</f>
        <v>0.63</v>
      </c>
      <c r="I12" s="41"/>
      <c r="J12" s="41" t="n">
        <f aca="false">SUM(G12:I12)</f>
        <v>168.559</v>
      </c>
      <c r="K12" s="42" t="n">
        <f aca="false">SUM('Demersales LMC y LTP '!J13:J17)</f>
        <v>95.173</v>
      </c>
      <c r="L12" s="43"/>
      <c r="M12" s="32" t="n">
        <f aca="false">J12-K12</f>
        <v>73.386</v>
      </c>
      <c r="N12" s="33" t="n">
        <f aca="false">K12/J12</f>
        <v>0.564627222515558</v>
      </c>
      <c r="O12" s="34" t="n">
        <f aca="false">(K12+F12)/(C12+D12+H12+P13)</f>
        <v>0.775667165958487</v>
      </c>
      <c r="P12" s="2"/>
      <c r="Q12" s="35" t="n">
        <f aca="false">F12+K12</f>
        <v>253.744</v>
      </c>
    </row>
    <row r="13" customFormat="false" ht="14.4" hidden="false" customHeight="false" outlineLevel="0" collapsed="false">
      <c r="A13" s="36" t="s">
        <v>29</v>
      </c>
      <c r="B13" s="46" t="s">
        <v>30</v>
      </c>
      <c r="C13" s="46" t="n">
        <f aca="false">'Pelagicos LMC y LTP '!C38+'Pelagicos LMC y LTP '!C39+'Pelagicos LMC y LTP '!C40+'Pelagicos LMC y LTP '!C41</f>
        <v>33953.904</v>
      </c>
      <c r="D13" s="47" t="n">
        <f aca="false">SUM('Pelagicos LMC y LTP '!D38:D41)</f>
        <v>-5646.628</v>
      </c>
      <c r="E13" s="44" t="n">
        <f aca="false">C13+D13</f>
        <v>28307.276</v>
      </c>
      <c r="F13" s="46" t="n">
        <f aca="false">SUM('Pelagicos LMC y LTP '!F38:F41)</f>
        <v>15304.6</v>
      </c>
      <c r="G13" s="48" t="n">
        <f aca="false">SUM('Pelagicos LMC y LTP '!G38:G41)</f>
        <v>13002.676</v>
      </c>
      <c r="H13" s="49" t="n">
        <f aca="false">SUM('Pelagicos LMC y LTP '!I38:I41)</f>
        <v>-6525</v>
      </c>
      <c r="I13" s="50" t="n">
        <f aca="false">'Pelagicos LMC y LTP '!H38+'Pelagicos LMC y LTP '!H39+'Pelagicos LMC y LTP '!H40+'Pelagicos LMC y LTP '!H41</f>
        <v>684.001</v>
      </c>
      <c r="J13" s="51" t="n">
        <f aca="false">SUM(G13:I13)</f>
        <v>7161.677</v>
      </c>
      <c r="K13" s="52" t="n">
        <f aca="false">SUM('Pelagicos LMC y LTP '!K38:K41)</f>
        <v>717.8</v>
      </c>
      <c r="L13" s="43"/>
      <c r="M13" s="32" t="n">
        <f aca="false">J13-K13</f>
        <v>6443.877</v>
      </c>
      <c r="N13" s="33" t="n">
        <f aca="false">K13/J13</f>
        <v>0.100227921477051</v>
      </c>
      <c r="O13" s="34" t="n">
        <f aca="false">(K13+F13)/(C13+D13+H13+P14)</f>
        <v>0.735570516138901</v>
      </c>
      <c r="P13" s="2"/>
      <c r="Q13" s="35" t="n">
        <f aca="false">F13+K13</f>
        <v>16022.4</v>
      </c>
    </row>
    <row r="14" customFormat="false" ht="14.4" hidden="false" customHeight="false" outlineLevel="0" collapsed="false">
      <c r="A14" s="36" t="s">
        <v>29</v>
      </c>
      <c r="B14" s="53" t="s">
        <v>22</v>
      </c>
      <c r="C14" s="53" t="n">
        <f aca="false">'Pelagicos LMC y LTP '!C43+'Pelagicos LMC y LTP '!C44+'Pelagicos LMC y LTP '!C45+'Pelagicos LMC y LTP '!C46+'Pelagicos LMC y LTP '!C47+'Pelagicos LMC y LTP '!C48+'Pelagicos LMC y LTP '!C49+'Pelagicos LMC y LTP '!C50+'Pelagicos LMC y LTP '!C51+'Pelagicos LMC y LTP '!C52+'Pelagicos LMC y LTP '!C53+'Pelagicos LMC y LTP '!C54+'Pelagicos LMC y LTP '!C55</f>
        <v>4921.498</v>
      </c>
      <c r="D14" s="54" t="n">
        <f aca="false">SUM('Pelagicos LMC y LTP '!D43:D55)</f>
        <v>8231.924</v>
      </c>
      <c r="E14" s="44" t="n">
        <f aca="false">C14+D14</f>
        <v>13153.422</v>
      </c>
      <c r="F14" s="53" t="n">
        <f aca="false">SUM('Pelagicos LMC y LTP '!F43:F55)</f>
        <v>12514.743</v>
      </c>
      <c r="G14" s="55" t="n">
        <f aca="false">SUM('Pelagicos LMC y LTP '!G43:G55)</f>
        <v>638.679000000002</v>
      </c>
      <c r="H14" s="55" t="n">
        <f aca="false">SUM('Pelagicos LMC y LTP '!I43:I55)</f>
        <v>-38.188</v>
      </c>
      <c r="I14" s="56" t="n">
        <f aca="false">'Pelagicos LMC y LTP '!H43+'Pelagicos LMC y LTP '!H44+'Pelagicos LMC y LTP '!H45+'Pelagicos LMC y LTP '!H46+'Pelagicos LMC y LTP '!H47+'Pelagicos LMC y LTP '!H48+'Pelagicos LMC y LTP '!H49+'Pelagicos LMC y LTP '!H50+'Pelagicos LMC y LTP '!H51+'Pelagicos LMC y LTP '!H52+'Pelagicos LMC y LTP '!H53+'Pelagicos LMC y LTP '!H54+'Pelagicos LMC y LTP '!H55</f>
        <v>144.002</v>
      </c>
      <c r="J14" s="57" t="n">
        <f aca="false">SUM(G14:I14)</f>
        <v>744.493000000002</v>
      </c>
      <c r="K14" s="52" t="n">
        <f aca="false">SUM('Pelagicos LMC y LTP '!K43:K55)</f>
        <v>25.23</v>
      </c>
      <c r="L14" s="58" t="n">
        <v>38.5</v>
      </c>
      <c r="M14" s="32" t="n">
        <f aca="false">J14-K14</f>
        <v>719.263000000002</v>
      </c>
      <c r="N14" s="33" t="n">
        <f aca="false">K14/J14</f>
        <v>0.0338888344148299</v>
      </c>
      <c r="O14" s="34" t="n">
        <f aca="false">(K14+F14)/(C14+D14+H14+P15)</f>
        <v>0.956137953771927</v>
      </c>
      <c r="P14" s="59"/>
      <c r="Q14" s="35" t="n">
        <f aca="false">F14+K14</f>
        <v>12539.973</v>
      </c>
    </row>
    <row r="15" customFormat="false" ht="14.4" hidden="false" customHeight="false" outlineLevel="0" collapsed="false">
      <c r="A15" s="36" t="s">
        <v>29</v>
      </c>
      <c r="B15" s="53" t="s">
        <v>31</v>
      </c>
      <c r="C15" s="53" t="n">
        <f aca="false">SUM('Pelagicos LMC y LTP '!C57:C78)</f>
        <v>121428.201</v>
      </c>
      <c r="D15" s="54" t="n">
        <f aca="false">SUM('Pelagicos LMC y LTP '!D57:D78)</f>
        <v>11816.128</v>
      </c>
      <c r="E15" s="39" t="n">
        <f aca="false">C15+D15</f>
        <v>133244.329</v>
      </c>
      <c r="F15" s="53" t="n">
        <f aca="false">SUM('Pelagicos LMC y LTP '!F57:F78)</f>
        <v>126136.175</v>
      </c>
      <c r="G15" s="55" t="n">
        <f aca="false">SUM('Pelagicos LMC y LTP '!G57:G78)</f>
        <v>7108.154</v>
      </c>
      <c r="H15" s="60" t="n">
        <f aca="false">SUM('Pelagicos LMC y LTP '!I57:I78)</f>
        <v>7991.385</v>
      </c>
      <c r="I15" s="56" t="n">
        <f aca="false">'Pelagicos LMC y LTP '!H57+'Pelagicos LMC y LTP '!H58+'Pelagicos LMC y LTP '!H59+'Pelagicos LMC y LTP '!H60+'Pelagicos LMC y LTP '!H61+'Pelagicos LMC y LTP '!H62+'Pelagicos LMC y LTP '!H63+'Pelagicos LMC y LTP '!H64+'Pelagicos LMC y LTP '!H65+'Pelagicos LMC y LTP '!H66+'Pelagicos LMC y LTP '!H67+'Pelagicos LMC y LTP '!H68+'Pelagicos LMC y LTP '!H69+'Pelagicos LMC y LTP '!H70+'Pelagicos LMC y LTP '!H71+'Pelagicos LMC y LTP '!H72+'Pelagicos LMC y LTP '!H73+'Pelagicos LMC y LTP '!H74+'Pelagicos LMC y LTP '!H75+'Pelagicos LMC y LTP '!H76+'Pelagicos LMC y LTP '!H77+'Pelagicos LMC y LTP '!H78</f>
        <v>3090.003</v>
      </c>
      <c r="J15" s="57" t="n">
        <f aca="false">SUM(G15:I15)</f>
        <v>18189.542</v>
      </c>
      <c r="K15" s="52" t="n">
        <f aca="false">SUM('Pelagicos LMC y LTP '!K57:K78)</f>
        <v>9370.876</v>
      </c>
      <c r="L15" s="43" t="n">
        <v>700.336</v>
      </c>
      <c r="M15" s="32" t="n">
        <f aca="false">J15-K15</f>
        <v>8818.666</v>
      </c>
      <c r="N15" s="33" t="n">
        <f aca="false">K15/J15</f>
        <v>0.515179326670237</v>
      </c>
      <c r="O15" s="34" t="n">
        <f aca="false">(K15+F15)/(C15+D15+H15+P16)</f>
        <v>0.959438991472086</v>
      </c>
      <c r="P15" s="59"/>
      <c r="Q15" s="35" t="n">
        <f aca="false">F15+K15</f>
        <v>135507.051</v>
      </c>
    </row>
    <row r="16" customFormat="false" ht="14.4" hidden="false" customHeight="false" outlineLevel="0" collapsed="false">
      <c r="A16" s="36" t="s">
        <v>29</v>
      </c>
      <c r="B16" s="53" t="s">
        <v>32</v>
      </c>
      <c r="C16" s="53" t="n">
        <f aca="false">SUM('Pelagicos LMC y LTP '!C80:C101)</f>
        <v>16994.588</v>
      </c>
      <c r="D16" s="61" t="n">
        <f aca="false">SUM('Pelagicos LMC y LTP '!D80:D101)</f>
        <v>-11314.415</v>
      </c>
      <c r="E16" s="45" t="n">
        <f aca="false">C16+D16</f>
        <v>5680.173</v>
      </c>
      <c r="F16" s="62" t="n">
        <f aca="false">SUM('Pelagicos LMC y LTP '!F80:F101)</f>
        <v>4479.645</v>
      </c>
      <c r="G16" s="55" t="n">
        <f aca="false">SUM('Pelagicos LMC y LTP '!G80:G101)</f>
        <v>1200.528</v>
      </c>
      <c r="H16" s="63" t="n">
        <f aca="false">SUM('Pelagicos LMC y LTP '!I80:I101)</f>
        <v>-999.497</v>
      </c>
      <c r="I16" s="56" t="n">
        <f aca="false">'Pelagicos LMC y LTP '!H80+'Pelagicos LMC y LTP '!H81+'Pelagicos LMC y LTP '!H82+'Pelagicos LMC y LTP '!H83+'Pelagicos LMC y LTP '!H84+'Pelagicos LMC y LTP '!H85+'Pelagicos LMC y LTP '!H86+'Pelagicos LMC y LTP '!H87+'Pelagicos LMC y LTP '!H88+'Pelagicos LMC y LTP '!H89+'Pelagicos LMC y LTP '!H90+'Pelagicos LMC y LTP '!H91+'Pelagicos LMC y LTP '!H92+'Pelagicos LMC y LTP '!H93+'Pelagicos LMC y LTP '!H94+'Pelagicos LMC y LTP '!H95+'Pelagicos LMC y LTP '!H96+'Pelagicos LMC y LTP '!H97+'Pelagicos LMC y LTP '!H98+'Pelagicos LMC y LTP '!H99+'Pelagicos LMC y LTP '!H100+'Pelagicos LMC y LTP '!H101</f>
        <v>433.001</v>
      </c>
      <c r="J16" s="57" t="n">
        <f aca="false">SUM(G16:I16)</f>
        <v>634.032</v>
      </c>
      <c r="K16" s="52" t="n">
        <f aca="false">SUM('Pelagicos LMC y LTP '!K80:K101)</f>
        <v>172.732</v>
      </c>
      <c r="L16" s="43" t="n">
        <v>4625.692</v>
      </c>
      <c r="M16" s="32" t="n">
        <f aca="false">J16-K16</f>
        <v>461.3</v>
      </c>
      <c r="N16" s="33" t="n">
        <f aca="false">K16/J16</f>
        <v>0.272434198904787</v>
      </c>
      <c r="O16" s="34" t="n">
        <f aca="false">(K16+F16)/(C16+D16+H16+P17)</f>
        <v>0.993954078427988</v>
      </c>
      <c r="P16" s="59"/>
      <c r="Q16" s="35" t="n">
        <f aca="false">F16+K16</f>
        <v>4652.377</v>
      </c>
    </row>
    <row r="17" customFormat="false" ht="14.4" hidden="false" customHeight="false" outlineLevel="0" collapsed="false">
      <c r="A17" s="36" t="s">
        <v>33</v>
      </c>
      <c r="B17" s="37" t="s">
        <v>34</v>
      </c>
      <c r="C17" s="37" t="n">
        <f aca="false">SUM('Crustaceos  LMC y LTP'!C26:C36)</f>
        <v>1167.997</v>
      </c>
      <c r="D17" s="38" t="n">
        <f aca="false">SUM('Crustaceos  LMC y LTP'!D26:D36)</f>
        <v>-60</v>
      </c>
      <c r="E17" s="64" t="n">
        <f aca="false">C17+D17</f>
        <v>1107.997</v>
      </c>
      <c r="F17" s="65" t="n">
        <f aca="false">SUM('Crustaceos  LMC y LTP'!F26:F36)</f>
        <v>728.272</v>
      </c>
      <c r="G17" s="40" t="n">
        <f aca="false">SUM('Crustaceos  LMC y LTP'!G27:G36)</f>
        <v>379.725</v>
      </c>
      <c r="H17" s="66" t="n">
        <f aca="false">SUM('Crustaceos  LMC y LTP'!H27:H36)</f>
        <v>-85</v>
      </c>
      <c r="I17" s="67"/>
      <c r="J17" s="41" t="n">
        <f aca="false">SUM(G17:I17)</f>
        <v>294.725</v>
      </c>
      <c r="K17" s="42" t="n">
        <f aca="false">SUM('Crustaceos  LMC y LTP'!J27:J36)</f>
        <v>183.997</v>
      </c>
      <c r="L17" s="43"/>
      <c r="M17" s="32" t="n">
        <f aca="false">J17-K17</f>
        <v>110.728</v>
      </c>
      <c r="N17" s="33" t="n">
        <f aca="false">K17/J17</f>
        <v>0.624300619221308</v>
      </c>
      <c r="O17" s="34" t="n">
        <f aca="false">(K17+F17)/(C17+D17+H17+P18)</f>
        <v>0.891761168410074</v>
      </c>
      <c r="P17" s="2"/>
      <c r="Q17" s="35" t="n">
        <f aca="false">F17+K17</f>
        <v>912.269</v>
      </c>
    </row>
    <row r="18" customFormat="false" ht="14.4" hidden="false" customHeight="false" outlineLevel="0" collapsed="false">
      <c r="A18" s="68" t="s">
        <v>35</v>
      </c>
      <c r="B18" s="37" t="s">
        <v>36</v>
      </c>
      <c r="C18" s="37" t="n">
        <f aca="false">SUM('Crustaceos  LMC y LTP'!C38:C43)</f>
        <v>1132.998</v>
      </c>
      <c r="D18" s="37" t="n">
        <f aca="false">SUM('Crustaceos  LMC y LTP'!D38:D43)</f>
        <v>0</v>
      </c>
      <c r="E18" s="44" t="n">
        <f aca="false">C18+D18</f>
        <v>1132.998</v>
      </c>
      <c r="F18" s="37" t="n">
        <f aca="false">SUM('Crustaceos  LMC y LTP'!F38:F43)</f>
        <v>551.798</v>
      </c>
      <c r="G18" s="40" t="n">
        <f aca="false">SUM('Crustaceos  LMC y LTP'!G39:G43)</f>
        <v>581.2</v>
      </c>
      <c r="H18" s="66" t="n">
        <f aca="false">SUM('Crustaceos  LMC y LTP'!H39:H43)</f>
        <v>-16.5</v>
      </c>
      <c r="I18" s="67"/>
      <c r="J18" s="41" t="n">
        <f aca="false">SUM(G18:I18)</f>
        <v>564.7</v>
      </c>
      <c r="K18" s="42" t="n">
        <f aca="false">SUM('Crustaceos  LMC y LTP'!J39:J43)</f>
        <v>161.292</v>
      </c>
      <c r="L18" s="43"/>
      <c r="M18" s="32" t="n">
        <f aca="false">J18-K18</f>
        <v>403.408</v>
      </c>
      <c r="N18" s="33" t="n">
        <f aca="false">K18/J18</f>
        <v>0.285624225252346</v>
      </c>
      <c r="O18" s="34" t="n">
        <f aca="false">(K18+F18)/(C18+D18+H18+P19)</f>
        <v>0.638684529663287</v>
      </c>
      <c r="P18" s="2"/>
      <c r="Q18" s="35" t="n">
        <f aca="false">F18+K18</f>
        <v>713.09</v>
      </c>
    </row>
    <row r="19" customFormat="false" ht="14.4" hidden="false" customHeight="false" outlineLevel="0" collapsed="false">
      <c r="A19" s="36" t="s">
        <v>37</v>
      </c>
      <c r="B19" s="37" t="s">
        <v>38</v>
      </c>
      <c r="C19" s="37" t="n">
        <f aca="false">SUM('Demersales LMC y LTP '!C62:C83)</f>
        <v>20915.602</v>
      </c>
      <c r="D19" s="37" t="n">
        <f aca="false">SUM('Demersales LMC y LTP '!D62:D81)</f>
        <v>0</v>
      </c>
      <c r="E19" s="44" t="n">
        <f aca="false">C19+D19</f>
        <v>20915.602</v>
      </c>
      <c r="F19" s="37" t="n">
        <f aca="false">SUM('Demersales LMC y LTP '!F62:F83)</f>
        <v>12431.975</v>
      </c>
      <c r="G19" s="69" t="n">
        <f aca="false">SUM('Demersales LMC y LTP '!G62:G83)</f>
        <v>8483.627</v>
      </c>
      <c r="H19" s="69" t="n">
        <f aca="false">SUM('Demersales LMC y LTP '!H62:H83)</f>
        <v>-0.300000000000012</v>
      </c>
      <c r="I19" s="70"/>
      <c r="J19" s="71" t="n">
        <f aca="false">SUM(G19:I19)</f>
        <v>8483.327</v>
      </c>
      <c r="K19" s="42" t="n">
        <f aca="false">SUM('Demersales LMC y LTP '!J62:J81)</f>
        <v>7876.829</v>
      </c>
      <c r="L19" s="43"/>
      <c r="M19" s="32" t="n">
        <f aca="false">J19-K19</f>
        <v>606.498</v>
      </c>
      <c r="N19" s="33" t="n">
        <f aca="false">K19/J19</f>
        <v>0.928507058610378</v>
      </c>
      <c r="O19" s="34" t="n">
        <f aca="false">(K19+F19)/(C19+D19+H19+P20)</f>
        <v>0.971002187776203</v>
      </c>
      <c r="P19" s="2"/>
      <c r="Q19" s="35" t="n">
        <f aca="false">F19+K19</f>
        <v>20308.804</v>
      </c>
    </row>
    <row r="20" customFormat="false" ht="14.4" hidden="false" customHeight="false" outlineLevel="0" collapsed="false">
      <c r="A20" s="36" t="s">
        <v>39</v>
      </c>
      <c r="B20" s="37" t="s">
        <v>40</v>
      </c>
      <c r="C20" s="37" t="n">
        <f aca="false">SUM('Demersales LMC y LTP '!C36:C54)</f>
        <v>34307.898</v>
      </c>
      <c r="D20" s="38" t="n">
        <f aca="false">SUM('Demersales LMC y LTP '!D36:D54)</f>
        <v>-3639.442</v>
      </c>
      <c r="E20" s="44" t="n">
        <f aca="false">C20+D20</f>
        <v>30668.456</v>
      </c>
      <c r="F20" s="37" t="n">
        <f aca="false">SUM('Demersales LMC y LTP '!F36:F54)</f>
        <v>10342.455</v>
      </c>
      <c r="G20" s="69" t="n">
        <f aca="false">SUM('Demersales LMC y LTP '!G36:G54)</f>
        <v>20326.001</v>
      </c>
      <c r="H20" s="69" t="n">
        <f aca="false">SUM('Demersales LMC y LTP '!H36:H54)</f>
        <v>0</v>
      </c>
      <c r="I20" s="71"/>
      <c r="J20" s="71" t="n">
        <f aca="false">SUM(G20:I20)</f>
        <v>20326.001</v>
      </c>
      <c r="K20" s="42" t="n">
        <f aca="false">SUM('Demersales LMC y LTP '!J36:J54)</f>
        <v>9596.677</v>
      </c>
      <c r="L20" s="43"/>
      <c r="M20" s="32" t="n">
        <f aca="false">J20-K20</f>
        <v>10729.324</v>
      </c>
      <c r="N20" s="33" t="n">
        <f aca="false">K20/J20</f>
        <v>0.472137977362099</v>
      </c>
      <c r="O20" s="34" t="n">
        <f aca="false">(K20+F20)/(C20+D20+H20+P21)</f>
        <v>0.650151152050172</v>
      </c>
      <c r="P20" s="2"/>
      <c r="Q20" s="35" t="n">
        <f aca="false">F20+K20</f>
        <v>19939.132</v>
      </c>
    </row>
    <row r="21" customFormat="false" ht="14.4" hidden="false" customHeight="false" outlineLevel="0" collapsed="false">
      <c r="A21" s="36" t="s">
        <v>39</v>
      </c>
      <c r="B21" s="37" t="s">
        <v>41</v>
      </c>
      <c r="C21" s="37" t="n">
        <f aca="false">SUM('Demersales LMC y LTP '!C56:C60)</f>
        <v>23609.307</v>
      </c>
      <c r="D21" s="72" t="n">
        <f aca="false">SUM('Demersales LMC y LTP '!D56:D60)</f>
        <v>5640.195</v>
      </c>
      <c r="E21" s="44" t="n">
        <f aca="false">C21+D21</f>
        <v>29249.502</v>
      </c>
      <c r="F21" s="37" t="n">
        <f aca="false">SUM('Demersales LMC y LTP '!F56:F60)</f>
        <v>18723.427</v>
      </c>
      <c r="G21" s="69" t="n">
        <f aca="false">SUM('Demersales LMC y LTP '!G56:G60)</f>
        <v>10526.075</v>
      </c>
      <c r="H21" s="73" t="n">
        <f aca="false">SUM('Demersales LMC y LTP '!H56:H60)</f>
        <v>0</v>
      </c>
      <c r="I21" s="74"/>
      <c r="J21" s="74" t="n">
        <f aca="false">SUM(G21:I21)</f>
        <v>10526.075</v>
      </c>
      <c r="K21" s="42" t="n">
        <f aca="false">SUM('Demersales LMC y LTP '!J56:J60)</f>
        <v>8751.183</v>
      </c>
      <c r="L21" s="43"/>
      <c r="M21" s="32" t="n">
        <f aca="false">J21-K21</f>
        <v>1774.892</v>
      </c>
      <c r="N21" s="33" t="n">
        <f aca="false">K21/J21</f>
        <v>0.83138140284959</v>
      </c>
      <c r="O21" s="34" t="n">
        <f aca="false">(K21+F21)/(C21+D21+H21+P22)</f>
        <v>0.93931889848928</v>
      </c>
      <c r="P21" s="2"/>
      <c r="Q21" s="35" t="n">
        <f aca="false">F21+K21</f>
        <v>27474.61</v>
      </c>
    </row>
    <row r="22" customFormat="false" ht="14.4" hidden="false" customHeight="false" outlineLevel="0" collapsed="false">
      <c r="A22" s="36" t="s">
        <v>42</v>
      </c>
      <c r="B22" s="37" t="s">
        <v>43</v>
      </c>
      <c r="C22" s="37" t="n">
        <f aca="false">SUM('Demersales LMC y LTP '!C31:C34)</f>
        <v>24857.5</v>
      </c>
      <c r="D22" s="37" t="n">
        <f aca="false">SUM('Demersales LMC y LTP '!D31:D34)</f>
        <v>0</v>
      </c>
      <c r="E22" s="45" t="n">
        <f aca="false">C22+D22</f>
        <v>24857.5</v>
      </c>
      <c r="F22" s="37" t="n">
        <f aca="false">SUM('Demersales LMC y LTP '!F31:F34)</f>
        <v>951.784</v>
      </c>
      <c r="G22" s="69" t="n">
        <f aca="false">SUM('Demersales LMC y LTP '!G31:G34)</f>
        <v>23905.716</v>
      </c>
      <c r="H22" s="69" t="n">
        <f aca="false">SUM('Demersales LMC y LTP '!H31:H34)</f>
        <v>0</v>
      </c>
      <c r="I22" s="71"/>
      <c r="J22" s="71" t="n">
        <f aca="false">SUM(G22:I22)</f>
        <v>23905.716</v>
      </c>
      <c r="K22" s="42" t="n">
        <f aca="false">SUM('Demersales LMC y LTP '!J31:J34)</f>
        <v>14351.542</v>
      </c>
      <c r="L22" s="43"/>
      <c r="M22" s="32" t="n">
        <f aca="false">J22-K22</f>
        <v>9554.174</v>
      </c>
      <c r="N22" s="33" t="n">
        <f aca="false">K22/J22</f>
        <v>0.600339349802365</v>
      </c>
      <c r="O22" s="34" t="n">
        <f aca="false">(K22+F22)/(C22+D22+H22+P23)</f>
        <v>0.615642200543096</v>
      </c>
      <c r="P22" s="2"/>
      <c r="Q22" s="35" t="n">
        <f aca="false">F22+K22</f>
        <v>15303.326</v>
      </c>
    </row>
    <row r="23" customFormat="false" ht="14.4" hidden="false" customHeight="false" outlineLevel="0" collapsed="false">
      <c r="A23" s="75" t="s">
        <v>44</v>
      </c>
      <c r="B23" s="76" t="s">
        <v>27</v>
      </c>
      <c r="C23" s="76" t="n">
        <f aca="false">SUM('Demersales LMC y LTP '!C19:C23)</f>
        <v>4616.001</v>
      </c>
      <c r="D23" s="77" t="n">
        <f aca="false">SUM('Demersales LMC y LTP '!D19:D23)</f>
        <v>2857.707</v>
      </c>
      <c r="E23" s="78" t="n">
        <f aca="false">C23+D23</f>
        <v>7473.708</v>
      </c>
      <c r="F23" s="76" t="n">
        <f aca="false">SUM('Demersales LMC y LTP '!F19:F23)</f>
        <v>4867.654</v>
      </c>
      <c r="G23" s="79" t="n">
        <f aca="false">SUM('Demersales LMC y LTP '!G19:G23)</f>
        <v>2606.054</v>
      </c>
      <c r="H23" s="80" t="n">
        <f aca="false">SUM('Demersales LMC y LTP '!H19:H23)</f>
        <v>3279.02</v>
      </c>
      <c r="I23" s="81"/>
      <c r="J23" s="82" t="n">
        <f aca="false">SUM(G23:I23)</f>
        <v>5885.074</v>
      </c>
      <c r="K23" s="83" t="n">
        <f aca="false">SUM('Demersales LMC y LTP '!J19:J23)</f>
        <v>5182.378</v>
      </c>
      <c r="L23" s="84"/>
      <c r="M23" s="85" t="n">
        <f aca="false">J23-K23</f>
        <v>702.696</v>
      </c>
      <c r="N23" s="86" t="n">
        <f aca="false">K23/J23</f>
        <v>0.880596913479763</v>
      </c>
      <c r="O23" s="87" t="n">
        <f aca="false">(K23+F23)/(C23+D23+H23+P24)</f>
        <v>0.9346495140582</v>
      </c>
      <c r="P23" s="88"/>
      <c r="Q23" s="89" t="n">
        <f aca="false">F23+K23</f>
        <v>10050.032</v>
      </c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0"/>
      <c r="AQ23" s="90"/>
      <c r="AR23" s="90"/>
      <c r="AS23" s="90"/>
      <c r="AT23" s="90"/>
      <c r="AU23" s="90"/>
      <c r="AV23" s="90"/>
      <c r="AW23" s="90"/>
      <c r="AX23" s="90"/>
      <c r="AY23" s="90"/>
      <c r="AZ23" s="90"/>
      <c r="BA23" s="90"/>
      <c r="BB23" s="90"/>
      <c r="BC23" s="90"/>
      <c r="BD23" s="90"/>
      <c r="BE23" s="90"/>
      <c r="BF23" s="90"/>
      <c r="BG23" s="90"/>
      <c r="BH23" s="90"/>
      <c r="BI23" s="90"/>
      <c r="BJ23" s="90"/>
      <c r="BK23" s="90"/>
      <c r="BL23" s="90"/>
      <c r="BM23" s="90"/>
      <c r="BN23" s="90"/>
      <c r="BO23" s="90"/>
      <c r="BP23" s="90"/>
      <c r="BQ23" s="90"/>
      <c r="BR23" s="90"/>
      <c r="BS23" s="90"/>
      <c r="BT23" s="90"/>
      <c r="BU23" s="90"/>
      <c r="BV23" s="90"/>
      <c r="BW23" s="90"/>
      <c r="BX23" s="90"/>
      <c r="BY23" s="90"/>
      <c r="BZ23" s="90"/>
      <c r="CA23" s="90"/>
      <c r="CB23" s="90"/>
      <c r="CC23" s="90"/>
      <c r="CD23" s="90"/>
      <c r="CE23" s="90"/>
      <c r="CF23" s="90"/>
      <c r="CG23" s="90"/>
      <c r="CH23" s="90"/>
      <c r="CI23" s="90"/>
      <c r="CJ23" s="90"/>
      <c r="CK23" s="90"/>
      <c r="CL23" s="90"/>
      <c r="CM23" s="90"/>
      <c r="CN23" s="90"/>
      <c r="CO23" s="90"/>
      <c r="CP23" s="90"/>
      <c r="CQ23" s="90"/>
      <c r="CR23" s="90"/>
      <c r="CS23" s="90"/>
      <c r="CT23" s="90"/>
      <c r="CU23" s="90"/>
      <c r="CV23" s="90"/>
      <c r="CW23" s="90"/>
      <c r="CX23" s="90"/>
      <c r="CY23" s="90"/>
      <c r="CZ23" s="90"/>
      <c r="DA23" s="90"/>
      <c r="DB23" s="90"/>
      <c r="DC23" s="90"/>
      <c r="DD23" s="90"/>
      <c r="DE23" s="90"/>
      <c r="DF23" s="90"/>
      <c r="DG23" s="90"/>
      <c r="DH23" s="90"/>
      <c r="DI23" s="90"/>
      <c r="DJ23" s="90"/>
      <c r="DK23" s="90"/>
      <c r="DL23" s="90"/>
      <c r="DM23" s="90"/>
      <c r="DN23" s="90"/>
      <c r="DO23" s="90"/>
      <c r="DP23" s="90"/>
      <c r="DQ23" s="90"/>
      <c r="DR23" s="90"/>
      <c r="DS23" s="90"/>
      <c r="DT23" s="90"/>
      <c r="DU23" s="90"/>
      <c r="DV23" s="90"/>
      <c r="DW23" s="90"/>
      <c r="DX23" s="90"/>
      <c r="DY23" s="90"/>
      <c r="DZ23" s="90"/>
      <c r="EA23" s="90"/>
      <c r="EB23" s="90"/>
      <c r="EC23" s="90"/>
      <c r="ED23" s="90"/>
      <c r="EE23" s="90"/>
      <c r="EF23" s="90"/>
      <c r="EG23" s="90"/>
      <c r="EH23" s="90"/>
      <c r="EI23" s="90"/>
      <c r="EJ23" s="90"/>
      <c r="EK23" s="90"/>
      <c r="EL23" s="90"/>
      <c r="EM23" s="90"/>
      <c r="EN23" s="90"/>
      <c r="EO23" s="90"/>
      <c r="EP23" s="90"/>
      <c r="EQ23" s="90"/>
      <c r="ER23" s="90"/>
      <c r="ES23" s="90"/>
      <c r="ET23" s="90"/>
      <c r="EU23" s="90"/>
      <c r="EV23" s="90"/>
      <c r="EW23" s="90"/>
      <c r="EX23" s="90"/>
      <c r="EY23" s="90"/>
      <c r="EZ23" s="90"/>
      <c r="FA23" s="90"/>
      <c r="FB23" s="90"/>
      <c r="FC23" s="90"/>
      <c r="FD23" s="90"/>
      <c r="FE23" s="90"/>
      <c r="FF23" s="90"/>
      <c r="FG23" s="90"/>
      <c r="FH23" s="90"/>
      <c r="FI23" s="90"/>
      <c r="FJ23" s="90"/>
      <c r="FK23" s="90"/>
      <c r="FL23" s="90"/>
      <c r="FM23" s="90"/>
      <c r="FN23" s="90"/>
      <c r="FO23" s="90"/>
      <c r="FP23" s="90"/>
      <c r="FQ23" s="90"/>
      <c r="FR23" s="90"/>
      <c r="FS23" s="90"/>
      <c r="FT23" s="90"/>
      <c r="FU23" s="90"/>
      <c r="FV23" s="90"/>
      <c r="FW23" s="90"/>
      <c r="FX23" s="90"/>
      <c r="FY23" s="90"/>
      <c r="FZ23" s="90"/>
      <c r="GA23" s="90"/>
      <c r="GB23" s="90"/>
      <c r="GC23" s="90"/>
      <c r="GD23" s="90"/>
      <c r="GE23" s="90"/>
      <c r="GF23" s="90"/>
      <c r="GG23" s="90"/>
      <c r="GH23" s="90"/>
      <c r="GI23" s="90"/>
      <c r="GJ23" s="90"/>
      <c r="GK23" s="90"/>
      <c r="GL23" s="90"/>
      <c r="GM23" s="90"/>
      <c r="GN23" s="90"/>
      <c r="GO23" s="90"/>
      <c r="GP23" s="90"/>
      <c r="GQ23" s="90"/>
      <c r="GR23" s="90"/>
      <c r="GS23" s="90"/>
      <c r="GT23" s="90"/>
      <c r="GU23" s="90"/>
      <c r="GV23" s="90"/>
      <c r="GW23" s="90"/>
      <c r="GX23" s="90"/>
      <c r="GY23" s="90"/>
      <c r="GZ23" s="90"/>
      <c r="HA23" s="90"/>
      <c r="HB23" s="90"/>
      <c r="HC23" s="90"/>
      <c r="HD23" s="90"/>
      <c r="HE23" s="90"/>
      <c r="HF23" s="90"/>
      <c r="HG23" s="90"/>
      <c r="HH23" s="90"/>
      <c r="HI23" s="90"/>
      <c r="HJ23" s="90"/>
      <c r="HK23" s="90"/>
      <c r="HL23" s="90"/>
      <c r="HM23" s="90"/>
      <c r="HN23" s="90"/>
      <c r="HO23" s="90"/>
      <c r="HP23" s="90"/>
      <c r="HQ23" s="90"/>
      <c r="HR23" s="90"/>
      <c r="HS23" s="90"/>
      <c r="HT23" s="90"/>
      <c r="HU23" s="90"/>
      <c r="HV23" s="90"/>
      <c r="HW23" s="90"/>
      <c r="HX23" s="90"/>
      <c r="HY23" s="90"/>
      <c r="HZ23" s="90"/>
      <c r="IA23" s="90"/>
      <c r="IB23" s="90"/>
      <c r="IC23" s="90"/>
      <c r="ID23" s="90"/>
      <c r="IE23" s="90"/>
      <c r="IF23" s="90"/>
      <c r="IG23" s="90"/>
      <c r="IH23" s="90"/>
      <c r="II23" s="90"/>
      <c r="IJ23" s="90"/>
      <c r="IK23" s="90"/>
      <c r="IL23" s="90"/>
      <c r="IM23" s="90"/>
      <c r="IN23" s="90"/>
      <c r="IO23" s="90"/>
      <c r="IP23" s="90"/>
      <c r="IQ23" s="90"/>
      <c r="IR23" s="90"/>
      <c r="IS23" s="90"/>
      <c r="IT23" s="90"/>
      <c r="IU23" s="90"/>
      <c r="IV23" s="90"/>
      <c r="IW23" s="90"/>
    </row>
    <row r="24" customFormat="false" ht="14.4" hidden="false" customHeight="false" outlineLevel="0" collapsed="false">
      <c r="A24" s="75" t="s">
        <v>44</v>
      </c>
      <c r="B24" s="76" t="s">
        <v>28</v>
      </c>
      <c r="C24" s="76" t="n">
        <f aca="false">SUM('Demersales LMC y LTP '!C25:C29)</f>
        <v>3217.999</v>
      </c>
      <c r="D24" s="77" t="n">
        <f aca="false">SUM('Demersales LMC y LTP '!D25:D29)</f>
        <v>276.344</v>
      </c>
      <c r="E24" s="78" t="n">
        <f aca="false">C24+D24</f>
        <v>3494.343</v>
      </c>
      <c r="F24" s="76" t="n">
        <f aca="false">SUM('Demersales LMC y LTP '!F25:F29)</f>
        <v>2071.849</v>
      </c>
      <c r="G24" s="79" t="n">
        <f aca="false">SUM('Demersales LMC y LTP '!G25:G29)</f>
        <v>1422.494</v>
      </c>
      <c r="H24" s="91" t="n">
        <f aca="false">SUM('Demersales LMC y LTP '!H25:H29)</f>
        <v>-439.261</v>
      </c>
      <c r="I24" s="92"/>
      <c r="J24" s="82" t="n">
        <f aca="false">SUM(G24:I24)</f>
        <v>983.233</v>
      </c>
      <c r="K24" s="83" t="n">
        <f aca="false">SUM('Demersales LMC y LTP '!J25:J29)</f>
        <v>880.853</v>
      </c>
      <c r="L24" s="84"/>
      <c r="M24" s="85" t="n">
        <f aca="false">J24-K24</f>
        <v>102.38</v>
      </c>
      <c r="N24" s="86" t="n">
        <f aca="false">K24/J24</f>
        <v>0.895874121393403</v>
      </c>
      <c r="O24" s="87" t="n">
        <f aca="false">(K24+F24)/(C24+D24+H24+P25)</f>
        <v>0.966488624527918</v>
      </c>
      <c r="P24" s="88"/>
      <c r="Q24" s="89" t="n">
        <f aca="false">F24+K24</f>
        <v>2952.702</v>
      </c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  <c r="BE24" s="90"/>
      <c r="BF24" s="90"/>
      <c r="BG24" s="90"/>
      <c r="BH24" s="90"/>
      <c r="BI24" s="90"/>
      <c r="BJ24" s="90"/>
      <c r="BK24" s="90"/>
      <c r="BL24" s="90"/>
      <c r="BM24" s="90"/>
      <c r="BN24" s="90"/>
      <c r="BO24" s="90"/>
      <c r="BP24" s="90"/>
      <c r="BQ24" s="90"/>
      <c r="BR24" s="90"/>
      <c r="BS24" s="90"/>
      <c r="BT24" s="90"/>
      <c r="BU24" s="90"/>
      <c r="BV24" s="90"/>
      <c r="BW24" s="90"/>
      <c r="BX24" s="90"/>
      <c r="BY24" s="90"/>
      <c r="BZ24" s="90"/>
      <c r="CA24" s="90"/>
      <c r="CB24" s="90"/>
      <c r="CC24" s="90"/>
      <c r="CD24" s="90"/>
      <c r="CE24" s="90"/>
      <c r="CF24" s="90"/>
      <c r="CG24" s="90"/>
      <c r="CH24" s="90"/>
      <c r="CI24" s="90"/>
      <c r="CJ24" s="90"/>
      <c r="CK24" s="90"/>
      <c r="CL24" s="90"/>
      <c r="CM24" s="90"/>
      <c r="CN24" s="90"/>
      <c r="CO24" s="90"/>
      <c r="CP24" s="90"/>
      <c r="CQ24" s="90"/>
      <c r="CR24" s="90"/>
      <c r="CS24" s="90"/>
      <c r="CT24" s="90"/>
      <c r="CU24" s="90"/>
      <c r="CV24" s="90"/>
      <c r="CW24" s="90"/>
      <c r="CX24" s="90"/>
      <c r="CY24" s="90"/>
      <c r="CZ24" s="90"/>
      <c r="DA24" s="90"/>
      <c r="DB24" s="90"/>
      <c r="DC24" s="90"/>
      <c r="DD24" s="90"/>
      <c r="DE24" s="90"/>
      <c r="DF24" s="90"/>
      <c r="DG24" s="90"/>
      <c r="DH24" s="90"/>
      <c r="DI24" s="90"/>
      <c r="DJ24" s="90"/>
      <c r="DK24" s="90"/>
      <c r="DL24" s="90"/>
      <c r="DM24" s="90"/>
      <c r="DN24" s="90"/>
      <c r="DO24" s="90"/>
      <c r="DP24" s="90"/>
      <c r="DQ24" s="90"/>
      <c r="DR24" s="90"/>
      <c r="DS24" s="90"/>
      <c r="DT24" s="90"/>
      <c r="DU24" s="90"/>
      <c r="DV24" s="90"/>
      <c r="DW24" s="90"/>
      <c r="DX24" s="90"/>
      <c r="DY24" s="90"/>
      <c r="DZ24" s="90"/>
      <c r="EA24" s="90"/>
      <c r="EB24" s="90"/>
      <c r="EC24" s="90"/>
      <c r="ED24" s="90"/>
      <c r="EE24" s="90"/>
      <c r="EF24" s="90"/>
      <c r="EG24" s="90"/>
      <c r="EH24" s="90"/>
      <c r="EI24" s="90"/>
      <c r="EJ24" s="90"/>
      <c r="EK24" s="90"/>
      <c r="EL24" s="90"/>
      <c r="EM24" s="90"/>
      <c r="EN24" s="90"/>
      <c r="EO24" s="90"/>
      <c r="EP24" s="90"/>
      <c r="EQ24" s="90"/>
      <c r="ER24" s="90"/>
      <c r="ES24" s="90"/>
      <c r="ET24" s="90"/>
      <c r="EU24" s="90"/>
      <c r="EV24" s="90"/>
      <c r="EW24" s="90"/>
      <c r="EX24" s="90"/>
      <c r="EY24" s="90"/>
      <c r="EZ24" s="90"/>
      <c r="FA24" s="90"/>
      <c r="FB24" s="90"/>
      <c r="FC24" s="90"/>
      <c r="FD24" s="90"/>
      <c r="FE24" s="90"/>
      <c r="FF24" s="90"/>
      <c r="FG24" s="90"/>
      <c r="FH24" s="90"/>
      <c r="FI24" s="90"/>
      <c r="FJ24" s="90"/>
      <c r="FK24" s="90"/>
      <c r="FL24" s="90"/>
      <c r="FM24" s="90"/>
      <c r="FN24" s="90"/>
      <c r="FO24" s="90"/>
      <c r="FP24" s="90"/>
      <c r="FQ24" s="90"/>
      <c r="FR24" s="90"/>
      <c r="FS24" s="90"/>
      <c r="FT24" s="90"/>
      <c r="FU24" s="90"/>
      <c r="FV24" s="90"/>
      <c r="FW24" s="90"/>
      <c r="FX24" s="90"/>
      <c r="FY24" s="90"/>
      <c r="FZ24" s="90"/>
      <c r="GA24" s="90"/>
      <c r="GB24" s="90"/>
      <c r="GC24" s="90"/>
      <c r="GD24" s="90"/>
      <c r="GE24" s="90"/>
      <c r="GF24" s="90"/>
      <c r="GG24" s="90"/>
      <c r="GH24" s="90"/>
      <c r="GI24" s="90"/>
      <c r="GJ24" s="90"/>
      <c r="GK24" s="90"/>
      <c r="GL24" s="90"/>
      <c r="GM24" s="90"/>
      <c r="GN24" s="90"/>
      <c r="GO24" s="90"/>
      <c r="GP24" s="90"/>
      <c r="GQ24" s="90"/>
      <c r="GR24" s="90"/>
      <c r="GS24" s="90"/>
      <c r="GT24" s="90"/>
      <c r="GU24" s="90"/>
      <c r="GV24" s="90"/>
      <c r="GW24" s="90"/>
      <c r="GX24" s="90"/>
      <c r="GY24" s="90"/>
      <c r="GZ24" s="90"/>
      <c r="HA24" s="90"/>
      <c r="HB24" s="90"/>
      <c r="HC24" s="90"/>
      <c r="HD24" s="90"/>
      <c r="HE24" s="90"/>
      <c r="HF24" s="90"/>
      <c r="HG24" s="90"/>
      <c r="HH24" s="90"/>
      <c r="HI24" s="90"/>
      <c r="HJ24" s="90"/>
      <c r="HK24" s="90"/>
      <c r="HL24" s="90"/>
      <c r="HM24" s="90"/>
      <c r="HN24" s="90"/>
      <c r="HO24" s="90"/>
      <c r="HP24" s="90"/>
      <c r="HQ24" s="90"/>
      <c r="HR24" s="90"/>
      <c r="HS24" s="90"/>
      <c r="HT24" s="90"/>
      <c r="HU24" s="90"/>
      <c r="HV24" s="90"/>
      <c r="HW24" s="90"/>
      <c r="HX24" s="90"/>
      <c r="HY24" s="90"/>
      <c r="HZ24" s="90"/>
      <c r="IA24" s="90"/>
      <c r="IB24" s="90"/>
      <c r="IC24" s="90"/>
      <c r="ID24" s="90"/>
      <c r="IE24" s="90"/>
      <c r="IF24" s="90"/>
      <c r="IG24" s="90"/>
      <c r="IH24" s="90"/>
      <c r="II24" s="90"/>
      <c r="IJ24" s="90"/>
      <c r="IK24" s="90"/>
      <c r="IL24" s="90"/>
      <c r="IM24" s="90"/>
      <c r="IN24" s="90"/>
      <c r="IO24" s="90"/>
      <c r="IP24" s="90"/>
      <c r="IQ24" s="90"/>
      <c r="IR24" s="90"/>
      <c r="IS24" s="90"/>
      <c r="IT24" s="90"/>
      <c r="IU24" s="90"/>
      <c r="IV24" s="90"/>
      <c r="IW24" s="90"/>
    </row>
    <row r="25" customFormat="false" ht="14.4" hidden="false" customHeight="false" outlineLevel="0" collapsed="false">
      <c r="A25" s="36" t="s">
        <v>45</v>
      </c>
      <c r="B25" s="37" t="s">
        <v>46</v>
      </c>
      <c r="C25" s="37" t="n">
        <f aca="false">SUM('Pelagicos LMC y LTP '!C103:C119)</f>
        <v>128462</v>
      </c>
      <c r="D25" s="38" t="n">
        <f aca="false">SUM('Pelagicos LMC y LTP '!D103:D119)</f>
        <v>-31116.99</v>
      </c>
      <c r="E25" s="64" t="n">
        <f aca="false">C25+D25</f>
        <v>97345.01</v>
      </c>
      <c r="F25" s="37" t="n">
        <f aca="false">SUM('Pelagicos LMC y LTP '!F103:F119)</f>
        <v>14099.565</v>
      </c>
      <c r="G25" s="69" t="n">
        <f aca="false">SUM('Pelagicos LMC y LTP '!G103:G119)</f>
        <v>83245.445</v>
      </c>
      <c r="H25" s="93" t="n">
        <f aca="false">SUM('Pelagicos LMC y LTP '!I103:I119)</f>
        <v>15800.702</v>
      </c>
      <c r="I25" s="71"/>
      <c r="J25" s="71" t="n">
        <f aca="false">SUM(G25:I25)</f>
        <v>99046.147</v>
      </c>
      <c r="K25" s="42" t="n">
        <f aca="false">SUM('Pelagicos LMC y LTP '!K103:K119)</f>
        <v>40173.117</v>
      </c>
      <c r="L25" s="43"/>
      <c r="M25" s="32" t="n">
        <f aca="false">J25-K25</f>
        <v>58873.03</v>
      </c>
      <c r="N25" s="33" t="n">
        <f aca="false">K25/J25</f>
        <v>0.405599997746505</v>
      </c>
      <c r="O25" s="34" t="n">
        <f aca="false">(K25+F25)/(C25+D25+H25+P26)</f>
        <v>0.479670692248594</v>
      </c>
      <c r="P25" s="2"/>
      <c r="Q25" s="35" t="n">
        <f aca="false">F25+K25</f>
        <v>54272.682</v>
      </c>
    </row>
    <row r="26" customFormat="false" ht="14.4" hidden="false" customHeight="false" outlineLevel="0" collapsed="false">
      <c r="A26" s="36" t="s">
        <v>47</v>
      </c>
      <c r="B26" s="37" t="s">
        <v>21</v>
      </c>
      <c r="C26" s="37" t="n">
        <f aca="false">SUM('Pelagicos LMC y LTP '!C121:C124)</f>
        <v>1439.999</v>
      </c>
      <c r="D26" s="37" t="n">
        <f aca="false">SUM('Pelagicos LMC y LTP '!D121:D124)</f>
        <v>0</v>
      </c>
      <c r="E26" s="94" t="n">
        <f aca="false">C26+D26</f>
        <v>1439.999</v>
      </c>
      <c r="F26" s="95" t="n">
        <f aca="false">SUM('Pelagicos LMC y LTP '!F121:F124)</f>
        <v>0</v>
      </c>
      <c r="G26" s="69" t="n">
        <f aca="false">SUM('Pelagicos LMC y LTP '!G121:G124)</f>
        <v>1439.999</v>
      </c>
      <c r="H26" s="69" t="n">
        <f aca="false">SUM('Pelagicos LMC y LTP '!I121:I124)</f>
        <v>0</v>
      </c>
      <c r="I26" s="96" t="n">
        <f aca="false">'Pelagicos LMC y LTP '!H121+'Pelagicos LMC y LTP '!H122+'Pelagicos LMC y LTP '!H123+'Pelagicos LMC y LTP '!H124</f>
        <v>30.001</v>
      </c>
      <c r="J26" s="71" t="n">
        <f aca="false">SUM(G26:I26)</f>
        <v>1470</v>
      </c>
      <c r="K26" s="42" t="n">
        <f aca="false">SUM('Pelagicos LMC y LTP '!K121:K124)</f>
        <v>0</v>
      </c>
      <c r="L26" s="43"/>
      <c r="M26" s="32" t="n">
        <f aca="false">J26-K26</f>
        <v>1470</v>
      </c>
      <c r="N26" s="33" t="n">
        <f aca="false">K26/J26</f>
        <v>0</v>
      </c>
      <c r="O26" s="34" t="n">
        <f aca="false">(K26+F26)/(C26+D26+H26+P27)</f>
        <v>0</v>
      </c>
      <c r="P26" s="2"/>
      <c r="Q26" s="35" t="n">
        <f aca="false">F26+K26</f>
        <v>0</v>
      </c>
    </row>
    <row r="27" customFormat="false" ht="14.4" hidden="false" customHeight="false" outlineLevel="0" collapsed="false">
      <c r="A27" s="97" t="s">
        <v>47</v>
      </c>
      <c r="B27" s="98" t="s">
        <v>22</v>
      </c>
      <c r="C27" s="98" t="n">
        <f aca="false">SUM('Pelagicos LMC y LTP '!C126:C133)</f>
        <v>625</v>
      </c>
      <c r="D27" s="99" t="n">
        <f aca="false">SUM('Pelagicos LMC y LTP '!D126:D133)</f>
        <v>-159.596</v>
      </c>
      <c r="E27" s="44" t="n">
        <f aca="false">C27+D27</f>
        <v>465.404</v>
      </c>
      <c r="F27" s="98" t="n">
        <f aca="false">SUM('Pelagicos LMC y LTP '!F126:F133)</f>
        <v>0</v>
      </c>
      <c r="G27" s="100" t="n">
        <f aca="false">SUM('Pelagicos LMC y LTP '!G126:G133)</f>
        <v>465.404</v>
      </c>
      <c r="H27" s="100" t="n">
        <f aca="false">SUM('Pelagicos LMC y LTP '!I126:I133)</f>
        <v>0</v>
      </c>
      <c r="I27" s="101"/>
      <c r="J27" s="101" t="n">
        <f aca="false">SUM(G27:I27)</f>
        <v>465.404</v>
      </c>
      <c r="K27" s="102" t="n">
        <f aca="false">SUM('Pelagicos LMC y LTP '!K126:K133)</f>
        <v>0</v>
      </c>
      <c r="L27" s="103"/>
      <c r="M27" s="32" t="n">
        <f aca="false">J27-K27</f>
        <v>465.404</v>
      </c>
      <c r="N27" s="33" t="n">
        <f aca="false">K27/J27</f>
        <v>0</v>
      </c>
      <c r="O27" s="34" t="n">
        <f aca="false">(K27+F27)/(C27+D27+H27+P28)</f>
        <v>0</v>
      </c>
      <c r="P27" s="2"/>
      <c r="Q27" s="35" t="n">
        <f aca="false">F27+K27</f>
        <v>0</v>
      </c>
    </row>
    <row r="28" customFormat="false" ht="16.5" hidden="false" customHeight="true" outlineLevel="0" collapsed="false">
      <c r="A28" s="2"/>
      <c r="B28" s="2"/>
      <c r="C28" s="2"/>
      <c r="D28" s="2"/>
      <c r="E28" s="2"/>
      <c r="F28" s="2"/>
      <c r="G28" s="104"/>
      <c r="H28" s="104"/>
      <c r="I28" s="104"/>
      <c r="J28" s="104"/>
      <c r="K28" s="104"/>
      <c r="L28" s="105"/>
      <c r="M28" s="105"/>
      <c r="N28" s="105"/>
      <c r="O28" s="2"/>
      <c r="P28" s="2"/>
      <c r="Q28" s="2"/>
    </row>
    <row r="29" customFormat="false" ht="36.75" hidden="false" customHeight="true" outlineLevel="0" collapsed="false">
      <c r="A29" s="106" t="s">
        <v>48</v>
      </c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2"/>
      <c r="P29" s="2"/>
      <c r="Q29" s="2"/>
    </row>
    <row r="30" customFormat="false" ht="14.4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customFormat="false" ht="14.4" hidden="false" customHeight="false" outlineLevel="0" collapsed="false">
      <c r="G31" s="107"/>
      <c r="H31" s="107"/>
      <c r="I31" s="107"/>
      <c r="J31" s="107"/>
      <c r="K31" s="107"/>
    </row>
    <row r="32" customFormat="false" ht="14.4" hidden="false" customHeight="false" outlineLevel="0" collapsed="false">
      <c r="G32" s="107"/>
      <c r="H32" s="107"/>
      <c r="I32" s="107"/>
      <c r="J32" s="107"/>
      <c r="K32" s="107"/>
      <c r="L32" s="108"/>
    </row>
    <row r="34" customFormat="false" ht="14.4" hidden="false" customHeight="false" outlineLevel="0" collapsed="false">
      <c r="K34" s="108"/>
    </row>
  </sheetData>
  <mergeCells count="6">
    <mergeCell ref="A2:N2"/>
    <mergeCell ref="A3:N3"/>
    <mergeCell ref="A4:N4"/>
    <mergeCell ref="C5:F5"/>
    <mergeCell ref="G5:N5"/>
    <mergeCell ref="A29:N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P134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1" ySplit="5" topLeftCell="B12" activePane="bottomRight" state="frozen"/>
      <selection pane="topLeft" activeCell="A1" activeCellId="0" sqref="A1"/>
      <selection pane="topRight" activeCell="B1" activeCellId="0" sqref="B1"/>
      <selection pane="bottomLeft" activeCell="A12" activeCellId="0" sqref="A12"/>
      <selection pane="bottomRight" activeCell="I25" activeCellId="0" sqref="I25"/>
    </sheetView>
  </sheetViews>
  <sheetFormatPr defaultColWidth="10.96484375" defaultRowHeight="14.4" customHeight="false" zeroHeight="false" outlineLevelRow="0" outlineLevelCol="0"/>
  <cols>
    <col collapsed="false" customWidth="true" hidden="false" outlineLevel="0" max="1" min="1" style="0" width="16.88"/>
    <col collapsed="false" customWidth="true" hidden="false" outlineLevel="0" max="2" min="2" style="0" width="33.66"/>
    <col collapsed="false" customWidth="true" hidden="true" outlineLevel="0" max="3" min="3" style="0" width="17.32"/>
    <col collapsed="false" customWidth="true" hidden="true" outlineLevel="0" max="4" min="4" style="0" width="11.99"/>
    <col collapsed="false" customWidth="true" hidden="true" outlineLevel="0" max="5" min="5" style="0" width="20.66"/>
    <col collapsed="false" customWidth="true" hidden="true" outlineLevel="0" max="6" min="6" style="0" width="16.99"/>
    <col collapsed="false" customWidth="true" hidden="false" outlineLevel="0" max="7" min="7" style="0" width="22.32"/>
    <col collapsed="false" customWidth="true" hidden="false" outlineLevel="0" max="8" min="8" style="0" width="23.66"/>
    <col collapsed="false" customWidth="true" hidden="false" outlineLevel="0" max="9" min="9" style="0" width="16.55"/>
    <col collapsed="false" customWidth="true" hidden="false" outlineLevel="0" max="10" min="10" style="0" width="12.66"/>
    <col collapsed="false" customWidth="true" hidden="false" outlineLevel="0" max="11" min="11" style="0" width="15.43"/>
    <col collapsed="false" customWidth="true" hidden="false" outlineLevel="0" max="12" min="12" style="0" width="12.1"/>
    <col collapsed="false" customWidth="true" hidden="false" outlineLevel="0" max="13" min="13" style="0" width="12.66"/>
    <col collapsed="false" customWidth="true" hidden="false" outlineLevel="0" max="15" min="15" style="0" width="11.66"/>
  </cols>
  <sheetData>
    <row r="1" customFormat="false" ht="15.6" hidden="false" customHeight="false" outlineLevel="0" collapsed="false">
      <c r="A1" s="1"/>
      <c r="B1" s="109" t="s">
        <v>49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</row>
    <row r="2" customFormat="false" ht="15.6" hidden="false" customHeight="false" outlineLevel="0" collapsed="false">
      <c r="A2" s="1"/>
      <c r="B2" s="110"/>
      <c r="C2" s="110"/>
      <c r="D2" s="110"/>
      <c r="E2" s="110"/>
      <c r="F2" s="110"/>
      <c r="G2" s="111"/>
      <c r="H2" s="111"/>
      <c r="I2" s="111"/>
      <c r="J2" s="111"/>
      <c r="K2" s="111"/>
      <c r="L2" s="111"/>
      <c r="M2" s="112"/>
    </row>
    <row r="3" customFormat="false" ht="29.25" hidden="false" customHeight="true" outlineLevel="0" collapsed="false">
      <c r="A3" s="113"/>
      <c r="B3" s="114"/>
      <c r="C3" s="115"/>
      <c r="D3" s="115"/>
      <c r="E3" s="115"/>
      <c r="F3" s="115"/>
      <c r="G3" s="116" t="s">
        <v>50</v>
      </c>
      <c r="H3" s="116"/>
      <c r="I3" s="116"/>
      <c r="J3" s="116"/>
      <c r="K3" s="116"/>
      <c r="L3" s="116"/>
      <c r="M3" s="116"/>
    </row>
    <row r="4" customFormat="false" ht="15.6" hidden="false" customHeight="false" outlineLevel="0" collapsed="false">
      <c r="A4" s="113"/>
      <c r="B4" s="109"/>
      <c r="C4" s="117" t="s">
        <v>3</v>
      </c>
      <c r="D4" s="117"/>
      <c r="E4" s="117"/>
      <c r="F4" s="117"/>
      <c r="G4" s="118" t="s">
        <v>51</v>
      </c>
      <c r="H4" s="118"/>
      <c r="I4" s="118"/>
      <c r="J4" s="118"/>
      <c r="K4" s="118" t="s">
        <v>52</v>
      </c>
      <c r="L4" s="118"/>
      <c r="M4" s="118"/>
    </row>
    <row r="5" customFormat="false" ht="63" hidden="false" customHeight="false" outlineLevel="0" collapsed="false">
      <c r="A5" s="119" t="s">
        <v>53</v>
      </c>
      <c r="B5" s="120" t="s">
        <v>54</v>
      </c>
      <c r="C5" s="121" t="s">
        <v>7</v>
      </c>
      <c r="D5" s="122" t="s">
        <v>8</v>
      </c>
      <c r="E5" s="122" t="s">
        <v>9</v>
      </c>
      <c r="F5" s="121" t="s">
        <v>10</v>
      </c>
      <c r="G5" s="123" t="s">
        <v>11</v>
      </c>
      <c r="H5" s="123" t="s">
        <v>13</v>
      </c>
      <c r="I5" s="124" t="s">
        <v>55</v>
      </c>
      <c r="J5" s="125" t="s">
        <v>9</v>
      </c>
      <c r="K5" s="126" t="s">
        <v>10</v>
      </c>
      <c r="L5" s="126" t="s">
        <v>56</v>
      </c>
      <c r="M5" s="126" t="s">
        <v>57</v>
      </c>
    </row>
    <row r="6" customFormat="false" ht="15.6" hidden="false" customHeight="true" outlineLevel="0" collapsed="false">
      <c r="A6" s="127" t="s">
        <v>58</v>
      </c>
      <c r="B6" s="128" t="s">
        <v>59</v>
      </c>
      <c r="C6" s="129" t="n">
        <v>4259.268</v>
      </c>
      <c r="D6" s="130" t="n">
        <v>0</v>
      </c>
      <c r="E6" s="131" t="n">
        <f aca="false">C6+D6</f>
        <v>4259.268</v>
      </c>
      <c r="F6" s="130" t="n">
        <v>0</v>
      </c>
      <c r="G6" s="132" t="n">
        <f aca="false">E6-F6</f>
        <v>4259.268</v>
      </c>
      <c r="H6" s="133" t="n">
        <v>92.992</v>
      </c>
      <c r="I6" s="134" t="n">
        <v>-4.259</v>
      </c>
      <c r="J6" s="133" t="n">
        <f aca="false">G6+I6+H6</f>
        <v>4348.001</v>
      </c>
      <c r="K6" s="133" t="n">
        <v>0</v>
      </c>
      <c r="L6" s="135" t="n">
        <f aca="false">J6-K6</f>
        <v>4348.001</v>
      </c>
      <c r="M6" s="136" t="n">
        <f aca="false">K6/J6</f>
        <v>0</v>
      </c>
      <c r="O6" s="137"/>
      <c r="P6" s="138"/>
    </row>
    <row r="7" customFormat="false" ht="17.1" hidden="false" customHeight="true" outlineLevel="0" collapsed="false">
      <c r="A7" s="127"/>
      <c r="B7" s="139" t="s">
        <v>60</v>
      </c>
      <c r="C7" s="140" t="n">
        <v>118178.677</v>
      </c>
      <c r="D7" s="141" t="n">
        <v>0</v>
      </c>
      <c r="E7" s="142" t="n">
        <f aca="false">C7+D7</f>
        <v>118178.677</v>
      </c>
      <c r="F7" s="141" t="n">
        <v>39549.71</v>
      </c>
      <c r="G7" s="143" t="n">
        <f aca="false">E7-F7</f>
        <v>78628.967</v>
      </c>
      <c r="H7" s="144" t="n">
        <v>2580.167</v>
      </c>
      <c r="I7" s="145" t="n">
        <v>0</v>
      </c>
      <c r="J7" s="144" t="n">
        <f aca="false">G7+I7+H7</f>
        <v>81209.134</v>
      </c>
      <c r="K7" s="144" t="n">
        <v>77506.242</v>
      </c>
      <c r="L7" s="146" t="n">
        <f aca="false">J7-K7</f>
        <v>3702.89200000001</v>
      </c>
      <c r="M7" s="147" t="n">
        <f aca="false">K7/J7</f>
        <v>0.954403010873136</v>
      </c>
      <c r="N7" s="148"/>
      <c r="O7" s="149"/>
      <c r="P7" s="138"/>
    </row>
    <row r="8" customFormat="false" ht="17.1" hidden="false" customHeight="true" outlineLevel="0" collapsed="false">
      <c r="A8" s="127"/>
      <c r="B8" s="139" t="s">
        <v>61</v>
      </c>
      <c r="C8" s="141" t="n">
        <v>442560.59</v>
      </c>
      <c r="D8" s="141" t="n">
        <v>0</v>
      </c>
      <c r="E8" s="142" t="n">
        <f aca="false">C8+D8</f>
        <v>442560.59</v>
      </c>
      <c r="F8" s="141" t="n">
        <v>120349.099</v>
      </c>
      <c r="G8" s="143" t="n">
        <f aca="false">E8-F8</f>
        <v>322211.491</v>
      </c>
      <c r="H8" s="144" t="n">
        <v>9662.32</v>
      </c>
      <c r="I8" s="150" t="n">
        <v>-30000</v>
      </c>
      <c r="J8" s="144" t="n">
        <f aca="false">G8+I8+H8</f>
        <v>301873.811</v>
      </c>
      <c r="K8" s="151" t="n">
        <v>269587.311</v>
      </c>
      <c r="L8" s="146" t="n">
        <f aca="false">J8-K8</f>
        <v>32286.5000000001</v>
      </c>
      <c r="M8" s="147" t="n">
        <f aca="false">K8/J8</f>
        <v>0.893046369630256</v>
      </c>
    </row>
    <row r="9" customFormat="false" ht="17.1" hidden="false" customHeight="true" outlineLevel="0" collapsed="false">
      <c r="A9" s="127"/>
      <c r="B9" s="152" t="s">
        <v>62</v>
      </c>
      <c r="C9" s="141" t="n">
        <v>33734.664</v>
      </c>
      <c r="D9" s="141" t="n">
        <v>0</v>
      </c>
      <c r="E9" s="142" t="n">
        <f aca="false">C9+D9</f>
        <v>33734.664</v>
      </c>
      <c r="F9" s="141" t="n">
        <v>9173.741</v>
      </c>
      <c r="G9" s="143" t="n">
        <f aca="false">E9-F9</f>
        <v>24560.923</v>
      </c>
      <c r="H9" s="144" t="n">
        <v>736.521</v>
      </c>
      <c r="I9" s="145" t="n">
        <v>0</v>
      </c>
      <c r="J9" s="144" t="n">
        <f aca="false">G9+I9+H9</f>
        <v>25297.444</v>
      </c>
      <c r="K9" s="144" t="n">
        <v>858.93</v>
      </c>
      <c r="L9" s="146" t="n">
        <f aca="false">J9-K9</f>
        <v>24438.514</v>
      </c>
      <c r="M9" s="147" t="n">
        <f aca="false">K9/J9</f>
        <v>0.0339532325874503</v>
      </c>
      <c r="O9" s="137"/>
      <c r="P9" s="137"/>
    </row>
    <row r="10" customFormat="false" ht="17.1" hidden="false" customHeight="true" outlineLevel="0" collapsed="false">
      <c r="A10" s="153"/>
      <c r="B10" s="154"/>
      <c r="C10" s="154"/>
      <c r="D10" s="154"/>
      <c r="E10" s="154"/>
      <c r="F10" s="154"/>
      <c r="G10" s="155"/>
      <c r="H10" s="155"/>
      <c r="I10" s="156"/>
      <c r="J10" s="155"/>
      <c r="K10" s="155"/>
      <c r="L10" s="157"/>
      <c r="M10" s="158"/>
    </row>
    <row r="11" customFormat="false" ht="17.1" hidden="false" customHeight="true" outlineLevel="0" collapsed="false">
      <c r="A11" s="159" t="s">
        <v>63</v>
      </c>
      <c r="B11" s="160" t="s">
        <v>64</v>
      </c>
      <c r="C11" s="161" t="n">
        <v>995.322</v>
      </c>
      <c r="D11" s="161" t="n">
        <v>0</v>
      </c>
      <c r="E11" s="161" t="n">
        <f aca="false">C11+D11</f>
        <v>995.322</v>
      </c>
      <c r="F11" s="161" t="n">
        <v>0</v>
      </c>
      <c r="G11" s="132" t="n">
        <f aca="false">E11-F11</f>
        <v>995.322</v>
      </c>
      <c r="H11" s="133" t="n">
        <v>0</v>
      </c>
      <c r="I11" s="162" t="n">
        <v>0</v>
      </c>
      <c r="J11" s="133" t="n">
        <f aca="false">G11+I11+H11</f>
        <v>995.322</v>
      </c>
      <c r="K11" s="133" t="n">
        <v>0</v>
      </c>
      <c r="L11" s="135" t="n">
        <f aca="false">J11-K11</f>
        <v>995.322</v>
      </c>
      <c r="M11" s="136" t="n">
        <f aca="false">K11/J11</f>
        <v>0</v>
      </c>
    </row>
    <row r="12" customFormat="false" ht="17.1" hidden="false" customHeight="true" outlineLevel="0" collapsed="false">
      <c r="A12" s="159"/>
      <c r="B12" s="163" t="s">
        <v>65</v>
      </c>
      <c r="C12" s="164" t="n">
        <v>7890.792</v>
      </c>
      <c r="D12" s="165" t="n">
        <v>-7890.792</v>
      </c>
      <c r="E12" s="164" t="n">
        <f aca="false">C12+D12</f>
        <v>0</v>
      </c>
      <c r="F12" s="164" t="n">
        <v>0</v>
      </c>
      <c r="G12" s="143" t="n">
        <f aca="false">E12-F12</f>
        <v>0</v>
      </c>
      <c r="H12" s="144" t="n">
        <v>0</v>
      </c>
      <c r="I12" s="145" t="n">
        <v>0</v>
      </c>
      <c r="J12" s="144" t="n">
        <f aca="false">G12+I12+H12</f>
        <v>0</v>
      </c>
      <c r="K12" s="144" t="n">
        <v>0</v>
      </c>
      <c r="L12" s="146" t="n">
        <f aca="false">J12-K12</f>
        <v>0</v>
      </c>
      <c r="M12" s="147" t="e">
        <f aca="false">K12/J12</f>
        <v>#DIV/0!</v>
      </c>
      <c r="P12" s="137"/>
    </row>
    <row r="13" customFormat="false" ht="17.1" hidden="false" customHeight="true" outlineLevel="0" collapsed="false">
      <c r="A13" s="159"/>
      <c r="B13" s="163" t="s">
        <v>66</v>
      </c>
      <c r="C13" s="164" t="n">
        <v>6165.475</v>
      </c>
      <c r="D13" s="165" t="n">
        <v>-6165.475</v>
      </c>
      <c r="E13" s="164" t="n">
        <f aca="false">C13+D13</f>
        <v>0</v>
      </c>
      <c r="F13" s="164" t="n">
        <v>0</v>
      </c>
      <c r="G13" s="143" t="n">
        <f aca="false">E13-F13</f>
        <v>0</v>
      </c>
      <c r="H13" s="144" t="n">
        <v>0</v>
      </c>
      <c r="I13" s="145" t="n">
        <v>0</v>
      </c>
      <c r="J13" s="144" t="n">
        <f aca="false">G13+I13+H13</f>
        <v>0</v>
      </c>
      <c r="K13" s="144" t="n">
        <v>0</v>
      </c>
      <c r="L13" s="146" t="n">
        <f aca="false">J13-K13</f>
        <v>0</v>
      </c>
      <c r="M13" s="147" t="e">
        <f aca="false">K13/J13</f>
        <v>#DIV/0!</v>
      </c>
    </row>
    <row r="14" customFormat="false" ht="17.1" hidden="false" customHeight="true" outlineLevel="0" collapsed="false">
      <c r="A14" s="159"/>
      <c r="B14" s="163" t="s">
        <v>67</v>
      </c>
      <c r="C14" s="164" t="n">
        <v>901.018</v>
      </c>
      <c r="D14" s="164" t="n">
        <v>0</v>
      </c>
      <c r="E14" s="164" t="n">
        <f aca="false">C14+D14</f>
        <v>901.018</v>
      </c>
      <c r="F14" s="164" t="n">
        <v>0</v>
      </c>
      <c r="G14" s="143" t="n">
        <f aca="false">E14-F14</f>
        <v>901.018</v>
      </c>
      <c r="H14" s="144" t="n">
        <v>0</v>
      </c>
      <c r="I14" s="145" t="n">
        <v>0</v>
      </c>
      <c r="J14" s="144" t="n">
        <f aca="false">G14+I14+H14</f>
        <v>901.018</v>
      </c>
      <c r="K14" s="144" t="n">
        <v>0</v>
      </c>
      <c r="L14" s="146" t="n">
        <f aca="false">J14-K14</f>
        <v>901.018</v>
      </c>
      <c r="M14" s="147" t="n">
        <f aca="false">K14/J14</f>
        <v>0</v>
      </c>
    </row>
    <row r="15" customFormat="false" ht="17.1" hidden="false" customHeight="true" outlineLevel="0" collapsed="false">
      <c r="A15" s="159"/>
      <c r="B15" s="163" t="s">
        <v>68</v>
      </c>
      <c r="C15" s="164" t="n">
        <v>3280.494</v>
      </c>
      <c r="D15" s="165" t="n">
        <v>-3280.494</v>
      </c>
      <c r="E15" s="164" t="n">
        <f aca="false">C15+D15</f>
        <v>0</v>
      </c>
      <c r="F15" s="164" t="n">
        <v>0</v>
      </c>
      <c r="G15" s="143" t="n">
        <f aca="false">E15-F15</f>
        <v>0</v>
      </c>
      <c r="H15" s="144" t="n">
        <v>0</v>
      </c>
      <c r="I15" s="145" t="n">
        <v>0</v>
      </c>
      <c r="J15" s="144" t="n">
        <f aca="false">G15+I15+H15</f>
        <v>0</v>
      </c>
      <c r="K15" s="144" t="n">
        <v>0</v>
      </c>
      <c r="L15" s="146" t="n">
        <f aca="false">J15-K15</f>
        <v>0</v>
      </c>
      <c r="M15" s="147" t="e">
        <f aca="false">K15/J15</f>
        <v>#DIV/0!</v>
      </c>
    </row>
    <row r="16" customFormat="false" ht="17.1" hidden="false" customHeight="true" outlineLevel="0" collapsed="false">
      <c r="A16" s="159"/>
      <c r="B16" s="163" t="s">
        <v>69</v>
      </c>
      <c r="C16" s="164" t="n">
        <v>324.413</v>
      </c>
      <c r="D16" s="164" t="n">
        <v>0</v>
      </c>
      <c r="E16" s="164" t="n">
        <f aca="false">C16+D16</f>
        <v>324.413</v>
      </c>
      <c r="F16" s="164" t="n">
        <v>0</v>
      </c>
      <c r="G16" s="143" t="n">
        <f aca="false">E16-F16</f>
        <v>324.413</v>
      </c>
      <c r="H16" s="144" t="n">
        <v>0</v>
      </c>
      <c r="I16" s="145" t="n">
        <v>0</v>
      </c>
      <c r="J16" s="144" t="n">
        <f aca="false">G16+I16+H16</f>
        <v>324.413</v>
      </c>
      <c r="K16" s="144" t="n">
        <v>0</v>
      </c>
      <c r="L16" s="146" t="n">
        <f aca="false">J16-K16</f>
        <v>324.413</v>
      </c>
      <c r="M16" s="147" t="n">
        <f aca="false">K16/J16</f>
        <v>0</v>
      </c>
    </row>
    <row r="17" customFormat="false" ht="17.1" hidden="false" customHeight="true" outlineLevel="0" collapsed="false">
      <c r="A17" s="159"/>
      <c r="B17" s="163" t="s">
        <v>70</v>
      </c>
      <c r="C17" s="164" t="n">
        <v>8749.754</v>
      </c>
      <c r="D17" s="165" t="n">
        <v>-8749.754</v>
      </c>
      <c r="E17" s="164" t="n">
        <f aca="false">C17+D17</f>
        <v>0</v>
      </c>
      <c r="F17" s="164" t="n">
        <v>0</v>
      </c>
      <c r="G17" s="143" t="n">
        <f aca="false">E17-F17</f>
        <v>0</v>
      </c>
      <c r="H17" s="144" t="n">
        <v>0</v>
      </c>
      <c r="I17" s="145" t="n">
        <v>0</v>
      </c>
      <c r="J17" s="144" t="n">
        <f aca="false">G17+I17+H17</f>
        <v>0</v>
      </c>
      <c r="K17" s="144" t="n">
        <v>0</v>
      </c>
      <c r="L17" s="146" t="n">
        <f aca="false">J17-K17</f>
        <v>0</v>
      </c>
      <c r="M17" s="147" t="e">
        <f aca="false">K17/J17</f>
        <v>#DIV/0!</v>
      </c>
    </row>
    <row r="18" customFormat="false" ht="17.1" hidden="false" customHeight="true" outlineLevel="0" collapsed="false">
      <c r="A18" s="159"/>
      <c r="B18" s="166" t="s">
        <v>71</v>
      </c>
      <c r="C18" s="167" t="n">
        <v>85.733</v>
      </c>
      <c r="D18" s="167" t="n">
        <v>0</v>
      </c>
      <c r="E18" s="167" t="n">
        <f aca="false">C18+D18</f>
        <v>85.733</v>
      </c>
      <c r="F18" s="167" t="n">
        <v>0</v>
      </c>
      <c r="G18" s="168" t="n">
        <f aca="false">E18-F18</f>
        <v>85.733</v>
      </c>
      <c r="H18" s="169" t="n">
        <v>0</v>
      </c>
      <c r="I18" s="170" t="n">
        <v>0</v>
      </c>
      <c r="J18" s="169" t="n">
        <f aca="false">G18+I18+H18</f>
        <v>85.733</v>
      </c>
      <c r="K18" s="169" t="n">
        <v>0</v>
      </c>
      <c r="L18" s="171" t="n">
        <f aca="false">J18-K18</f>
        <v>85.733</v>
      </c>
      <c r="M18" s="172" t="n">
        <f aca="false">K18/J18</f>
        <v>0</v>
      </c>
    </row>
    <row r="19" customFormat="false" ht="17.1" hidden="false" customHeight="true" outlineLevel="0" collapsed="false">
      <c r="A19" s="153"/>
      <c r="B19" s="154"/>
      <c r="C19" s="154"/>
      <c r="D19" s="154"/>
      <c r="E19" s="154"/>
      <c r="F19" s="154"/>
      <c r="G19" s="155"/>
      <c r="H19" s="155"/>
      <c r="I19" s="156"/>
      <c r="J19" s="155"/>
      <c r="K19" s="155"/>
      <c r="L19" s="157"/>
      <c r="M19" s="158"/>
    </row>
    <row r="20" customFormat="false" ht="17.1" hidden="false" customHeight="true" outlineLevel="0" collapsed="false">
      <c r="A20" s="173" t="s">
        <v>72</v>
      </c>
      <c r="B20" s="174" t="s">
        <v>73</v>
      </c>
      <c r="C20" s="175" t="n">
        <v>4751.238</v>
      </c>
      <c r="D20" s="176" t="n">
        <v>-801.727</v>
      </c>
      <c r="E20" s="175" t="n">
        <f aca="false">C20+D20</f>
        <v>3949.511</v>
      </c>
      <c r="F20" s="177" t="n">
        <v>0</v>
      </c>
      <c r="G20" s="143" t="n">
        <f aca="false">E20-F20</f>
        <v>3949.511</v>
      </c>
      <c r="H20" s="144" t="n">
        <v>0</v>
      </c>
      <c r="I20" s="145" t="n">
        <v>0</v>
      </c>
      <c r="J20" s="144" t="n">
        <f aca="false">G20+I20+H20</f>
        <v>3949.511</v>
      </c>
      <c r="K20" s="144" t="n">
        <v>859.905</v>
      </c>
      <c r="L20" s="146" t="n">
        <f aca="false">J20-K20</f>
        <v>3089.606</v>
      </c>
      <c r="M20" s="147" t="n">
        <f aca="false">K20/J20</f>
        <v>0.217724422086684</v>
      </c>
    </row>
    <row r="21" customFormat="false" ht="17.1" hidden="false" customHeight="true" outlineLevel="0" collapsed="false">
      <c r="A21" s="173"/>
      <c r="B21" s="174" t="s">
        <v>74</v>
      </c>
      <c r="C21" s="175" t="n">
        <v>89.447</v>
      </c>
      <c r="D21" s="175" t="n">
        <v>0</v>
      </c>
      <c r="E21" s="175" t="n">
        <f aca="false">C21+D21</f>
        <v>89.447</v>
      </c>
      <c r="F21" s="175" t="n">
        <v>59.749</v>
      </c>
      <c r="G21" s="143" t="n">
        <f aca="false">E21-F21</f>
        <v>29.698</v>
      </c>
      <c r="H21" s="144" t="n">
        <v>0</v>
      </c>
      <c r="I21" s="150" t="n">
        <f aca="false">-29.698</f>
        <v>-29.698</v>
      </c>
      <c r="J21" s="144" t="n">
        <f aca="false">G21+I21+H21</f>
        <v>0</v>
      </c>
      <c r="K21" s="144" t="n">
        <v>0</v>
      </c>
      <c r="L21" s="146" t="n">
        <f aca="false">J21-K21</f>
        <v>0</v>
      </c>
      <c r="M21" s="147" t="e">
        <f aca="false">K21/J21</f>
        <v>#DIV/0!</v>
      </c>
    </row>
    <row r="22" customFormat="false" ht="17.1" hidden="false" customHeight="true" outlineLevel="0" collapsed="false">
      <c r="A22" s="173"/>
      <c r="B22" s="174" t="s">
        <v>66</v>
      </c>
      <c r="C22" s="175" t="n">
        <v>6002.154</v>
      </c>
      <c r="D22" s="176" t="n">
        <v>-1300</v>
      </c>
      <c r="E22" s="175" t="n">
        <f aca="false">C22+D22</f>
        <v>4702.154</v>
      </c>
      <c r="F22" s="175" t="n">
        <v>439.06</v>
      </c>
      <c r="G22" s="143" t="n">
        <f aca="false">E22-F22</f>
        <v>4263.094</v>
      </c>
      <c r="H22" s="144" t="n">
        <v>0</v>
      </c>
      <c r="I22" s="145" t="n">
        <v>0</v>
      </c>
      <c r="J22" s="144" t="n">
        <f aca="false">G22+I22+H22</f>
        <v>4263.094</v>
      </c>
      <c r="K22" s="144" t="n">
        <v>426.227</v>
      </c>
      <c r="L22" s="146" t="n">
        <f aca="false">J22-K22</f>
        <v>3836.867</v>
      </c>
      <c r="M22" s="147" t="n">
        <f aca="false">K22/J22</f>
        <v>0.0999806713152466</v>
      </c>
    </row>
    <row r="23" customFormat="false" ht="17.1" hidden="false" customHeight="true" outlineLevel="0" collapsed="false">
      <c r="A23" s="173"/>
      <c r="B23" s="174" t="s">
        <v>71</v>
      </c>
      <c r="C23" s="175" t="n">
        <v>3951.992</v>
      </c>
      <c r="D23" s="176" t="n">
        <v>-600</v>
      </c>
      <c r="E23" s="175" t="n">
        <f aca="false">C23+D23</f>
        <v>3351.992</v>
      </c>
      <c r="F23" s="175" t="n">
        <v>43.644</v>
      </c>
      <c r="G23" s="143" t="n">
        <f aca="false">E23-F23</f>
        <v>3308.348</v>
      </c>
      <c r="H23" s="144" t="n">
        <v>0</v>
      </c>
      <c r="I23" s="145" t="n">
        <v>0</v>
      </c>
      <c r="J23" s="144" t="n">
        <f aca="false">G23+I23+H23</f>
        <v>3308.348</v>
      </c>
      <c r="K23" s="144" t="n">
        <v>409.845</v>
      </c>
      <c r="L23" s="146" t="n">
        <f aca="false">J23-K23</f>
        <v>2898.503</v>
      </c>
      <c r="M23" s="178" t="n">
        <f aca="false">K23/J23</f>
        <v>0.123882070447244</v>
      </c>
    </row>
    <row r="24" customFormat="false" ht="17.1" hidden="false" customHeight="true" outlineLevel="0" collapsed="false">
      <c r="A24" s="173"/>
      <c r="B24" s="174" t="s">
        <v>60</v>
      </c>
      <c r="C24" s="175" t="n">
        <v>220.746</v>
      </c>
      <c r="D24" s="175" t="n">
        <v>0</v>
      </c>
      <c r="E24" s="175" t="n">
        <f aca="false">C24+D24</f>
        <v>220.746</v>
      </c>
      <c r="F24" s="175" t="n">
        <v>0</v>
      </c>
      <c r="G24" s="143" t="n">
        <f aca="false">E24-F24</f>
        <v>220.746</v>
      </c>
      <c r="H24" s="144" t="n">
        <v>0</v>
      </c>
      <c r="I24" s="145" t="n">
        <v>0</v>
      </c>
      <c r="J24" s="144" t="n">
        <f aca="false">G24+I24+H24</f>
        <v>220.746</v>
      </c>
      <c r="K24" s="144" t="n">
        <v>0</v>
      </c>
      <c r="L24" s="146" t="n">
        <f aca="false">J24-K24</f>
        <v>220.746</v>
      </c>
      <c r="M24" s="178" t="n">
        <f aca="false">K24/J24</f>
        <v>0</v>
      </c>
    </row>
    <row r="25" customFormat="false" ht="17.1" hidden="false" customHeight="true" outlineLevel="0" collapsed="false">
      <c r="A25" s="173"/>
      <c r="B25" s="174" t="s">
        <v>75</v>
      </c>
      <c r="C25" s="175" t="n">
        <v>541.988</v>
      </c>
      <c r="D25" s="176" t="n">
        <v>-30.159</v>
      </c>
      <c r="E25" s="175" t="n">
        <f aca="false">C25+D25</f>
        <v>511.829</v>
      </c>
      <c r="F25" s="177" t="n">
        <v>0</v>
      </c>
      <c r="G25" s="143" t="n">
        <f aca="false">E25-F25</f>
        <v>511.829</v>
      </c>
      <c r="H25" s="144" t="n">
        <v>0</v>
      </c>
      <c r="I25" s="179" t="n">
        <f aca="false">97.375</f>
        <v>97.375</v>
      </c>
      <c r="J25" s="144" t="n">
        <f aca="false">G25+I25+H25</f>
        <v>609.204</v>
      </c>
      <c r="K25" s="144" t="n">
        <v>0</v>
      </c>
      <c r="L25" s="146" t="n">
        <f aca="false">J25-K25</f>
        <v>609.204</v>
      </c>
      <c r="M25" s="147" t="n">
        <f aca="false">K25/J25</f>
        <v>0</v>
      </c>
    </row>
    <row r="26" customFormat="false" ht="17.1" hidden="false" customHeight="true" outlineLevel="0" collapsed="false">
      <c r="A26" s="173"/>
      <c r="B26" s="174" t="s">
        <v>76</v>
      </c>
      <c r="C26" s="175" t="n">
        <v>1015.023</v>
      </c>
      <c r="D26" s="176" t="n">
        <v>-171.276</v>
      </c>
      <c r="E26" s="175" t="n">
        <f aca="false">C26+D26</f>
        <v>843.747</v>
      </c>
      <c r="F26" s="175" t="n">
        <v>0</v>
      </c>
      <c r="G26" s="143" t="n">
        <f aca="false">E26-F26</f>
        <v>843.747</v>
      </c>
      <c r="H26" s="144" t="n">
        <v>0</v>
      </c>
      <c r="I26" s="145" t="n">
        <v>0</v>
      </c>
      <c r="J26" s="144" t="n">
        <f aca="false">G26+I26+H26</f>
        <v>843.747</v>
      </c>
      <c r="K26" s="144" t="n">
        <v>317.867</v>
      </c>
      <c r="L26" s="146" t="n">
        <f aca="false">J26-K26</f>
        <v>525.88</v>
      </c>
      <c r="M26" s="147" t="n">
        <f aca="false">K26/J26</f>
        <v>0.376732598752944</v>
      </c>
    </row>
    <row r="27" customFormat="false" ht="17.1" hidden="false" customHeight="true" outlineLevel="0" collapsed="false">
      <c r="A27" s="173"/>
      <c r="B27" s="174" t="s">
        <v>77</v>
      </c>
      <c r="C27" s="175" t="n">
        <v>7.738</v>
      </c>
      <c r="D27" s="175" t="n">
        <v>0</v>
      </c>
      <c r="E27" s="175" t="n">
        <f aca="false">C27+D27</f>
        <v>7.738</v>
      </c>
      <c r="F27" s="175" t="n">
        <v>0</v>
      </c>
      <c r="G27" s="143" t="n">
        <f aca="false">E27-F27</f>
        <v>7.738</v>
      </c>
      <c r="H27" s="144" t="n">
        <v>0</v>
      </c>
      <c r="I27" s="145" t="n">
        <v>0</v>
      </c>
      <c r="J27" s="144" t="n">
        <f aca="false">G27+I27+H27</f>
        <v>7.738</v>
      </c>
      <c r="K27" s="144" t="n">
        <v>0</v>
      </c>
      <c r="L27" s="146" t="n">
        <f aca="false">J27-K27</f>
        <v>7.738</v>
      </c>
      <c r="M27" s="147" t="n">
        <f aca="false">K27/J27</f>
        <v>0</v>
      </c>
    </row>
    <row r="28" customFormat="false" ht="17.1" hidden="false" customHeight="true" outlineLevel="0" collapsed="false">
      <c r="A28" s="173"/>
      <c r="B28" s="174" t="s">
        <v>78</v>
      </c>
      <c r="C28" s="175" t="n">
        <v>23.959</v>
      </c>
      <c r="D28" s="175" t="n">
        <v>0</v>
      </c>
      <c r="E28" s="175" t="n">
        <f aca="false">C28+D28</f>
        <v>23.959</v>
      </c>
      <c r="F28" s="175" t="n">
        <v>16.004</v>
      </c>
      <c r="G28" s="143" t="n">
        <f aca="false">E28-F28</f>
        <v>7.955</v>
      </c>
      <c r="H28" s="144" t="n">
        <v>0</v>
      </c>
      <c r="I28" s="150" t="n">
        <f aca="false">-7.955</f>
        <v>-7.955</v>
      </c>
      <c r="J28" s="144" t="n">
        <f aca="false">G28+I28+H28</f>
        <v>0</v>
      </c>
      <c r="K28" s="144" t="n">
        <v>0</v>
      </c>
      <c r="L28" s="144" t="n">
        <f aca="false">J28-K28</f>
        <v>0</v>
      </c>
      <c r="M28" s="147" t="e">
        <f aca="false">K28/J28</f>
        <v>#DIV/0!</v>
      </c>
    </row>
    <row r="29" customFormat="false" ht="17.1" hidden="false" customHeight="true" outlineLevel="0" collapsed="false">
      <c r="A29" s="173"/>
      <c r="B29" s="174" t="s">
        <v>79</v>
      </c>
      <c r="C29" s="175" t="n">
        <v>397.223</v>
      </c>
      <c r="D29" s="176" t="n">
        <v>-22.103</v>
      </c>
      <c r="E29" s="175" t="n">
        <f aca="false">C29+D29</f>
        <v>375.12</v>
      </c>
      <c r="F29" s="175" t="n">
        <v>0</v>
      </c>
      <c r="G29" s="143" t="n">
        <f aca="false">E29-F29</f>
        <v>375.12</v>
      </c>
      <c r="H29" s="144" t="n">
        <v>0</v>
      </c>
      <c r="I29" s="145" t="n">
        <v>0</v>
      </c>
      <c r="J29" s="144" t="n">
        <f aca="false">G29+I29+H29</f>
        <v>375.12</v>
      </c>
      <c r="K29" s="144" t="n">
        <v>158.673</v>
      </c>
      <c r="L29" s="146" t="n">
        <f aca="false">J29-K29</f>
        <v>216.447</v>
      </c>
      <c r="M29" s="147" t="n">
        <f aca="false">K29/J29</f>
        <v>0.422992642354447</v>
      </c>
    </row>
    <row r="30" customFormat="false" ht="17.1" hidden="false" customHeight="true" outlineLevel="0" collapsed="false">
      <c r="A30" s="173"/>
      <c r="B30" s="174" t="s">
        <v>80</v>
      </c>
      <c r="C30" s="175" t="n">
        <v>211.527</v>
      </c>
      <c r="D30" s="176" t="n">
        <v>-35.693</v>
      </c>
      <c r="E30" s="175" t="n">
        <f aca="false">C30+D30</f>
        <v>175.834</v>
      </c>
      <c r="F30" s="175" t="n">
        <v>0</v>
      </c>
      <c r="G30" s="143" t="n">
        <f aca="false">E30-F30</f>
        <v>175.834</v>
      </c>
      <c r="H30" s="144" t="n">
        <v>0</v>
      </c>
      <c r="I30" s="145" t="n">
        <v>0</v>
      </c>
      <c r="J30" s="144" t="n">
        <f aca="false">G30+I30+H30</f>
        <v>175.834</v>
      </c>
      <c r="K30" s="144" t="n">
        <v>0</v>
      </c>
      <c r="L30" s="146" t="n">
        <f aca="false">J30-K30</f>
        <v>175.834</v>
      </c>
      <c r="M30" s="147" t="n">
        <f aca="false">K30/J30</f>
        <v>0</v>
      </c>
    </row>
    <row r="31" customFormat="false" ht="17.1" hidden="false" customHeight="true" outlineLevel="0" collapsed="false">
      <c r="A31" s="173"/>
      <c r="B31" s="174" t="s">
        <v>81</v>
      </c>
      <c r="C31" s="175" t="n">
        <v>1787.509</v>
      </c>
      <c r="D31" s="175" t="n">
        <v>0</v>
      </c>
      <c r="E31" s="175" t="n">
        <f aca="false">C31+D31</f>
        <v>1787.509</v>
      </c>
      <c r="F31" s="175" t="n">
        <v>591.28</v>
      </c>
      <c r="G31" s="143" t="n">
        <f aca="false">E31-F31</f>
        <v>1196.229</v>
      </c>
      <c r="H31" s="144" t="n">
        <v>0</v>
      </c>
      <c r="I31" s="179" t="n">
        <v>1391.389</v>
      </c>
      <c r="J31" s="144" t="n">
        <f aca="false">G31+I31+H31</f>
        <v>2587.618</v>
      </c>
      <c r="K31" s="144" t="n">
        <v>1025.503</v>
      </c>
      <c r="L31" s="146" t="n">
        <f aca="false">J31-K31</f>
        <v>1562.115</v>
      </c>
      <c r="M31" s="147" t="n">
        <f aca="false">K31/J31</f>
        <v>0.396311588495674</v>
      </c>
    </row>
    <row r="32" customFormat="false" ht="17.1" hidden="false" customHeight="true" outlineLevel="0" collapsed="false">
      <c r="A32" s="173"/>
      <c r="B32" s="174" t="s">
        <v>82</v>
      </c>
      <c r="C32" s="175" t="n">
        <v>295.166</v>
      </c>
      <c r="D32" s="175" t="n">
        <v>0</v>
      </c>
      <c r="E32" s="175" t="n">
        <f aca="false">C32+D32</f>
        <v>295.166</v>
      </c>
      <c r="F32" s="175" t="n">
        <v>197.166</v>
      </c>
      <c r="G32" s="143" t="n">
        <f aca="false">E32-F32</f>
        <v>98</v>
      </c>
      <c r="H32" s="144" t="n">
        <v>0</v>
      </c>
      <c r="I32" s="179" t="n">
        <f aca="false">200+170+7.955+29.698</f>
        <v>407.653</v>
      </c>
      <c r="J32" s="144" t="n">
        <f aca="false">G32+I32+H32</f>
        <v>505.653</v>
      </c>
      <c r="K32" s="144" t="n">
        <v>220.644</v>
      </c>
      <c r="L32" s="180" t="n">
        <f aca="false">J32-K32</f>
        <v>285.009</v>
      </c>
      <c r="M32" s="181" t="n">
        <f aca="false">K32/J32</f>
        <v>0.436354575173093</v>
      </c>
    </row>
    <row r="33" customFormat="false" ht="17.1" hidden="false" customHeight="true" outlineLevel="0" collapsed="false">
      <c r="A33" s="173"/>
      <c r="B33" s="174" t="s">
        <v>83</v>
      </c>
      <c r="C33" s="175" t="n">
        <v>105.28</v>
      </c>
      <c r="D33" s="176" t="n">
        <v>-17.765</v>
      </c>
      <c r="E33" s="175" t="n">
        <f aca="false">C33+D33</f>
        <v>87.515</v>
      </c>
      <c r="F33" s="175" t="n">
        <v>0</v>
      </c>
      <c r="G33" s="143" t="n">
        <f aca="false">E33-F33</f>
        <v>87.515</v>
      </c>
      <c r="H33" s="144" t="n">
        <v>0</v>
      </c>
      <c r="I33" s="145" t="n">
        <v>0</v>
      </c>
      <c r="J33" s="144" t="n">
        <f aca="false">G33+I33+H33</f>
        <v>87.515</v>
      </c>
      <c r="K33" s="144" t="n">
        <v>0</v>
      </c>
      <c r="L33" s="146" t="n">
        <f aca="false">J33-K33</f>
        <v>87.515</v>
      </c>
      <c r="M33" s="147" t="n">
        <f aca="false">K33/J33</f>
        <v>0</v>
      </c>
    </row>
    <row r="34" customFormat="false" ht="17.1" hidden="false" customHeight="true" outlineLevel="0" collapsed="false">
      <c r="A34" s="173"/>
      <c r="B34" s="174" t="s">
        <v>70</v>
      </c>
      <c r="C34" s="175" t="n">
        <v>5439.927</v>
      </c>
      <c r="D34" s="175" t="n">
        <v>0</v>
      </c>
      <c r="E34" s="175" t="n">
        <f aca="false">C34+D34</f>
        <v>5439.927</v>
      </c>
      <c r="F34" s="175" t="n">
        <v>204.26</v>
      </c>
      <c r="G34" s="143" t="n">
        <f aca="false">E34-F34</f>
        <v>5235.667</v>
      </c>
      <c r="H34" s="144" t="n">
        <v>0</v>
      </c>
      <c r="I34" s="145" t="n">
        <v>0</v>
      </c>
      <c r="J34" s="144" t="n">
        <f aca="false">G34+I34+H34</f>
        <v>5235.667</v>
      </c>
      <c r="K34" s="144" t="n">
        <v>803.728</v>
      </c>
      <c r="L34" s="146" t="n">
        <f aca="false">J34-K34</f>
        <v>4431.939</v>
      </c>
      <c r="M34" s="147" t="n">
        <f aca="false">K34/J34</f>
        <v>0.153510144934733</v>
      </c>
    </row>
    <row r="35" customFormat="false" ht="17.1" hidden="false" customHeight="true" outlineLevel="0" collapsed="false">
      <c r="A35" s="173"/>
      <c r="B35" s="174" t="s">
        <v>84</v>
      </c>
      <c r="C35" s="175" t="n">
        <v>103.113</v>
      </c>
      <c r="D35" s="176" t="n">
        <v>-5.738</v>
      </c>
      <c r="E35" s="175" t="n">
        <f aca="false">C35+D35</f>
        <v>97.375</v>
      </c>
      <c r="F35" s="175" t="n">
        <v>0</v>
      </c>
      <c r="G35" s="143" t="n">
        <f aca="false">E35-F35</f>
        <v>97.375</v>
      </c>
      <c r="H35" s="144" t="n">
        <v>0</v>
      </c>
      <c r="I35" s="150" t="n">
        <f aca="false">-97.375</f>
        <v>-97.375</v>
      </c>
      <c r="J35" s="144" t="n">
        <f aca="false">G35+I35+H35</f>
        <v>0</v>
      </c>
      <c r="K35" s="144" t="n">
        <v>0</v>
      </c>
      <c r="L35" s="146" t="n">
        <f aca="false">J35-K35</f>
        <v>0</v>
      </c>
      <c r="M35" s="147" t="e">
        <f aca="false">K35/J35</f>
        <v>#DIV/0!</v>
      </c>
    </row>
    <row r="36" customFormat="false" ht="17.1" hidden="false" customHeight="true" outlineLevel="0" collapsed="false">
      <c r="A36" s="173"/>
      <c r="B36" s="182" t="s">
        <v>85</v>
      </c>
      <c r="C36" s="183" t="n">
        <v>583.968</v>
      </c>
      <c r="D36" s="184" t="n">
        <v>-98.539</v>
      </c>
      <c r="E36" s="183" t="n">
        <f aca="false">C36+D36</f>
        <v>485.429</v>
      </c>
      <c r="F36" s="183" t="n">
        <v>0</v>
      </c>
      <c r="G36" s="168" t="n">
        <f aca="false">E36-F36</f>
        <v>485.429</v>
      </c>
      <c r="H36" s="169" t="n">
        <v>0</v>
      </c>
      <c r="I36" s="170" t="n">
        <v>0</v>
      </c>
      <c r="J36" s="169" t="n">
        <f aca="false">G36+I36+H36</f>
        <v>485.429</v>
      </c>
      <c r="K36" s="169" t="n">
        <v>0</v>
      </c>
      <c r="L36" s="171" t="n">
        <f aca="false">J36-K36</f>
        <v>485.429</v>
      </c>
      <c r="M36" s="172" t="n">
        <f aca="false">K36/J36</f>
        <v>0</v>
      </c>
    </row>
    <row r="37" customFormat="false" ht="15" hidden="false" customHeight="false" outlineLevel="0" collapsed="false">
      <c r="A37" s="5"/>
      <c r="B37" s="5"/>
      <c r="C37" s="185"/>
      <c r="D37" s="185"/>
      <c r="E37" s="185"/>
      <c r="F37" s="185"/>
      <c r="G37" s="186"/>
      <c r="H37" s="186"/>
      <c r="I37" s="187"/>
      <c r="J37" s="186"/>
      <c r="K37" s="186"/>
      <c r="L37" s="188"/>
      <c r="M37" s="189"/>
    </row>
    <row r="38" customFormat="false" ht="15" hidden="false" customHeight="true" outlineLevel="0" collapsed="false">
      <c r="A38" s="190" t="s">
        <v>86</v>
      </c>
      <c r="B38" s="191" t="s">
        <v>59</v>
      </c>
      <c r="C38" s="192" t="n">
        <v>140.067</v>
      </c>
      <c r="D38" s="192" t="n">
        <v>0</v>
      </c>
      <c r="E38" s="192" t="n">
        <f aca="false">C38+D38</f>
        <v>140.067</v>
      </c>
      <c r="F38" s="192" t="n">
        <v>0</v>
      </c>
      <c r="G38" s="193" t="n">
        <f aca="false">E38-F38</f>
        <v>140.067</v>
      </c>
      <c r="H38" s="194" t="n">
        <v>2.822</v>
      </c>
      <c r="I38" s="162" t="n">
        <v>0</v>
      </c>
      <c r="J38" s="133" t="n">
        <f aca="false">G38+I38+H38</f>
        <v>142.889</v>
      </c>
      <c r="K38" s="133" t="n">
        <v>0</v>
      </c>
      <c r="L38" s="135" t="n">
        <f aca="false">J38-K38</f>
        <v>142.889</v>
      </c>
      <c r="M38" s="195" t="n">
        <f aca="false">K38/J38</f>
        <v>0</v>
      </c>
    </row>
    <row r="39" customFormat="false" ht="15.6" hidden="false" customHeight="false" outlineLevel="0" collapsed="false">
      <c r="A39" s="190"/>
      <c r="B39" s="196" t="s">
        <v>60</v>
      </c>
      <c r="C39" s="197" t="n">
        <v>5934.147</v>
      </c>
      <c r="D39" s="198" t="n">
        <v>-2296.56</v>
      </c>
      <c r="E39" s="197" t="n">
        <f aca="false">C39+D39</f>
        <v>3637.587</v>
      </c>
      <c r="F39" s="197" t="n">
        <v>2361.46</v>
      </c>
      <c r="G39" s="199" t="n">
        <f aca="false">E39-F39</f>
        <v>1276.127</v>
      </c>
      <c r="H39" s="200" t="n">
        <v>119.543</v>
      </c>
      <c r="I39" s="150" t="n">
        <f aca="false">-1525</f>
        <v>-1525</v>
      </c>
      <c r="J39" s="201" t="n">
        <f aca="false">G39+I39+H39</f>
        <v>-129.33</v>
      </c>
      <c r="K39" s="144" t="n">
        <v>11.377</v>
      </c>
      <c r="L39" s="202" t="n">
        <f aca="false">J39-K39</f>
        <v>-140.707</v>
      </c>
      <c r="M39" s="203" t="n">
        <v>1.101</v>
      </c>
    </row>
    <row r="40" customFormat="false" ht="15.6" hidden="false" customHeight="false" outlineLevel="0" collapsed="false">
      <c r="A40" s="190"/>
      <c r="B40" s="204" t="s">
        <v>87</v>
      </c>
      <c r="C40" s="197" t="n">
        <v>25786.779</v>
      </c>
      <c r="D40" s="198" t="n">
        <v>-3098.58</v>
      </c>
      <c r="E40" s="197" t="n">
        <f aca="false">C40+D40</f>
        <v>22688.199</v>
      </c>
      <c r="F40" s="197" t="n">
        <v>11971.507</v>
      </c>
      <c r="G40" s="199" t="n">
        <f aca="false">E40-F40</f>
        <v>10716.692</v>
      </c>
      <c r="H40" s="205" t="n">
        <v>519.474</v>
      </c>
      <c r="I40" s="150" t="n">
        <f aca="false">-2000-3000</f>
        <v>-5000</v>
      </c>
      <c r="J40" s="144" t="n">
        <f aca="false">G40+I40+H40</f>
        <v>6236.166</v>
      </c>
      <c r="K40" s="144" t="n">
        <v>706.423</v>
      </c>
      <c r="L40" s="146" t="n">
        <f aca="false">J40-K40</f>
        <v>5529.743</v>
      </c>
      <c r="M40" s="206" t="n">
        <f aca="false">K40/J40</f>
        <v>0.113278414974842</v>
      </c>
    </row>
    <row r="41" customFormat="false" ht="16.2" hidden="false" customHeight="false" outlineLevel="0" collapsed="false">
      <c r="A41" s="190"/>
      <c r="B41" s="207" t="s">
        <v>70</v>
      </c>
      <c r="C41" s="208" t="n">
        <v>2092.911</v>
      </c>
      <c r="D41" s="209" t="n">
        <v>-251.488</v>
      </c>
      <c r="E41" s="208" t="n">
        <f aca="false">C41+D41</f>
        <v>1841.423</v>
      </c>
      <c r="F41" s="208" t="n">
        <v>971.633</v>
      </c>
      <c r="G41" s="210" t="n">
        <f aca="false">E41-F41</f>
        <v>869.79</v>
      </c>
      <c r="H41" s="211" t="n">
        <v>42.162</v>
      </c>
      <c r="I41" s="170" t="n">
        <v>0</v>
      </c>
      <c r="J41" s="169" t="n">
        <f aca="false">G41+I41+H41</f>
        <v>911.952</v>
      </c>
      <c r="K41" s="169" t="n">
        <v>0</v>
      </c>
      <c r="L41" s="171" t="n">
        <f aca="false">J41-K41</f>
        <v>911.952</v>
      </c>
      <c r="M41" s="172" t="n">
        <f aca="false">K41/J41</f>
        <v>0</v>
      </c>
    </row>
    <row r="42" customFormat="false" ht="16.2" hidden="true" customHeight="false" outlineLevel="0" collapsed="false">
      <c r="A42" s="113"/>
      <c r="B42" s="113"/>
      <c r="C42" s="212"/>
      <c r="D42" s="213"/>
      <c r="E42" s="213"/>
      <c r="F42" s="213"/>
      <c r="G42" s="214"/>
      <c r="H42" s="214"/>
      <c r="I42" s="215"/>
      <c r="J42" s="214"/>
      <c r="K42" s="214"/>
      <c r="L42" s="216"/>
      <c r="M42" s="217"/>
    </row>
    <row r="43" customFormat="false" ht="15" hidden="false" customHeight="true" outlineLevel="0" collapsed="false">
      <c r="A43" s="190" t="s">
        <v>88</v>
      </c>
      <c r="B43" s="218" t="s">
        <v>73</v>
      </c>
      <c r="C43" s="219" t="n">
        <v>411.729</v>
      </c>
      <c r="D43" s="219" t="n">
        <v>0</v>
      </c>
      <c r="E43" s="219" t="n">
        <f aca="false">C43+D43</f>
        <v>411.729</v>
      </c>
      <c r="F43" s="219" t="n">
        <v>241.602</v>
      </c>
      <c r="G43" s="132" t="n">
        <f aca="false">E43-F43</f>
        <v>170.127</v>
      </c>
      <c r="H43" s="133" t="n">
        <v>12.047</v>
      </c>
      <c r="I43" s="162" t="n">
        <v>0</v>
      </c>
      <c r="J43" s="133" t="n">
        <f aca="false">G43+I43+H43</f>
        <v>182.174</v>
      </c>
      <c r="K43" s="133" t="n">
        <v>0</v>
      </c>
      <c r="L43" s="135" t="n">
        <f aca="false">J43-K43</f>
        <v>182.174</v>
      </c>
      <c r="M43" s="136" t="n">
        <f aca="false">K43/J43</f>
        <v>0</v>
      </c>
    </row>
    <row r="44" customFormat="false" ht="15.6" hidden="false" customHeight="false" outlineLevel="0" collapsed="false">
      <c r="A44" s="190"/>
      <c r="B44" s="220" t="s">
        <v>89</v>
      </c>
      <c r="C44" s="221" t="n">
        <v>1.497</v>
      </c>
      <c r="D44" s="221" t="n">
        <v>0</v>
      </c>
      <c r="E44" s="222" t="n">
        <f aca="false">C44+D44</f>
        <v>1.497</v>
      </c>
      <c r="F44" s="221" t="n">
        <v>0</v>
      </c>
      <c r="G44" s="223" t="n">
        <f aca="false">E44-F44</f>
        <v>1.497</v>
      </c>
      <c r="H44" s="144" t="n">
        <v>0.044</v>
      </c>
      <c r="I44" s="145" t="n">
        <v>0</v>
      </c>
      <c r="J44" s="224" t="n">
        <f aca="false">G44+I44+H44</f>
        <v>1.541</v>
      </c>
      <c r="K44" s="224" t="n">
        <v>0</v>
      </c>
      <c r="L44" s="146" t="n">
        <f aca="false">J44-K44</f>
        <v>1.541</v>
      </c>
      <c r="M44" s="147" t="n">
        <f aca="false">K44/J44</f>
        <v>0</v>
      </c>
      <c r="O44" s="225"/>
    </row>
    <row r="45" customFormat="false" ht="15" hidden="false" customHeight="true" outlineLevel="0" collapsed="false">
      <c r="A45" s="190"/>
      <c r="B45" s="220" t="s">
        <v>65</v>
      </c>
      <c r="C45" s="221" t="n">
        <v>21.816</v>
      </c>
      <c r="D45" s="221" t="n">
        <v>0</v>
      </c>
      <c r="E45" s="222" t="n">
        <f aca="false">C45+D45</f>
        <v>21.816</v>
      </c>
      <c r="F45" s="221" t="n">
        <v>17.041</v>
      </c>
      <c r="G45" s="223" t="n">
        <f aca="false">E45-F45</f>
        <v>4.775</v>
      </c>
      <c r="H45" s="144" t="n">
        <v>0.638</v>
      </c>
      <c r="I45" s="145" t="n">
        <v>0</v>
      </c>
      <c r="J45" s="224" t="n">
        <f aca="false">G45+I45+H45</f>
        <v>5.413</v>
      </c>
      <c r="K45" s="224" t="n">
        <v>0</v>
      </c>
      <c r="L45" s="146" t="n">
        <f aca="false">J45-K45</f>
        <v>5.413</v>
      </c>
      <c r="M45" s="147" t="n">
        <f aca="false">K45/J45</f>
        <v>0</v>
      </c>
    </row>
    <row r="46" customFormat="false" ht="15" hidden="false" customHeight="true" outlineLevel="0" collapsed="false">
      <c r="A46" s="190"/>
      <c r="B46" s="220" t="s">
        <v>66</v>
      </c>
      <c r="C46" s="221" t="n">
        <v>1321.53</v>
      </c>
      <c r="D46" s="221" t="n">
        <v>0</v>
      </c>
      <c r="E46" s="222" t="n">
        <f aca="false">C46+D46</f>
        <v>1321.53</v>
      </c>
      <c r="F46" s="221" t="n">
        <v>1032.289</v>
      </c>
      <c r="G46" s="223" t="n">
        <f aca="false">E46-F46</f>
        <v>289.241</v>
      </c>
      <c r="H46" s="144" t="n">
        <v>38.667</v>
      </c>
      <c r="I46" s="145" t="n">
        <v>0</v>
      </c>
      <c r="J46" s="224" t="n">
        <f aca="false">G46+I46+H46</f>
        <v>327.908</v>
      </c>
      <c r="K46" s="224" t="n">
        <v>0</v>
      </c>
      <c r="L46" s="146" t="n">
        <f aca="false">J46-K46</f>
        <v>327.908</v>
      </c>
      <c r="M46" s="147" t="n">
        <f aca="false">K46/J46</f>
        <v>0</v>
      </c>
    </row>
    <row r="47" customFormat="false" ht="15.6" hidden="false" customHeight="false" outlineLevel="0" collapsed="false">
      <c r="A47" s="190"/>
      <c r="B47" s="220" t="s">
        <v>90</v>
      </c>
      <c r="C47" s="221" t="n">
        <v>160.076</v>
      </c>
      <c r="D47" s="226" t="n">
        <v>-160.076</v>
      </c>
      <c r="E47" s="222" t="n">
        <f aca="false">C47+D47</f>
        <v>0</v>
      </c>
      <c r="F47" s="221" t="n">
        <v>0</v>
      </c>
      <c r="G47" s="223" t="n">
        <f aca="false">E47-F47</f>
        <v>0</v>
      </c>
      <c r="H47" s="144" t="n">
        <v>4.684</v>
      </c>
      <c r="I47" s="145" t="n">
        <f aca="false">-4.684</f>
        <v>-4.684</v>
      </c>
      <c r="J47" s="224" t="n">
        <f aca="false">G47+I47+H47</f>
        <v>0</v>
      </c>
      <c r="K47" s="224" t="n">
        <v>0</v>
      </c>
      <c r="L47" s="146" t="n">
        <f aca="false">J47-K47</f>
        <v>0</v>
      </c>
      <c r="M47" s="147" t="e">
        <f aca="false">K47/J47</f>
        <v>#DIV/0!</v>
      </c>
    </row>
    <row r="48" customFormat="false" ht="15.6" hidden="false" customHeight="false" outlineLevel="0" collapsed="false">
      <c r="A48" s="190"/>
      <c r="B48" s="220" t="s">
        <v>68</v>
      </c>
      <c r="C48" s="221" t="n">
        <v>536.532</v>
      </c>
      <c r="D48" s="227" t="n">
        <v>1783.308</v>
      </c>
      <c r="E48" s="222" t="n">
        <f aca="false">C48+D48</f>
        <v>2319.84</v>
      </c>
      <c r="F48" s="221" t="n">
        <v>2319.811</v>
      </c>
      <c r="G48" s="223" t="n">
        <f aca="false">E48-F48</f>
        <v>0.0289999999999964</v>
      </c>
      <c r="H48" s="144" t="n">
        <v>15.699</v>
      </c>
      <c r="I48" s="145" t="n">
        <v>0</v>
      </c>
      <c r="J48" s="224" t="n">
        <f aca="false">G48+I48+H48</f>
        <v>15.728</v>
      </c>
      <c r="K48" s="224" t="n">
        <v>0</v>
      </c>
      <c r="L48" s="146" t="n">
        <f aca="false">J48-K48</f>
        <v>15.728</v>
      </c>
      <c r="M48" s="147" t="n">
        <f aca="false">K48/J48</f>
        <v>0</v>
      </c>
    </row>
    <row r="49" customFormat="false" ht="15.6" hidden="false" customHeight="false" outlineLevel="0" collapsed="false">
      <c r="A49" s="190"/>
      <c r="B49" s="220" t="s">
        <v>76</v>
      </c>
      <c r="C49" s="221" t="n">
        <v>33.522</v>
      </c>
      <c r="D49" s="221" t="n">
        <v>0</v>
      </c>
      <c r="E49" s="222" t="n">
        <f aca="false">C49+D49</f>
        <v>33.522</v>
      </c>
      <c r="F49" s="221" t="n">
        <v>19.671</v>
      </c>
      <c r="G49" s="223" t="n">
        <f aca="false">E49-F49</f>
        <v>13.851</v>
      </c>
      <c r="H49" s="144" t="n">
        <v>0.981</v>
      </c>
      <c r="I49" s="145" t="n">
        <v>0</v>
      </c>
      <c r="J49" s="224" t="n">
        <f aca="false">G49+I49+H49</f>
        <v>14.832</v>
      </c>
      <c r="K49" s="224" t="n">
        <v>0</v>
      </c>
      <c r="L49" s="146" t="n">
        <f aca="false">J49-K49</f>
        <v>14.832</v>
      </c>
      <c r="M49" s="147" t="n">
        <f aca="false">K49/J49</f>
        <v>0</v>
      </c>
    </row>
    <row r="50" customFormat="false" ht="15.6" hidden="false" customHeight="false" outlineLevel="0" collapsed="false">
      <c r="A50" s="190"/>
      <c r="B50" s="220" t="s">
        <v>69</v>
      </c>
      <c r="C50" s="221" t="n">
        <v>56.208</v>
      </c>
      <c r="D50" s="221" t="n">
        <v>0</v>
      </c>
      <c r="E50" s="222" t="n">
        <f aca="false">C50+D50</f>
        <v>56.208</v>
      </c>
      <c r="F50" s="221" t="n">
        <v>18.09</v>
      </c>
      <c r="G50" s="223" t="n">
        <f aca="false">E50-F50</f>
        <v>38.118</v>
      </c>
      <c r="H50" s="144" t="n">
        <v>1.645</v>
      </c>
      <c r="I50" s="145" t="n">
        <f aca="false">-38.188</f>
        <v>-38.188</v>
      </c>
      <c r="J50" s="224" t="n">
        <f aca="false">G50+I50+H50</f>
        <v>1.57499999999999</v>
      </c>
      <c r="K50" s="224" t="n">
        <v>25.23</v>
      </c>
      <c r="L50" s="146" t="n">
        <f aca="false">J50-K50</f>
        <v>-23.655</v>
      </c>
      <c r="M50" s="228" t="n">
        <f aca="false">K50/J50</f>
        <v>16.0190476190477</v>
      </c>
    </row>
    <row r="51" customFormat="false" ht="15.6" hidden="false" customHeight="false" outlineLevel="0" collapsed="false">
      <c r="A51" s="190"/>
      <c r="B51" s="220" t="s">
        <v>91</v>
      </c>
      <c r="C51" s="221" t="n">
        <v>5.533</v>
      </c>
      <c r="D51" s="221" t="n">
        <v>0</v>
      </c>
      <c r="E51" s="222" t="n">
        <f aca="false">C51+D51</f>
        <v>5.533</v>
      </c>
      <c r="F51" s="221" t="n">
        <v>0</v>
      </c>
      <c r="G51" s="223" t="n">
        <f aca="false">E51-F51</f>
        <v>5.533</v>
      </c>
      <c r="H51" s="144" t="n">
        <v>0.162</v>
      </c>
      <c r="I51" s="145" t="n">
        <v>0</v>
      </c>
      <c r="J51" s="224" t="n">
        <f aca="false">G51+I51+H51</f>
        <v>5.695</v>
      </c>
      <c r="K51" s="224" t="n">
        <v>0</v>
      </c>
      <c r="L51" s="146" t="n">
        <f aca="false">J51-K51</f>
        <v>5.695</v>
      </c>
      <c r="M51" s="147" t="n">
        <f aca="false">K51/J51</f>
        <v>0</v>
      </c>
    </row>
    <row r="52" customFormat="false" ht="15.6" hidden="false" customHeight="false" outlineLevel="0" collapsed="false">
      <c r="A52" s="190"/>
      <c r="B52" s="220" t="s">
        <v>81</v>
      </c>
      <c r="C52" s="221" t="n">
        <v>38.335</v>
      </c>
      <c r="D52" s="221" t="n">
        <v>0</v>
      </c>
      <c r="E52" s="222" t="n">
        <f aca="false">C52+D52</f>
        <v>38.335</v>
      </c>
      <c r="F52" s="221" t="n">
        <v>38.5</v>
      </c>
      <c r="G52" s="223" t="n">
        <f aca="false">E52-F52</f>
        <v>-0.164999999999999</v>
      </c>
      <c r="H52" s="144" t="n">
        <v>1.122</v>
      </c>
      <c r="I52" s="179" t="n">
        <f aca="false">2.563</f>
        <v>2.563</v>
      </c>
      <c r="J52" s="224" t="n">
        <f aca="false">G52+I52+H52</f>
        <v>3.52</v>
      </c>
      <c r="K52" s="224" t="n">
        <v>0</v>
      </c>
      <c r="L52" s="180" t="n">
        <f aca="false">J52-K52</f>
        <v>3.52</v>
      </c>
      <c r="M52" s="181" t="n">
        <f aca="false">K52/J52</f>
        <v>0</v>
      </c>
    </row>
    <row r="53" customFormat="false" ht="15.6" hidden="false" customHeight="false" outlineLevel="0" collapsed="false">
      <c r="A53" s="190"/>
      <c r="B53" s="220" t="s">
        <v>82</v>
      </c>
      <c r="C53" s="221" t="n">
        <v>2.49</v>
      </c>
      <c r="D53" s="221" t="n">
        <v>0</v>
      </c>
      <c r="E53" s="222" t="n">
        <f aca="false">C53+D53</f>
        <v>2.49</v>
      </c>
      <c r="F53" s="221" t="n">
        <v>0</v>
      </c>
      <c r="G53" s="223" t="n">
        <f aca="false">E53-F53</f>
        <v>2.49</v>
      </c>
      <c r="H53" s="144" t="n">
        <v>0.073</v>
      </c>
      <c r="I53" s="150" t="n">
        <f aca="false">-2.563</f>
        <v>-2.563</v>
      </c>
      <c r="J53" s="224" t="n">
        <f aca="false">G53+I53+H53</f>
        <v>-4.02455846426619E-016</v>
      </c>
      <c r="K53" s="224" t="n">
        <v>0</v>
      </c>
      <c r="L53" s="229" t="n">
        <f aca="false">J53-K53</f>
        <v>-4.02455846426619E-016</v>
      </c>
      <c r="M53" s="147" t="n">
        <f aca="false">K53/J53</f>
        <v>-0</v>
      </c>
    </row>
    <row r="54" customFormat="false" ht="15.6" hidden="false" customHeight="false" outlineLevel="0" collapsed="false">
      <c r="A54" s="190"/>
      <c r="B54" s="220" t="s">
        <v>70</v>
      </c>
      <c r="C54" s="221" t="n">
        <v>1988.313</v>
      </c>
      <c r="D54" s="227" t="n">
        <v>6608.692</v>
      </c>
      <c r="E54" s="222" t="n">
        <f aca="false">C54+D54</f>
        <v>8597.005</v>
      </c>
      <c r="F54" s="221" t="n">
        <v>8596.899</v>
      </c>
      <c r="G54" s="223" t="n">
        <f aca="false">E54-F54</f>
        <v>0.106000000001586</v>
      </c>
      <c r="H54" s="144" t="n">
        <v>58.177</v>
      </c>
      <c r="I54" s="145" t="n">
        <v>0</v>
      </c>
      <c r="J54" s="224" t="n">
        <f aca="false">G54+I54+H54</f>
        <v>58.2830000000016</v>
      </c>
      <c r="K54" s="224" t="n">
        <v>0</v>
      </c>
      <c r="L54" s="146" t="n">
        <f aca="false">J54-K54</f>
        <v>58.2830000000016</v>
      </c>
      <c r="M54" s="147" t="n">
        <f aca="false">K54/J54</f>
        <v>0</v>
      </c>
    </row>
    <row r="55" customFormat="false" ht="16.2" hidden="false" customHeight="false" outlineLevel="0" collapsed="false">
      <c r="A55" s="190"/>
      <c r="B55" s="230" t="s">
        <v>71</v>
      </c>
      <c r="C55" s="231" t="n">
        <v>343.917</v>
      </c>
      <c r="D55" s="231" t="n">
        <v>0</v>
      </c>
      <c r="E55" s="232" t="n">
        <f aca="false">C55+D55</f>
        <v>343.917</v>
      </c>
      <c r="F55" s="231" t="n">
        <v>230.84</v>
      </c>
      <c r="G55" s="233" t="n">
        <f aca="false">E55-F55</f>
        <v>113.077</v>
      </c>
      <c r="H55" s="169" t="n">
        <v>10.063</v>
      </c>
      <c r="I55" s="234" t="n">
        <f aca="false">4.684</f>
        <v>4.684</v>
      </c>
      <c r="J55" s="235" t="n">
        <f aca="false">G55+I55+H55</f>
        <v>127.824</v>
      </c>
      <c r="K55" s="235" t="n">
        <v>0</v>
      </c>
      <c r="L55" s="171" t="n">
        <f aca="false">J55-K55</f>
        <v>127.824</v>
      </c>
      <c r="M55" s="172" t="n">
        <f aca="false">K55/J55</f>
        <v>0</v>
      </c>
    </row>
    <row r="56" customFormat="false" ht="16.2" hidden="true" customHeight="false" outlineLevel="0" collapsed="false">
      <c r="A56" s="113"/>
      <c r="B56" s="113"/>
      <c r="C56" s="212"/>
      <c r="D56" s="213"/>
      <c r="E56" s="213"/>
      <c r="F56" s="213"/>
      <c r="G56" s="214"/>
      <c r="H56" s="214"/>
      <c r="I56" s="215"/>
      <c r="J56" s="214"/>
      <c r="K56" s="214"/>
      <c r="L56" s="216"/>
      <c r="M56" s="217"/>
    </row>
    <row r="57" customFormat="false" ht="15" hidden="false" customHeight="true" outlineLevel="0" collapsed="false">
      <c r="A57" s="236" t="s">
        <v>92</v>
      </c>
      <c r="B57" s="237" t="s">
        <v>73</v>
      </c>
      <c r="C57" s="238" t="n">
        <v>12831.136</v>
      </c>
      <c r="D57" s="239" t="n">
        <v>1128.208</v>
      </c>
      <c r="E57" s="238" t="n">
        <f aca="false">C57+D57</f>
        <v>13959.344</v>
      </c>
      <c r="F57" s="238" t="n">
        <v>12070.842</v>
      </c>
      <c r="G57" s="240" t="n">
        <f aca="false">E57-F57</f>
        <v>1888.502</v>
      </c>
      <c r="H57" s="241" t="n">
        <v>326.516</v>
      </c>
      <c r="I57" s="242" t="n">
        <f aca="false">289.336+61.886+171.041</f>
        <v>522.263</v>
      </c>
      <c r="J57" s="133" t="n">
        <f aca="false">G57+I57+H57</f>
        <v>2737.281</v>
      </c>
      <c r="K57" s="133" t="n">
        <v>1968.812</v>
      </c>
      <c r="L57" s="135" t="n">
        <f aca="false">J57-K57</f>
        <v>768.468999999999</v>
      </c>
      <c r="M57" s="136" t="n">
        <f aca="false">K57/J57</f>
        <v>0.719258271255308</v>
      </c>
      <c r="N57" s="0" t="s">
        <v>93</v>
      </c>
    </row>
    <row r="58" customFormat="false" ht="15" hidden="false" customHeight="true" outlineLevel="0" collapsed="false">
      <c r="A58" s="236"/>
      <c r="B58" s="243" t="s">
        <v>74</v>
      </c>
      <c r="C58" s="244" t="n">
        <v>182.956</v>
      </c>
      <c r="D58" s="245" t="n">
        <v>27.666</v>
      </c>
      <c r="E58" s="244" t="n">
        <f aca="false">C58+D58</f>
        <v>210.622</v>
      </c>
      <c r="F58" s="244" t="n">
        <v>173.278</v>
      </c>
      <c r="G58" s="246" t="n">
        <f aca="false">E58-F58</f>
        <v>37.344</v>
      </c>
      <c r="H58" s="247" t="n">
        <v>4.656</v>
      </c>
      <c r="I58" s="150" t="n">
        <f aca="false">-42</f>
        <v>-42</v>
      </c>
      <c r="J58" s="144" t="n">
        <f aca="false">G58+I58+H58</f>
        <v>2.22044604925031E-014</v>
      </c>
      <c r="K58" s="144" t="n">
        <v>0</v>
      </c>
      <c r="L58" s="146" t="n">
        <f aca="false">J58-K58</f>
        <v>2.22044604925031E-014</v>
      </c>
      <c r="M58" s="147" t="n">
        <f aca="false">K58/J58</f>
        <v>0</v>
      </c>
    </row>
    <row r="59" customFormat="false" ht="15.6" hidden="false" customHeight="false" outlineLevel="0" collapsed="false">
      <c r="A59" s="236"/>
      <c r="B59" s="243" t="s">
        <v>66</v>
      </c>
      <c r="C59" s="244" t="n">
        <v>28722.796</v>
      </c>
      <c r="D59" s="245" t="n">
        <v>3168.15</v>
      </c>
      <c r="E59" s="244" t="n">
        <f aca="false">C59+D59</f>
        <v>31890.946</v>
      </c>
      <c r="F59" s="244" t="n">
        <v>31522.9</v>
      </c>
      <c r="G59" s="246" t="n">
        <f aca="false">E59-F59</f>
        <v>368.045999999998</v>
      </c>
      <c r="H59" s="247" t="n">
        <v>730.913</v>
      </c>
      <c r="I59" s="145" t="n">
        <v>0</v>
      </c>
      <c r="J59" s="144" t="n">
        <f aca="false">G59+I59+H59</f>
        <v>1098.959</v>
      </c>
      <c r="K59" s="144" t="n">
        <v>363.54</v>
      </c>
      <c r="L59" s="146" t="n">
        <f aca="false">J59-K59</f>
        <v>735.418999999999</v>
      </c>
      <c r="M59" s="147" t="n">
        <f aca="false">K59/J59</f>
        <v>0.330803969938824</v>
      </c>
    </row>
    <row r="60" customFormat="false" ht="15.6" hidden="false" customHeight="false" outlineLevel="0" collapsed="false">
      <c r="A60" s="236"/>
      <c r="B60" s="243" t="s">
        <v>71</v>
      </c>
      <c r="C60" s="244" t="n">
        <v>23932.734</v>
      </c>
      <c r="D60" s="245" t="n">
        <v>3000</v>
      </c>
      <c r="E60" s="244" t="n">
        <f aca="false">C60+D60</f>
        <v>26932.734</v>
      </c>
      <c r="F60" s="244" t="n">
        <v>26597.8</v>
      </c>
      <c r="G60" s="246" t="n">
        <f aca="false">E60-F60</f>
        <v>334.934000000001</v>
      </c>
      <c r="H60" s="247" t="n">
        <v>609.02</v>
      </c>
      <c r="I60" s="179" t="n">
        <f aca="false">240+1525+5.231+8.603+54.632</f>
        <v>1833.466</v>
      </c>
      <c r="J60" s="144" t="n">
        <f aca="false">G60+I60+H60</f>
        <v>2777.42</v>
      </c>
      <c r="K60" s="144" t="n">
        <v>1968.575</v>
      </c>
      <c r="L60" s="146" t="n">
        <f aca="false">J60-K60</f>
        <v>808.845000000001</v>
      </c>
      <c r="M60" s="147" t="n">
        <f aca="false">K60/J60</f>
        <v>0.708778290643835</v>
      </c>
      <c r="N60" s="0" t="s">
        <v>93</v>
      </c>
    </row>
    <row r="61" customFormat="false" ht="15.6" hidden="false" customHeight="false" outlineLevel="0" collapsed="false">
      <c r="A61" s="236"/>
      <c r="B61" s="243" t="s">
        <v>90</v>
      </c>
      <c r="C61" s="244" t="n">
        <v>338.092</v>
      </c>
      <c r="D61" s="248" t="n">
        <v>-338.092</v>
      </c>
      <c r="E61" s="244" t="n">
        <f aca="false">C61+D61</f>
        <v>0</v>
      </c>
      <c r="F61" s="244" t="n">
        <v>0</v>
      </c>
      <c r="G61" s="246" t="n">
        <f aca="false">E61-F61</f>
        <v>0</v>
      </c>
      <c r="H61" s="247" t="n">
        <v>8.603</v>
      </c>
      <c r="I61" s="145" t="n">
        <f aca="false">-8.603</f>
        <v>-8.603</v>
      </c>
      <c r="J61" s="144" t="n">
        <f aca="false">G61+I61+H61</f>
        <v>0</v>
      </c>
      <c r="K61" s="144" t="n">
        <v>0</v>
      </c>
      <c r="L61" s="146" t="n">
        <f aca="false">J61-K61</f>
        <v>0</v>
      </c>
      <c r="M61" s="147" t="e">
        <f aca="false">K61/J61</f>
        <v>#DIV/0!</v>
      </c>
    </row>
    <row r="62" customFormat="false" ht="15" hidden="false" customHeight="true" outlineLevel="0" collapsed="false">
      <c r="A62" s="236"/>
      <c r="B62" s="243" t="s">
        <v>94</v>
      </c>
      <c r="C62" s="244" t="n">
        <v>5358.055</v>
      </c>
      <c r="D62" s="244" t="n">
        <v>0</v>
      </c>
      <c r="E62" s="244" t="n">
        <f aca="false">C62+D62</f>
        <v>5358.055</v>
      </c>
      <c r="F62" s="244" t="n">
        <v>5210.996</v>
      </c>
      <c r="G62" s="246" t="n">
        <f aca="false">E62-F62</f>
        <v>147.059</v>
      </c>
      <c r="H62" s="247" t="n">
        <v>136.347</v>
      </c>
      <c r="I62" s="179" t="n">
        <f aca="false">476.076</f>
        <v>476.076</v>
      </c>
      <c r="J62" s="144" t="n">
        <f aca="false">G62+I62+H62</f>
        <v>759.482</v>
      </c>
      <c r="K62" s="144" t="n">
        <v>125.36</v>
      </c>
      <c r="L62" s="146" t="n">
        <f aca="false">J62-K62</f>
        <v>634.122</v>
      </c>
      <c r="M62" s="147" t="n">
        <f aca="false">K62/J62</f>
        <v>0.165059869753332</v>
      </c>
    </row>
    <row r="63" customFormat="false" ht="15.6" hidden="false" customHeight="false" outlineLevel="0" collapsed="false">
      <c r="A63" s="236"/>
      <c r="B63" s="243" t="s">
        <v>68</v>
      </c>
      <c r="C63" s="244" t="n">
        <v>376.027</v>
      </c>
      <c r="D63" s="245" t="n">
        <v>35.046</v>
      </c>
      <c r="E63" s="244" t="n">
        <f aca="false">C63+D63</f>
        <v>411.073</v>
      </c>
      <c r="F63" s="244" t="n">
        <v>403.288</v>
      </c>
      <c r="G63" s="246" t="n">
        <f aca="false">E63-F63</f>
        <v>7.78499999999997</v>
      </c>
      <c r="H63" s="247" t="n">
        <v>9.569</v>
      </c>
      <c r="I63" s="145" t="n">
        <v>0</v>
      </c>
      <c r="J63" s="144" t="n">
        <f aca="false">G63+I63+H63</f>
        <v>17.354</v>
      </c>
      <c r="K63" s="144" t="n">
        <v>0</v>
      </c>
      <c r="L63" s="146" t="n">
        <f aca="false">J63-K63</f>
        <v>17.354</v>
      </c>
      <c r="M63" s="147" t="n">
        <f aca="false">K63/J63</f>
        <v>0</v>
      </c>
    </row>
    <row r="64" customFormat="false" ht="18.75" hidden="false" customHeight="true" outlineLevel="0" collapsed="false">
      <c r="A64" s="236"/>
      <c r="B64" s="243" t="s">
        <v>95</v>
      </c>
      <c r="C64" s="244" t="n">
        <v>3.922</v>
      </c>
      <c r="D64" s="244" t="n">
        <v>0</v>
      </c>
      <c r="E64" s="244" t="n">
        <f aca="false">C64+D64</f>
        <v>3.922</v>
      </c>
      <c r="F64" s="244" t="n">
        <v>0</v>
      </c>
      <c r="G64" s="246" t="n">
        <f aca="false">E64-F64</f>
        <v>3.922</v>
      </c>
      <c r="H64" s="247" t="n">
        <v>0.1</v>
      </c>
      <c r="I64" s="145" t="n">
        <v>0</v>
      </c>
      <c r="J64" s="144" t="n">
        <f aca="false">G64+I64+H64</f>
        <v>4.022</v>
      </c>
      <c r="K64" s="144" t="n">
        <v>0</v>
      </c>
      <c r="L64" s="146" t="n">
        <f aca="false">J64-K64</f>
        <v>4.022</v>
      </c>
      <c r="M64" s="147" t="n">
        <f aca="false">K64/J64</f>
        <v>0</v>
      </c>
    </row>
    <row r="65" customFormat="false" ht="15.6" hidden="false" customHeight="false" outlineLevel="0" collapsed="false">
      <c r="A65" s="236"/>
      <c r="B65" s="243" t="s">
        <v>96</v>
      </c>
      <c r="C65" s="244" t="n">
        <v>15.786</v>
      </c>
      <c r="D65" s="244" t="n">
        <v>0</v>
      </c>
      <c r="E65" s="244" t="n">
        <f aca="false">C65+D65</f>
        <v>15.786</v>
      </c>
      <c r="F65" s="244" t="n">
        <v>0</v>
      </c>
      <c r="G65" s="246" t="n">
        <f aca="false">E65-F65</f>
        <v>15.786</v>
      </c>
      <c r="H65" s="247" t="n">
        <v>0.402</v>
      </c>
      <c r="I65" s="145" t="n">
        <v>0</v>
      </c>
      <c r="J65" s="144" t="n">
        <f aca="false">G65+I65+H65</f>
        <v>16.188</v>
      </c>
      <c r="K65" s="144" t="n">
        <v>0</v>
      </c>
      <c r="L65" s="146" t="n">
        <f aca="false">J65-K65</f>
        <v>16.188</v>
      </c>
      <c r="M65" s="147" t="n">
        <f aca="false">K65/J65</f>
        <v>0</v>
      </c>
    </row>
    <row r="66" customFormat="false" ht="15.6" hidden="false" customHeight="false" outlineLevel="0" collapsed="false">
      <c r="A66" s="236"/>
      <c r="B66" s="243" t="s">
        <v>76</v>
      </c>
      <c r="C66" s="244" t="n">
        <v>11438.755</v>
      </c>
      <c r="D66" s="245" t="n">
        <v>1005.78</v>
      </c>
      <c r="E66" s="244" t="n">
        <f aca="false">C66+D66</f>
        <v>12444.535</v>
      </c>
      <c r="F66" s="244" t="n">
        <v>10760.965</v>
      </c>
      <c r="G66" s="246" t="n">
        <f aca="false">E66-F66</f>
        <v>1683.57</v>
      </c>
      <c r="H66" s="247" t="n">
        <v>291.084</v>
      </c>
      <c r="I66" s="179" t="n">
        <v>200</v>
      </c>
      <c r="J66" s="144" t="n">
        <f aca="false">G66+I66+H66</f>
        <v>2174.654</v>
      </c>
      <c r="K66" s="144" t="n">
        <v>1248.106</v>
      </c>
      <c r="L66" s="146" t="n">
        <f aca="false">J66-K66</f>
        <v>926.548000000001</v>
      </c>
      <c r="M66" s="147" t="n">
        <f aca="false">K66/J66</f>
        <v>0.573933140628348</v>
      </c>
      <c r="N66" s="0" t="s">
        <v>93</v>
      </c>
    </row>
    <row r="67" customFormat="false" ht="15.6" hidden="false" customHeight="false" outlineLevel="0" collapsed="false">
      <c r="A67" s="236"/>
      <c r="B67" s="243" t="s">
        <v>77</v>
      </c>
      <c r="C67" s="244" t="n">
        <v>18.336</v>
      </c>
      <c r="D67" s="244" t="n">
        <v>0</v>
      </c>
      <c r="E67" s="244" t="n">
        <f aca="false">C67+D67</f>
        <v>18.336</v>
      </c>
      <c r="F67" s="244" t="n">
        <v>0</v>
      </c>
      <c r="G67" s="246" t="n">
        <f aca="false">E67-F67</f>
        <v>18.336</v>
      </c>
      <c r="H67" s="247" t="n">
        <v>0.467</v>
      </c>
      <c r="I67" s="145" t="n">
        <v>0</v>
      </c>
      <c r="J67" s="144" t="n">
        <f aca="false">G67+I67+H67</f>
        <v>18.803</v>
      </c>
      <c r="K67" s="144" t="n">
        <v>0</v>
      </c>
      <c r="L67" s="146" t="n">
        <f aca="false">J67-K67</f>
        <v>18.803</v>
      </c>
      <c r="M67" s="147" t="n">
        <f aca="false">K67/J67</f>
        <v>0</v>
      </c>
    </row>
    <row r="68" customFormat="false" ht="15.6" hidden="false" customHeight="false" outlineLevel="0" collapsed="false">
      <c r="A68" s="236"/>
      <c r="B68" s="243" t="s">
        <v>78</v>
      </c>
      <c r="C68" s="244" t="n">
        <v>21.7</v>
      </c>
      <c r="D68" s="245" t="n">
        <v>3.281</v>
      </c>
      <c r="E68" s="244" t="n">
        <f aca="false">C68+D68</f>
        <v>24.981</v>
      </c>
      <c r="F68" s="244" t="n">
        <v>20.552</v>
      </c>
      <c r="G68" s="246" t="n">
        <f aca="false">E68-F68</f>
        <v>4.429</v>
      </c>
      <c r="H68" s="247" t="n">
        <v>0.552</v>
      </c>
      <c r="I68" s="150" t="n">
        <f aca="false">-4.981</f>
        <v>-4.981</v>
      </c>
      <c r="J68" s="144" t="n">
        <f aca="false">G68+I68+H68</f>
        <v>0</v>
      </c>
      <c r="K68" s="144" t="n">
        <v>0</v>
      </c>
      <c r="L68" s="229" t="n">
        <f aca="false">J68-K68</f>
        <v>0</v>
      </c>
      <c r="M68" s="147" t="e">
        <f aca="false">K68/J68</f>
        <v>#DIV/0!</v>
      </c>
    </row>
    <row r="69" customFormat="false" ht="15.6" hidden="false" customHeight="false" outlineLevel="0" collapsed="false">
      <c r="A69" s="236"/>
      <c r="B69" s="243" t="s">
        <v>79</v>
      </c>
      <c r="C69" s="244" t="n">
        <v>1335.746</v>
      </c>
      <c r="D69" s="244" t="n">
        <v>0</v>
      </c>
      <c r="E69" s="244" t="n">
        <f aca="false">C69+D69</f>
        <v>1335.746</v>
      </c>
      <c r="F69" s="244" t="n">
        <v>1299.085</v>
      </c>
      <c r="G69" s="246" t="n">
        <f aca="false">E69-F69</f>
        <v>36.6609999999998</v>
      </c>
      <c r="H69" s="247" t="n">
        <v>33.991</v>
      </c>
      <c r="I69" s="179" t="n">
        <f aca="false">32.199+89.707+133.851+38.188</f>
        <v>293.945</v>
      </c>
      <c r="J69" s="144" t="n">
        <f aca="false">G69+I69+H69</f>
        <v>364.597</v>
      </c>
      <c r="K69" s="144" t="n">
        <v>79.66</v>
      </c>
      <c r="L69" s="180" t="n">
        <f aca="false">J69-K69</f>
        <v>284.937</v>
      </c>
      <c r="M69" s="178" t="n">
        <f aca="false">K69/J69</f>
        <v>0.218487809828386</v>
      </c>
    </row>
    <row r="70" customFormat="false" ht="15.6" hidden="false" customHeight="false" outlineLevel="0" collapsed="false">
      <c r="A70" s="236"/>
      <c r="B70" s="243" t="s">
        <v>80</v>
      </c>
      <c r="C70" s="244" t="n">
        <v>990.806</v>
      </c>
      <c r="D70" s="245" t="n">
        <v>87.119</v>
      </c>
      <c r="E70" s="244" t="n">
        <f aca="false">C70+D70</f>
        <v>1077.925</v>
      </c>
      <c r="F70" s="244" t="n">
        <v>932.097</v>
      </c>
      <c r="G70" s="246" t="n">
        <f aca="false">E70-F70</f>
        <v>145.828</v>
      </c>
      <c r="H70" s="247" t="n">
        <v>25.213</v>
      </c>
      <c r="I70" s="150" t="n">
        <f aca="false">-171.041</f>
        <v>-171.041</v>
      </c>
      <c r="J70" s="144" t="n">
        <f aca="false">G70+I70+H70</f>
        <v>0</v>
      </c>
      <c r="K70" s="144" t="n">
        <v>0</v>
      </c>
      <c r="L70" s="146" t="n">
        <f aca="false">J70-K70</f>
        <v>0</v>
      </c>
      <c r="M70" s="147" t="e">
        <f aca="false">K70/J70</f>
        <v>#DIV/0!</v>
      </c>
    </row>
    <row r="71" customFormat="false" ht="15.6" hidden="false" customHeight="false" outlineLevel="0" collapsed="false">
      <c r="A71" s="236"/>
      <c r="B71" s="243" t="s">
        <v>81</v>
      </c>
      <c r="C71" s="244" t="n">
        <v>5678.117</v>
      </c>
      <c r="D71" s="245" t="n">
        <v>858.611</v>
      </c>
      <c r="E71" s="244" t="n">
        <f aca="false">C71+D71</f>
        <v>6536.728</v>
      </c>
      <c r="F71" s="244" t="n">
        <v>5377.745</v>
      </c>
      <c r="G71" s="246" t="n">
        <f aca="false">E71-F71</f>
        <v>1158.983</v>
      </c>
      <c r="H71" s="247" t="n">
        <v>144.492</v>
      </c>
      <c r="I71" s="179" t="n">
        <f aca="false">228.7+4.981+395.382</f>
        <v>629.063</v>
      </c>
      <c r="J71" s="144" t="n">
        <f aca="false">G71+I71+H71</f>
        <v>1932.538</v>
      </c>
      <c r="K71" s="144" t="n">
        <v>1008.303</v>
      </c>
      <c r="L71" s="146" t="n">
        <f aca="false">J71-K71</f>
        <v>924.235</v>
      </c>
      <c r="M71" s="147" t="n">
        <f aca="false">K71/J71</f>
        <v>0.521750671914343</v>
      </c>
      <c r="N71" s="0" t="s">
        <v>93</v>
      </c>
    </row>
    <row r="72" customFormat="false" ht="15.6" hidden="false" customHeight="false" outlineLevel="0" collapsed="false">
      <c r="A72" s="236"/>
      <c r="B72" s="243" t="s">
        <v>97</v>
      </c>
      <c r="C72" s="244" t="n">
        <v>1722.337</v>
      </c>
      <c r="D72" s="245" t="n">
        <v>260.442</v>
      </c>
      <c r="E72" s="244" t="n">
        <f aca="false">C72+D72</f>
        <v>1982.779</v>
      </c>
      <c r="F72" s="244" t="n">
        <v>1631.226</v>
      </c>
      <c r="G72" s="246" t="n">
        <f aca="false">E72-F72</f>
        <v>351.553</v>
      </c>
      <c r="H72" s="247" t="n">
        <v>43.829</v>
      </c>
      <c r="I72" s="150" t="n">
        <f aca="false">4.981+42-4.981-395.382</f>
        <v>-353.382</v>
      </c>
      <c r="J72" s="144" t="n">
        <f aca="false">G72+I72+H72</f>
        <v>41.9999999999999</v>
      </c>
      <c r="K72" s="144" t="n">
        <v>0</v>
      </c>
      <c r="L72" s="146" t="n">
        <f aca="false">J72-K72</f>
        <v>41.9999999999999</v>
      </c>
      <c r="M72" s="147" t="n">
        <f aca="false">K72/J72</f>
        <v>0</v>
      </c>
    </row>
    <row r="73" customFormat="false" ht="15.6" hidden="false" customHeight="false" outlineLevel="0" collapsed="false">
      <c r="A73" s="236"/>
      <c r="B73" s="243" t="s">
        <v>83</v>
      </c>
      <c r="C73" s="249" t="n">
        <v>1676.061</v>
      </c>
      <c r="D73" s="245" t="n">
        <v>147.372</v>
      </c>
      <c r="E73" s="244" t="n">
        <f aca="false">C73+D73</f>
        <v>1823.433</v>
      </c>
      <c r="F73" s="244" t="n">
        <v>1576.748</v>
      </c>
      <c r="G73" s="246" t="n">
        <f aca="false">E73-F73</f>
        <v>246.685</v>
      </c>
      <c r="H73" s="247" t="n">
        <v>42.651</v>
      </c>
      <c r="I73" s="150" t="n">
        <f aca="false">-289.336</f>
        <v>-289.336</v>
      </c>
      <c r="J73" s="144" t="n">
        <f aca="false">G73+I73+H73</f>
        <v>0</v>
      </c>
      <c r="K73" s="144" t="n">
        <v>0</v>
      </c>
      <c r="L73" s="229" t="n">
        <f aca="false">J73-K73</f>
        <v>0</v>
      </c>
      <c r="M73" s="147" t="e">
        <f aca="false">K73/J73</f>
        <v>#DIV/0!</v>
      </c>
    </row>
    <row r="74" customFormat="false" ht="15.6" hidden="false" customHeight="false" outlineLevel="0" collapsed="false">
      <c r="A74" s="236"/>
      <c r="B74" s="243" t="s">
        <v>98</v>
      </c>
      <c r="C74" s="249" t="n">
        <v>8.998</v>
      </c>
      <c r="D74" s="249" t="n">
        <v>0</v>
      </c>
      <c r="E74" s="244" t="n">
        <f aca="false">C74+D74</f>
        <v>8.998</v>
      </c>
      <c r="F74" s="249" t="n">
        <v>0</v>
      </c>
      <c r="G74" s="246" t="n">
        <f aca="false">E74-F74</f>
        <v>8.998</v>
      </c>
      <c r="H74" s="144" t="n">
        <v>0.229</v>
      </c>
      <c r="I74" s="250" t="n">
        <v>0</v>
      </c>
      <c r="J74" s="144" t="n">
        <f aca="false">G74+I74+H74</f>
        <v>9.227</v>
      </c>
      <c r="K74" s="144" t="n">
        <v>0</v>
      </c>
      <c r="L74" s="251" t="n">
        <f aca="false">J74-K74</f>
        <v>9.227</v>
      </c>
      <c r="M74" s="147" t="n">
        <f aca="false">K74/J74</f>
        <v>0</v>
      </c>
    </row>
    <row r="75" customFormat="false" ht="15.6" hidden="false" customHeight="false" outlineLevel="0" collapsed="false">
      <c r="A75" s="236"/>
      <c r="B75" s="243" t="s">
        <v>70</v>
      </c>
      <c r="C75" s="249" t="n">
        <v>25761.709</v>
      </c>
      <c r="D75" s="252" t="n">
        <v>2401.024</v>
      </c>
      <c r="E75" s="244" t="n">
        <f aca="false">C75+D75</f>
        <v>28162.733</v>
      </c>
      <c r="F75" s="249" t="n">
        <v>27629.342</v>
      </c>
      <c r="G75" s="199" t="n">
        <f aca="false">E75-F75</f>
        <v>533.391</v>
      </c>
      <c r="H75" s="144" t="n">
        <v>655.562</v>
      </c>
      <c r="I75" s="179" t="n">
        <f aca="false">2000+3000</f>
        <v>5000</v>
      </c>
      <c r="J75" s="144" t="n">
        <f aca="false">G75+I75+H75</f>
        <v>6188.953</v>
      </c>
      <c r="K75" s="144" t="n">
        <v>2608.52</v>
      </c>
      <c r="L75" s="146" t="n">
        <f aca="false">J75-K75</f>
        <v>3580.433</v>
      </c>
      <c r="M75" s="147" t="n">
        <f aca="false">K75/J75</f>
        <v>0.421480014470945</v>
      </c>
      <c r="N75" s="0" t="s">
        <v>93</v>
      </c>
    </row>
    <row r="76" customFormat="false" ht="15.6" hidden="false" customHeight="false" outlineLevel="0" collapsed="false">
      <c r="A76" s="236"/>
      <c r="B76" s="243" t="s">
        <v>99</v>
      </c>
      <c r="C76" s="249" t="n">
        <v>608.768</v>
      </c>
      <c r="D76" s="249" t="n">
        <v>0</v>
      </c>
      <c r="E76" s="244" t="n">
        <f aca="false">C76+D76</f>
        <v>608.768</v>
      </c>
      <c r="F76" s="249" t="n">
        <v>592.06</v>
      </c>
      <c r="G76" s="199" t="n">
        <f aca="false">E76-F76</f>
        <v>16.7080000000001</v>
      </c>
      <c r="H76" s="144" t="n">
        <v>15.491</v>
      </c>
      <c r="I76" s="145" t="n">
        <f aca="false">-32.199</f>
        <v>-32.199</v>
      </c>
      <c r="J76" s="144" t="n">
        <f aca="false">G76+I76+H76</f>
        <v>8.5265128291212E-014</v>
      </c>
      <c r="K76" s="144" t="n">
        <v>0</v>
      </c>
      <c r="L76" s="146" t="n">
        <f aca="false">J76-K76</f>
        <v>8.5265128291212E-014</v>
      </c>
      <c r="M76" s="147" t="n">
        <f aca="false">K76/J76</f>
        <v>0</v>
      </c>
    </row>
    <row r="77" customFormat="false" ht="15.6" hidden="false" customHeight="false" outlineLevel="0" collapsed="false">
      <c r="A77" s="236"/>
      <c r="B77" s="243" t="s">
        <v>100</v>
      </c>
      <c r="C77" s="244" t="n">
        <v>358.493</v>
      </c>
      <c r="D77" s="252" t="n">
        <v>31.521</v>
      </c>
      <c r="E77" s="244" t="n">
        <f aca="false">C77+D77</f>
        <v>390.014</v>
      </c>
      <c r="F77" s="249" t="n">
        <v>337.251</v>
      </c>
      <c r="G77" s="199" t="n">
        <f aca="false">E77-F77</f>
        <v>52.763</v>
      </c>
      <c r="H77" s="144" t="n">
        <v>9.123</v>
      </c>
      <c r="I77" s="150" t="n">
        <f aca="false">-61.886</f>
        <v>-61.886</v>
      </c>
      <c r="J77" s="144" t="n">
        <f aca="false">G77+I77+H77</f>
        <v>0</v>
      </c>
      <c r="K77" s="144" t="n">
        <v>0</v>
      </c>
      <c r="L77" s="146" t="n">
        <f aca="false">J77-K77</f>
        <v>0</v>
      </c>
      <c r="M77" s="147" t="e">
        <f aca="false">K77/J77</f>
        <v>#DIV/0!</v>
      </c>
    </row>
    <row r="78" customFormat="false" ht="16.2" hidden="false" customHeight="false" outlineLevel="0" collapsed="false">
      <c r="A78" s="236"/>
      <c r="B78" s="253" t="s">
        <v>101</v>
      </c>
      <c r="C78" s="254" t="n">
        <v>46.871</v>
      </c>
      <c r="D78" s="254" t="n">
        <v>0</v>
      </c>
      <c r="E78" s="254" t="n">
        <f aca="false">C78+D78</f>
        <v>46.871</v>
      </c>
      <c r="F78" s="254" t="n">
        <v>0</v>
      </c>
      <c r="G78" s="210" t="n">
        <f aca="false">E78-F78</f>
        <v>46.871</v>
      </c>
      <c r="H78" s="169" t="n">
        <v>1.193</v>
      </c>
      <c r="I78" s="170" t="n">
        <v>0</v>
      </c>
      <c r="J78" s="169" t="n">
        <f aca="false">G78+I78+H78</f>
        <v>48.064</v>
      </c>
      <c r="K78" s="169" t="n">
        <v>0</v>
      </c>
      <c r="L78" s="171" t="n">
        <f aca="false">J78-K78</f>
        <v>48.064</v>
      </c>
      <c r="M78" s="172" t="n">
        <f aca="false">K78/J78</f>
        <v>0</v>
      </c>
    </row>
    <row r="79" customFormat="false" ht="15" hidden="true" customHeight="false" outlineLevel="0" collapsed="false">
      <c r="A79" s="5"/>
      <c r="B79" s="5"/>
      <c r="D79" s="185"/>
      <c r="E79" s="185"/>
      <c r="F79" s="185"/>
      <c r="G79" s="186"/>
      <c r="H79" s="255"/>
      <c r="I79" s="256"/>
      <c r="J79" s="255"/>
      <c r="K79" s="255"/>
      <c r="L79" s="257"/>
      <c r="M79" s="258"/>
    </row>
    <row r="80" customFormat="false" ht="15" hidden="false" customHeight="true" outlineLevel="0" collapsed="false">
      <c r="A80" s="190" t="s">
        <v>102</v>
      </c>
      <c r="B80" s="259" t="s">
        <v>73</v>
      </c>
      <c r="C80" s="260" t="n">
        <v>1807.221</v>
      </c>
      <c r="D80" s="261" t="n">
        <v>-1246.595</v>
      </c>
      <c r="E80" s="262" t="n">
        <f aca="false">C80+D80</f>
        <v>560.626</v>
      </c>
      <c r="F80" s="262" t="n">
        <v>545.006</v>
      </c>
      <c r="G80" s="263" t="n">
        <f aca="false">E80-F80</f>
        <v>15.62</v>
      </c>
      <c r="H80" s="133" t="n">
        <v>46.046</v>
      </c>
      <c r="I80" s="162" t="n">
        <v>0</v>
      </c>
      <c r="J80" s="133" t="n">
        <f aca="false">G80+I80+H80</f>
        <v>61.666</v>
      </c>
      <c r="K80" s="133" t="n">
        <v>0</v>
      </c>
      <c r="L80" s="264" t="n">
        <f aca="false">J80-K80</f>
        <v>61.666</v>
      </c>
      <c r="M80" s="265" t="n">
        <f aca="false">K80/J80</f>
        <v>0</v>
      </c>
    </row>
    <row r="81" customFormat="false" ht="15" hidden="false" customHeight="true" outlineLevel="0" collapsed="false">
      <c r="A81" s="190"/>
      <c r="B81" s="266" t="s">
        <v>65</v>
      </c>
      <c r="C81" s="267" t="n">
        <v>17.266</v>
      </c>
      <c r="D81" s="268" t="n">
        <v>-17.266</v>
      </c>
      <c r="E81" s="269" t="n">
        <f aca="false">C81+D81</f>
        <v>0</v>
      </c>
      <c r="F81" s="267" t="n">
        <v>0</v>
      </c>
      <c r="G81" s="270" t="n">
        <f aca="false">E81-F81</f>
        <v>0</v>
      </c>
      <c r="H81" s="144" t="n">
        <v>0.44</v>
      </c>
      <c r="I81" s="145" t="n">
        <v>0</v>
      </c>
      <c r="J81" s="144" t="n">
        <f aca="false">G81+I81+H81</f>
        <v>0.44</v>
      </c>
      <c r="K81" s="144" t="n">
        <v>0</v>
      </c>
      <c r="L81" s="146" t="n">
        <f aca="false">J81-K81</f>
        <v>0.44</v>
      </c>
      <c r="M81" s="147" t="n">
        <f aca="false">K81/J81</f>
        <v>0</v>
      </c>
    </row>
    <row r="82" customFormat="false" ht="15" hidden="false" customHeight="true" outlineLevel="0" collapsed="false">
      <c r="A82" s="190"/>
      <c r="B82" s="271" t="s">
        <v>74</v>
      </c>
      <c r="C82" s="272" t="n">
        <v>15.622</v>
      </c>
      <c r="D82" s="272" t="n">
        <v>0</v>
      </c>
      <c r="E82" s="269" t="n">
        <f aca="false">C82+D82</f>
        <v>15.622</v>
      </c>
      <c r="F82" s="272" t="n">
        <v>15.228</v>
      </c>
      <c r="G82" s="270" t="n">
        <f aca="false">E82-F82</f>
        <v>0.394</v>
      </c>
      <c r="H82" s="144" t="n">
        <v>0.398</v>
      </c>
      <c r="I82" s="150" t="n">
        <f aca="false">-0.792</f>
        <v>-0.792</v>
      </c>
      <c r="J82" s="144" t="n">
        <f aca="false">G82+I82+H82</f>
        <v>0</v>
      </c>
      <c r="K82" s="144" t="n">
        <v>0</v>
      </c>
      <c r="L82" s="146" t="n">
        <f aca="false">J82-K82</f>
        <v>0</v>
      </c>
      <c r="M82" s="147" t="e">
        <f aca="false">K82/J82</f>
        <v>#DIV/0!</v>
      </c>
    </row>
    <row r="83" customFormat="false" ht="15.6" hidden="false" customHeight="false" outlineLevel="0" collapsed="false">
      <c r="A83" s="190"/>
      <c r="B83" s="271" t="s">
        <v>103</v>
      </c>
      <c r="C83" s="272" t="n">
        <v>137.757</v>
      </c>
      <c r="D83" s="272" t="n">
        <v>0</v>
      </c>
      <c r="E83" s="269" t="n">
        <f aca="false">C83+D83</f>
        <v>137.757</v>
      </c>
      <c r="F83" s="272" t="n">
        <v>0</v>
      </c>
      <c r="G83" s="270" t="n">
        <f aca="false">E83-F83</f>
        <v>137.757</v>
      </c>
      <c r="H83" s="144" t="n">
        <v>3.51</v>
      </c>
      <c r="I83" s="145" t="n">
        <v>0</v>
      </c>
      <c r="J83" s="144" t="n">
        <f aca="false">G83+I83+H83</f>
        <v>141.267</v>
      </c>
      <c r="K83" s="144" t="n">
        <v>0</v>
      </c>
      <c r="L83" s="146" t="n">
        <f aca="false">J83-K83</f>
        <v>141.267</v>
      </c>
      <c r="M83" s="147" t="n">
        <f aca="false">K83/J83</f>
        <v>0</v>
      </c>
    </row>
    <row r="84" customFormat="false" ht="15.6" hidden="false" customHeight="false" outlineLevel="0" collapsed="false">
      <c r="A84" s="190"/>
      <c r="B84" s="271" t="s">
        <v>66</v>
      </c>
      <c r="C84" s="272" t="n">
        <v>4150.975</v>
      </c>
      <c r="D84" s="268" t="n">
        <v>-4150.884</v>
      </c>
      <c r="E84" s="269" t="n">
        <f aca="false">C84+D84</f>
        <v>0.0910000000003493</v>
      </c>
      <c r="F84" s="272" t="n">
        <v>0</v>
      </c>
      <c r="G84" s="270" t="n">
        <f aca="false">E84-F84</f>
        <v>0.0910000000003493</v>
      </c>
      <c r="H84" s="144" t="n">
        <v>105.761</v>
      </c>
      <c r="I84" s="145" t="n">
        <v>0</v>
      </c>
      <c r="J84" s="144" t="n">
        <f aca="false">G84+I84+H84</f>
        <v>105.852</v>
      </c>
      <c r="K84" s="144" t="n">
        <v>0</v>
      </c>
      <c r="L84" s="146" t="n">
        <f aca="false">J84-K84</f>
        <v>105.852</v>
      </c>
      <c r="M84" s="147" t="n">
        <f aca="false">K84/J84</f>
        <v>0</v>
      </c>
    </row>
    <row r="85" customFormat="false" ht="15.6" hidden="false" customHeight="false" outlineLevel="0" collapsed="false">
      <c r="A85" s="190"/>
      <c r="B85" s="271" t="s">
        <v>71</v>
      </c>
      <c r="C85" s="272" t="n">
        <v>2144.137</v>
      </c>
      <c r="D85" s="268" t="n">
        <v>-440.997</v>
      </c>
      <c r="E85" s="269" t="n">
        <f aca="false">C85+D85</f>
        <v>1703.14</v>
      </c>
      <c r="F85" s="272" t="n">
        <v>1458.94</v>
      </c>
      <c r="G85" s="270" t="n">
        <f aca="false">E85-F85</f>
        <v>244.2</v>
      </c>
      <c r="H85" s="144" t="n">
        <v>54.632</v>
      </c>
      <c r="I85" s="150" t="n">
        <f aca="false">-240-54.632</f>
        <v>-294.632</v>
      </c>
      <c r="J85" s="144" t="n">
        <f aca="false">G85+I85+H85</f>
        <v>4.20000000000004</v>
      </c>
      <c r="K85" s="144" t="n">
        <v>0</v>
      </c>
      <c r="L85" s="146" t="n">
        <f aca="false">J85-K85</f>
        <v>4.20000000000004</v>
      </c>
      <c r="M85" s="147" t="n">
        <f aca="false">K85/J85</f>
        <v>0</v>
      </c>
    </row>
    <row r="86" customFormat="false" ht="15.6" hidden="false" customHeight="false" outlineLevel="0" collapsed="false">
      <c r="A86" s="190"/>
      <c r="B86" s="271" t="s">
        <v>90</v>
      </c>
      <c r="C86" s="272" t="n">
        <v>205.268</v>
      </c>
      <c r="D86" s="268" t="n">
        <v>-205.268</v>
      </c>
      <c r="E86" s="269" t="n">
        <f aca="false">C86+D86</f>
        <v>0</v>
      </c>
      <c r="F86" s="272" t="n">
        <v>0</v>
      </c>
      <c r="G86" s="270" t="n">
        <f aca="false">E86-F86</f>
        <v>0</v>
      </c>
      <c r="H86" s="144" t="n">
        <v>5.231</v>
      </c>
      <c r="I86" s="202" t="n">
        <f aca="false">-5.231</f>
        <v>-5.231</v>
      </c>
      <c r="J86" s="144" t="n">
        <f aca="false">G86+I86+H86</f>
        <v>0</v>
      </c>
      <c r="K86" s="144" t="n">
        <v>0</v>
      </c>
      <c r="L86" s="146" t="n">
        <f aca="false">J86-K86</f>
        <v>0</v>
      </c>
      <c r="M86" s="147" t="e">
        <f aca="false">K86/J86</f>
        <v>#DIV/0!</v>
      </c>
    </row>
    <row r="87" customFormat="false" ht="15" hidden="false" customHeight="true" outlineLevel="0" collapsed="false">
      <c r="A87" s="190"/>
      <c r="B87" s="271" t="s">
        <v>75</v>
      </c>
      <c r="C87" s="272" t="n">
        <v>620.727</v>
      </c>
      <c r="D87" s="272" t="n">
        <v>0</v>
      </c>
      <c r="E87" s="269" t="n">
        <f aca="false">C87+D87</f>
        <v>620.727</v>
      </c>
      <c r="F87" s="272" t="n">
        <v>144.651</v>
      </c>
      <c r="G87" s="270" t="n">
        <f aca="false">E87-F87</f>
        <v>476.076</v>
      </c>
      <c r="H87" s="144" t="n">
        <v>15.815</v>
      </c>
      <c r="I87" s="145" t="n">
        <f aca="false">-476.076</f>
        <v>-476.076</v>
      </c>
      <c r="J87" s="144" t="n">
        <f aca="false">G87+I87+H87</f>
        <v>15.815</v>
      </c>
      <c r="K87" s="144" t="n">
        <v>159.165</v>
      </c>
      <c r="L87" s="146" t="n">
        <f aca="false">J87-K87</f>
        <v>-143.35</v>
      </c>
      <c r="M87" s="228" t="n">
        <f aca="false">K87/J87</f>
        <v>10.0641795763516</v>
      </c>
    </row>
    <row r="88" customFormat="false" ht="15.6" hidden="false" customHeight="false" outlineLevel="0" collapsed="false">
      <c r="A88" s="190"/>
      <c r="B88" s="271" t="s">
        <v>61</v>
      </c>
      <c r="C88" s="272" t="n">
        <v>737.489</v>
      </c>
      <c r="D88" s="268" t="n">
        <v>-725.455</v>
      </c>
      <c r="E88" s="269" t="n">
        <f aca="false">C88+D88</f>
        <v>12.034</v>
      </c>
      <c r="F88" s="272" t="n">
        <v>12.016</v>
      </c>
      <c r="G88" s="270" t="n">
        <f aca="false">E88-F88</f>
        <v>0.0179999999999918</v>
      </c>
      <c r="H88" s="144" t="n">
        <v>18.794</v>
      </c>
      <c r="I88" s="145" t="n">
        <v>0</v>
      </c>
      <c r="J88" s="144" t="n">
        <f aca="false">G88+I88+H88</f>
        <v>18.812</v>
      </c>
      <c r="K88" s="144" t="n">
        <v>0</v>
      </c>
      <c r="L88" s="146" t="n">
        <f aca="false">J88-K88</f>
        <v>18.812</v>
      </c>
      <c r="M88" s="147" t="n">
        <f aca="false">K88/J88</f>
        <v>0</v>
      </c>
    </row>
    <row r="89" customFormat="false" ht="18.75" hidden="false" customHeight="true" outlineLevel="0" collapsed="false">
      <c r="A89" s="190"/>
      <c r="B89" s="271" t="s">
        <v>95</v>
      </c>
      <c r="C89" s="273" t="n">
        <v>1.481</v>
      </c>
      <c r="D89" s="273" t="n">
        <v>0</v>
      </c>
      <c r="E89" s="269" t="n">
        <f aca="false">C89+D89</f>
        <v>1.481</v>
      </c>
      <c r="F89" s="273" t="n">
        <v>0</v>
      </c>
      <c r="G89" s="270" t="n">
        <f aca="false">E89-F89</f>
        <v>1.481</v>
      </c>
      <c r="H89" s="144" t="n">
        <v>0.038</v>
      </c>
      <c r="I89" s="145" t="n">
        <v>0</v>
      </c>
      <c r="J89" s="144" t="n">
        <f aca="false">G89+I89+H89</f>
        <v>1.519</v>
      </c>
      <c r="K89" s="144" t="n">
        <v>0</v>
      </c>
      <c r="L89" s="146" t="n">
        <f aca="false">J89-K89</f>
        <v>1.519</v>
      </c>
      <c r="M89" s="147" t="n">
        <f aca="false">K89/J89</f>
        <v>0</v>
      </c>
    </row>
    <row r="90" customFormat="false" ht="15.6" hidden="false" customHeight="false" outlineLevel="0" collapsed="false">
      <c r="A90" s="190"/>
      <c r="B90" s="271" t="s">
        <v>96</v>
      </c>
      <c r="C90" s="272" t="n">
        <v>4.409</v>
      </c>
      <c r="D90" s="272" t="n">
        <v>0</v>
      </c>
      <c r="E90" s="269" t="n">
        <f aca="false">C90+D90</f>
        <v>4.409</v>
      </c>
      <c r="F90" s="272" t="n">
        <v>0</v>
      </c>
      <c r="G90" s="270" t="n">
        <f aca="false">E90-F90</f>
        <v>4.409</v>
      </c>
      <c r="H90" s="144" t="n">
        <v>0.112</v>
      </c>
      <c r="I90" s="145" t="n">
        <v>0</v>
      </c>
      <c r="J90" s="144" t="n">
        <f aca="false">G90+I90+H90</f>
        <v>4.521</v>
      </c>
      <c r="K90" s="144" t="n">
        <v>0</v>
      </c>
      <c r="L90" s="146" t="n">
        <f aca="false">J90-K90</f>
        <v>4.521</v>
      </c>
      <c r="M90" s="147" t="n">
        <f aca="false">K90/J90</f>
        <v>0</v>
      </c>
    </row>
    <row r="91" customFormat="false" ht="15.6" hidden="false" customHeight="false" outlineLevel="0" collapsed="false">
      <c r="A91" s="190"/>
      <c r="B91" s="271" t="s">
        <v>76</v>
      </c>
      <c r="C91" s="272" t="n">
        <v>1634.495</v>
      </c>
      <c r="D91" s="268" t="n">
        <v>-1127.471</v>
      </c>
      <c r="E91" s="269" t="n">
        <f aca="false">C91+D91</f>
        <v>507.024</v>
      </c>
      <c r="F91" s="272" t="n">
        <v>492.897</v>
      </c>
      <c r="G91" s="270" t="n">
        <f aca="false">E91-F91</f>
        <v>14.1269999999999</v>
      </c>
      <c r="H91" s="144" t="n">
        <v>41.643</v>
      </c>
      <c r="I91" s="145" t="n">
        <v>0</v>
      </c>
      <c r="J91" s="144" t="n">
        <f aca="false">G91+I91+H91</f>
        <v>55.7699999999999</v>
      </c>
      <c r="K91" s="144" t="n">
        <v>0</v>
      </c>
      <c r="L91" s="180" t="n">
        <f aca="false">J91-K91</f>
        <v>55.7699999999999</v>
      </c>
      <c r="M91" s="178" t="n">
        <f aca="false">K91/J91</f>
        <v>0</v>
      </c>
    </row>
    <row r="92" customFormat="false" ht="15.6" hidden="false" customHeight="false" outlineLevel="0" collapsed="false">
      <c r="A92" s="190"/>
      <c r="B92" s="271" t="s">
        <v>77</v>
      </c>
      <c r="C92" s="272" t="n">
        <v>4.792</v>
      </c>
      <c r="D92" s="272" t="n">
        <v>0</v>
      </c>
      <c r="E92" s="269" t="n">
        <f aca="false">C92+D92</f>
        <v>4.792</v>
      </c>
      <c r="F92" s="272" t="n">
        <v>0</v>
      </c>
      <c r="G92" s="270" t="n">
        <f aca="false">E92-F92</f>
        <v>4.792</v>
      </c>
      <c r="H92" s="144" t="n">
        <v>0.122</v>
      </c>
      <c r="I92" s="145" t="n">
        <v>0</v>
      </c>
      <c r="J92" s="144" t="n">
        <f aca="false">G92+I92+H92</f>
        <v>4.914</v>
      </c>
      <c r="K92" s="144" t="n">
        <v>0</v>
      </c>
      <c r="L92" s="146" t="n">
        <f aca="false">J92-K92</f>
        <v>4.914</v>
      </c>
      <c r="M92" s="147" t="n">
        <f aca="false">K92/J92</f>
        <v>0</v>
      </c>
    </row>
    <row r="93" customFormat="false" ht="15.6" hidden="false" customHeight="false" outlineLevel="0" collapsed="false">
      <c r="A93" s="190"/>
      <c r="B93" s="271" t="s">
        <v>78</v>
      </c>
      <c r="C93" s="272" t="n">
        <v>5.093</v>
      </c>
      <c r="D93" s="272" t="n">
        <v>0</v>
      </c>
      <c r="E93" s="269" t="n">
        <f aca="false">C93+D93</f>
        <v>5.093</v>
      </c>
      <c r="F93" s="272" t="n">
        <v>4.965</v>
      </c>
      <c r="G93" s="270" t="n">
        <f aca="false">E93-F93</f>
        <v>0.128</v>
      </c>
      <c r="H93" s="144" t="n">
        <v>0.13</v>
      </c>
      <c r="I93" s="150" t="n">
        <f aca="false">-0.258</f>
        <v>-0.258</v>
      </c>
      <c r="J93" s="144" t="n">
        <f aca="false">G93+I93+H93</f>
        <v>0</v>
      </c>
      <c r="K93" s="144" t="n">
        <v>0</v>
      </c>
      <c r="L93" s="146" t="n">
        <f aca="false">J93-K93</f>
        <v>0</v>
      </c>
      <c r="M93" s="147" t="e">
        <f aca="false">K93/J93</f>
        <v>#DIV/0!</v>
      </c>
    </row>
    <row r="94" customFormat="false" ht="15.6" hidden="false" customHeight="false" outlineLevel="0" collapsed="false">
      <c r="A94" s="190"/>
      <c r="B94" s="271" t="s">
        <v>69</v>
      </c>
      <c r="C94" s="272" t="n">
        <v>174.52</v>
      </c>
      <c r="D94" s="272" t="n">
        <v>0</v>
      </c>
      <c r="E94" s="269" t="n">
        <f aca="false">C94+D94</f>
        <v>174.52</v>
      </c>
      <c r="F94" s="272" t="n">
        <v>40.669</v>
      </c>
      <c r="G94" s="270" t="n">
        <f aca="false">E94-F94</f>
        <v>133.851</v>
      </c>
      <c r="H94" s="144" t="n">
        <v>4.447</v>
      </c>
      <c r="I94" s="145" t="n">
        <f aca="false">-133.851</f>
        <v>-133.851</v>
      </c>
      <c r="J94" s="144" t="n">
        <f aca="false">G94+I94+H94</f>
        <v>4.447</v>
      </c>
      <c r="K94" s="144" t="n">
        <v>0</v>
      </c>
      <c r="L94" s="146" t="n">
        <f aca="false">J94-K94</f>
        <v>4.447</v>
      </c>
      <c r="M94" s="147" t="n">
        <f aca="false">K94/J94</f>
        <v>0</v>
      </c>
    </row>
    <row r="95" customFormat="false" ht="15.6" hidden="false" customHeight="false" outlineLevel="0" collapsed="false">
      <c r="A95" s="190"/>
      <c r="B95" s="271" t="s">
        <v>81</v>
      </c>
      <c r="C95" s="272" t="n">
        <v>931.097</v>
      </c>
      <c r="D95" s="272" t="n">
        <v>0</v>
      </c>
      <c r="E95" s="269" t="n">
        <f aca="false">C95+D95</f>
        <v>931.097</v>
      </c>
      <c r="F95" s="272" t="n">
        <v>907.565</v>
      </c>
      <c r="G95" s="270" t="n">
        <f aca="false">E95-F95</f>
        <v>23.5319999999999</v>
      </c>
      <c r="H95" s="144" t="n">
        <v>23.722</v>
      </c>
      <c r="I95" s="179" t="n">
        <f aca="false">0.258+39.827</f>
        <v>40.085</v>
      </c>
      <c r="J95" s="144" t="n">
        <f aca="false">G95+I95+H95</f>
        <v>87.3389999999999</v>
      </c>
      <c r="K95" s="144" t="n">
        <v>13.567</v>
      </c>
      <c r="L95" s="146" t="n">
        <f aca="false">J95-K95</f>
        <v>73.7719999999999</v>
      </c>
      <c r="M95" s="147" t="n">
        <f aca="false">K95/J95</f>
        <v>0.155337249109791</v>
      </c>
    </row>
    <row r="96" customFormat="false" ht="15.6" hidden="false" customHeight="false" outlineLevel="0" collapsed="false">
      <c r="A96" s="190"/>
      <c r="B96" s="271" t="s">
        <v>97</v>
      </c>
      <c r="C96" s="272" t="n">
        <v>783.958</v>
      </c>
      <c r="D96" s="272" t="n">
        <v>0</v>
      </c>
      <c r="E96" s="269" t="n">
        <f aca="false">C96+D96</f>
        <v>783.958</v>
      </c>
      <c r="F96" s="272" t="n">
        <v>764.103</v>
      </c>
      <c r="G96" s="270" t="n">
        <f aca="false">E96-F96</f>
        <v>19.855</v>
      </c>
      <c r="H96" s="144" t="n">
        <v>19.972</v>
      </c>
      <c r="I96" s="150" t="n">
        <f aca="false">0.258+0.792-0.258-39.827</f>
        <v>-39.035</v>
      </c>
      <c r="J96" s="144" t="n">
        <f aca="false">G96+I96+H96</f>
        <v>0.792000000000023</v>
      </c>
      <c r="K96" s="144" t="n">
        <v>0</v>
      </c>
      <c r="L96" s="146" t="n">
        <f aca="false">J96-K96</f>
        <v>0.792000000000023</v>
      </c>
      <c r="M96" s="147" t="n">
        <f aca="false">K96/J96</f>
        <v>0</v>
      </c>
    </row>
    <row r="97" customFormat="false" ht="15.6" hidden="false" customHeight="false" outlineLevel="0" collapsed="false">
      <c r="A97" s="190"/>
      <c r="B97" s="274" t="s">
        <v>98</v>
      </c>
      <c r="C97" s="275" t="n">
        <v>3.403</v>
      </c>
      <c r="D97" s="275" t="n">
        <v>0</v>
      </c>
      <c r="E97" s="269" t="n">
        <f aca="false">C97+D97</f>
        <v>3.403</v>
      </c>
      <c r="F97" s="275" t="n">
        <v>0</v>
      </c>
      <c r="G97" s="270" t="n">
        <f aca="false">E97-F97</f>
        <v>3.403</v>
      </c>
      <c r="H97" s="144" t="n">
        <v>0.087</v>
      </c>
      <c r="I97" s="145" t="n">
        <v>0</v>
      </c>
      <c r="J97" s="144" t="n">
        <f aca="false">G97+I97+H97</f>
        <v>3.49</v>
      </c>
      <c r="K97" s="144" t="n">
        <v>0</v>
      </c>
      <c r="L97" s="146" t="n">
        <f aca="false">J97-K97</f>
        <v>3.49</v>
      </c>
      <c r="M97" s="147" t="n">
        <f aca="false">K97/J97</f>
        <v>0</v>
      </c>
    </row>
    <row r="98" customFormat="false" ht="15.6" hidden="false" customHeight="false" outlineLevel="0" collapsed="false">
      <c r="A98" s="190"/>
      <c r="B98" s="274" t="s">
        <v>70</v>
      </c>
      <c r="C98" s="275" t="n">
        <v>3430.51</v>
      </c>
      <c r="D98" s="276" t="n">
        <v>-3374.545</v>
      </c>
      <c r="E98" s="269" t="n">
        <f aca="false">C98+D98</f>
        <v>55.9650000000001</v>
      </c>
      <c r="F98" s="275" t="n">
        <v>55.884</v>
      </c>
      <c r="G98" s="270" t="n">
        <f aca="false">E98-F98</f>
        <v>0.0810000000001452</v>
      </c>
      <c r="H98" s="144" t="n">
        <v>87.404</v>
      </c>
      <c r="I98" s="145" t="n">
        <v>0</v>
      </c>
      <c r="J98" s="144" t="n">
        <f aca="false">G98+I98+H98</f>
        <v>87.4850000000001</v>
      </c>
      <c r="K98" s="144" t="n">
        <v>0</v>
      </c>
      <c r="L98" s="146" t="n">
        <f aca="false">J98-K98</f>
        <v>87.4850000000001</v>
      </c>
      <c r="M98" s="147" t="n">
        <f aca="false">K98/J98</f>
        <v>0</v>
      </c>
    </row>
    <row r="99" customFormat="false" ht="15.6" hidden="false" customHeight="false" outlineLevel="0" collapsed="false">
      <c r="A99" s="190"/>
      <c r="B99" s="274" t="s">
        <v>84</v>
      </c>
      <c r="C99" s="275" t="n">
        <v>113.203</v>
      </c>
      <c r="D99" s="275" t="n">
        <v>0</v>
      </c>
      <c r="E99" s="269" t="n">
        <f aca="false">C99+D99</f>
        <v>113.203</v>
      </c>
      <c r="F99" s="275" t="n">
        <v>26.38</v>
      </c>
      <c r="G99" s="270" t="n">
        <f aca="false">E99-F99</f>
        <v>86.823</v>
      </c>
      <c r="H99" s="144" t="n">
        <v>2.884</v>
      </c>
      <c r="I99" s="145" t="n">
        <f aca="false">-89.707</f>
        <v>-89.707</v>
      </c>
      <c r="J99" s="144" t="n">
        <f aca="false">G99+I99+H99</f>
        <v>1.37667655053519E-014</v>
      </c>
      <c r="K99" s="144" t="n">
        <v>0</v>
      </c>
      <c r="L99" s="146" t="n">
        <f aca="false">J99-K99</f>
        <v>1.37667655053519E-014</v>
      </c>
      <c r="M99" s="147" t="n">
        <f aca="false">K99/J99</f>
        <v>0</v>
      </c>
    </row>
    <row r="100" customFormat="false" ht="15.6" hidden="false" customHeight="false" outlineLevel="0" collapsed="false">
      <c r="A100" s="190"/>
      <c r="B100" s="274" t="s">
        <v>100</v>
      </c>
      <c r="C100" s="275" t="n">
        <v>37.6</v>
      </c>
      <c r="D100" s="276" t="n">
        <v>-25.934</v>
      </c>
      <c r="E100" s="269" t="n">
        <f aca="false">C100+D100</f>
        <v>11.666</v>
      </c>
      <c r="F100" s="275" t="n">
        <v>11.341</v>
      </c>
      <c r="G100" s="270" t="n">
        <f aca="false">E100-F100</f>
        <v>0.325000000000001</v>
      </c>
      <c r="H100" s="144" t="n">
        <v>0.958</v>
      </c>
      <c r="I100" s="145" t="n">
        <v>0</v>
      </c>
      <c r="J100" s="144" t="n">
        <f aca="false">G100+I100+H100</f>
        <v>1.283</v>
      </c>
      <c r="K100" s="144" t="n">
        <v>0</v>
      </c>
      <c r="L100" s="180" t="n">
        <f aca="false">J100-K100</f>
        <v>1.283</v>
      </c>
      <c r="M100" s="178" t="n">
        <f aca="false">K100/J100</f>
        <v>0</v>
      </c>
    </row>
    <row r="101" customFormat="false" ht="16.2" hidden="false" customHeight="false" outlineLevel="0" collapsed="false">
      <c r="A101" s="190"/>
      <c r="B101" s="277" t="s">
        <v>101</v>
      </c>
      <c r="C101" s="278" t="n">
        <v>33.565</v>
      </c>
      <c r="D101" s="278" t="n">
        <v>0</v>
      </c>
      <c r="E101" s="279" t="n">
        <f aca="false">C101+D101</f>
        <v>33.565</v>
      </c>
      <c r="F101" s="278" t="n">
        <v>0</v>
      </c>
      <c r="G101" s="280" t="n">
        <f aca="false">E101-F101</f>
        <v>33.565</v>
      </c>
      <c r="H101" s="169" t="n">
        <v>0.855</v>
      </c>
      <c r="I101" s="170" t="n">
        <v>0</v>
      </c>
      <c r="J101" s="169" t="n">
        <f aca="false">G101+I101+H101</f>
        <v>34.42</v>
      </c>
      <c r="K101" s="169" t="n">
        <v>0</v>
      </c>
      <c r="L101" s="171" t="n">
        <f aca="false">J101-K101</f>
        <v>34.42</v>
      </c>
      <c r="M101" s="172" t="n">
        <f aca="false">K101/J101</f>
        <v>0</v>
      </c>
    </row>
    <row r="102" customFormat="false" ht="15" hidden="false" customHeight="false" outlineLevel="0" collapsed="false">
      <c r="A102" s="5"/>
      <c r="B102" s="5"/>
      <c r="C102" s="185"/>
      <c r="D102" s="185"/>
      <c r="E102" s="185"/>
      <c r="F102" s="185"/>
      <c r="G102" s="186"/>
      <c r="H102" s="186"/>
      <c r="I102" s="187"/>
      <c r="J102" s="186"/>
      <c r="K102" s="186"/>
      <c r="L102" s="188"/>
      <c r="M102" s="189"/>
    </row>
    <row r="103" customFormat="false" ht="15" hidden="false" customHeight="true" outlineLevel="0" collapsed="false">
      <c r="A103" s="281" t="s">
        <v>104</v>
      </c>
      <c r="B103" s="282" t="s">
        <v>73</v>
      </c>
      <c r="C103" s="283" t="n">
        <v>11753.541</v>
      </c>
      <c r="D103" s="284" t="n">
        <v>-1367.535</v>
      </c>
      <c r="E103" s="283" t="n">
        <f aca="false">C103+D103</f>
        <v>10386.006</v>
      </c>
      <c r="F103" s="283" t="n">
        <v>63.71</v>
      </c>
      <c r="G103" s="132" t="n">
        <f aca="false">E103-F103</f>
        <v>10322.296</v>
      </c>
      <c r="H103" s="133" t="n">
        <v>0</v>
      </c>
      <c r="I103" s="162" t="n">
        <v>0</v>
      </c>
      <c r="J103" s="133" t="n">
        <f aca="false">G103+I103+H103</f>
        <v>10322.296</v>
      </c>
      <c r="K103" s="133" t="n">
        <v>5501.667</v>
      </c>
      <c r="L103" s="135" t="n">
        <f aca="false">J103-K103</f>
        <v>4820.629</v>
      </c>
      <c r="M103" s="136" t="n">
        <f aca="false">K103/J103</f>
        <v>0.532988687788066</v>
      </c>
    </row>
    <row r="104" customFormat="false" ht="15" hidden="false" customHeight="true" outlineLevel="0" collapsed="false">
      <c r="A104" s="281"/>
      <c r="B104" s="285" t="s">
        <v>74</v>
      </c>
      <c r="C104" s="286" t="n">
        <v>2232.618</v>
      </c>
      <c r="D104" s="286" t="n">
        <v>0</v>
      </c>
      <c r="E104" s="286" t="n">
        <f aca="false">C104+D104</f>
        <v>2232.618</v>
      </c>
      <c r="F104" s="286" t="n">
        <v>1309.289</v>
      </c>
      <c r="G104" s="143" t="n">
        <f aca="false">E104-F104</f>
        <v>923.329</v>
      </c>
      <c r="H104" s="144" t="n">
        <v>0</v>
      </c>
      <c r="I104" s="150" t="n">
        <f aca="false">-923.329</f>
        <v>-923.329</v>
      </c>
      <c r="J104" s="144" t="n">
        <f aca="false">G104+I104+H104</f>
        <v>0</v>
      </c>
      <c r="K104" s="144" t="n">
        <v>0</v>
      </c>
      <c r="L104" s="146" t="n">
        <f aca="false">J104-K104</f>
        <v>0</v>
      </c>
      <c r="M104" s="147" t="e">
        <f aca="false">K104/J104</f>
        <v>#DIV/0!</v>
      </c>
    </row>
    <row r="105" customFormat="false" ht="15" hidden="false" customHeight="true" outlineLevel="0" collapsed="false">
      <c r="A105" s="281"/>
      <c r="B105" s="285" t="s">
        <v>66</v>
      </c>
      <c r="C105" s="286" t="n">
        <v>32187.13</v>
      </c>
      <c r="D105" s="287" t="n">
        <v>-18600</v>
      </c>
      <c r="E105" s="286" t="n">
        <f aca="false">C105+D105</f>
        <v>13587.13</v>
      </c>
      <c r="F105" s="286" t="n">
        <v>2835.39</v>
      </c>
      <c r="G105" s="143" t="n">
        <f aca="false">E105-F105</f>
        <v>10751.74</v>
      </c>
      <c r="H105" s="144" t="n">
        <v>0</v>
      </c>
      <c r="I105" s="145" t="n">
        <v>0</v>
      </c>
      <c r="J105" s="144" t="n">
        <f aca="false">G105+I105+H105</f>
        <v>10751.74</v>
      </c>
      <c r="K105" s="144" t="n">
        <v>4620.893</v>
      </c>
      <c r="L105" s="146" t="n">
        <f aca="false">J105-K105</f>
        <v>6130.847</v>
      </c>
      <c r="M105" s="147" t="n">
        <f aca="false">K105/J105</f>
        <v>0.429780947083914</v>
      </c>
    </row>
    <row r="106" customFormat="false" ht="15" hidden="false" customHeight="true" outlineLevel="0" collapsed="false">
      <c r="A106" s="281"/>
      <c r="B106" s="285" t="s">
        <v>71</v>
      </c>
      <c r="C106" s="286" t="n">
        <v>23548.279</v>
      </c>
      <c r="D106" s="287" t="n">
        <v>-4400</v>
      </c>
      <c r="E106" s="286" t="n">
        <f aca="false">C106+D106</f>
        <v>19148.279</v>
      </c>
      <c r="F106" s="286" t="n">
        <v>1013.168</v>
      </c>
      <c r="G106" s="143" t="n">
        <f aca="false">E106-F106</f>
        <v>18135.111</v>
      </c>
      <c r="H106" s="144" t="n">
        <v>0</v>
      </c>
      <c r="I106" s="145" t="n">
        <v>0</v>
      </c>
      <c r="J106" s="144" t="n">
        <f aca="false">G106+I106+H106</f>
        <v>18135.111</v>
      </c>
      <c r="K106" s="144" t="n">
        <v>9526.181</v>
      </c>
      <c r="L106" s="146" t="n">
        <f aca="false">J106-K106</f>
        <v>8608.93</v>
      </c>
      <c r="M106" s="178" t="n">
        <f aca="false">K106/J106</f>
        <v>0.525289368231603</v>
      </c>
    </row>
    <row r="107" customFormat="false" ht="15" hidden="false" customHeight="true" outlineLevel="0" collapsed="false">
      <c r="A107" s="281"/>
      <c r="B107" s="285" t="s">
        <v>60</v>
      </c>
      <c r="C107" s="286" t="n">
        <v>113.92</v>
      </c>
      <c r="D107" s="286" t="n">
        <v>0</v>
      </c>
      <c r="E107" s="286" t="n">
        <f aca="false">C107+D107</f>
        <v>113.92</v>
      </c>
      <c r="F107" s="286" t="n">
        <v>0</v>
      </c>
      <c r="G107" s="143" t="n">
        <f aca="false">E107-F107</f>
        <v>113.92</v>
      </c>
      <c r="H107" s="144" t="n">
        <v>0</v>
      </c>
      <c r="I107" s="145" t="n">
        <v>0</v>
      </c>
      <c r="J107" s="144" t="n">
        <f aca="false">G107+I107+H107</f>
        <v>113.92</v>
      </c>
      <c r="K107" s="144" t="n">
        <v>0</v>
      </c>
      <c r="L107" s="146" t="n">
        <f aca="false">J107-K107</f>
        <v>113.92</v>
      </c>
      <c r="M107" s="178" t="n">
        <f aca="false">K107/J107</f>
        <v>0</v>
      </c>
    </row>
    <row r="108" customFormat="false" ht="15" hidden="false" customHeight="true" outlineLevel="0" collapsed="false">
      <c r="A108" s="281"/>
      <c r="B108" s="285" t="s">
        <v>75</v>
      </c>
      <c r="C108" s="286" t="n">
        <v>5012.434</v>
      </c>
      <c r="D108" s="287" t="n">
        <v>-2430.689</v>
      </c>
      <c r="E108" s="286" t="n">
        <f aca="false">C108+D108</f>
        <v>2581.745</v>
      </c>
      <c r="F108" s="286" t="n">
        <v>0</v>
      </c>
      <c r="G108" s="143" t="n">
        <f aca="false">E108-F108</f>
        <v>2581.745</v>
      </c>
      <c r="H108" s="144" t="n">
        <v>0</v>
      </c>
      <c r="I108" s="179" t="n">
        <f aca="false">710.65</f>
        <v>710.65</v>
      </c>
      <c r="J108" s="144" t="n">
        <f aca="false">G108+I108+H108</f>
        <v>3292.395</v>
      </c>
      <c r="K108" s="144" t="n">
        <v>1.012</v>
      </c>
      <c r="L108" s="146" t="n">
        <f aca="false">J108-K108</f>
        <v>3291.383</v>
      </c>
      <c r="M108" s="147" t="n">
        <f aca="false">K108/J108</f>
        <v>0.000307375026386567</v>
      </c>
    </row>
    <row r="109" customFormat="false" ht="15" hidden="false" customHeight="true" outlineLevel="0" collapsed="false">
      <c r="A109" s="281"/>
      <c r="B109" s="285" t="s">
        <v>76</v>
      </c>
      <c r="C109" s="286" t="n">
        <v>3725.5</v>
      </c>
      <c r="D109" s="287" t="n">
        <v>-433.465</v>
      </c>
      <c r="E109" s="286" t="n">
        <f aca="false">C109+D109</f>
        <v>3292.035</v>
      </c>
      <c r="F109" s="286" t="n">
        <v>20.194</v>
      </c>
      <c r="G109" s="143" t="n">
        <f aca="false">E109-F109</f>
        <v>3271.841</v>
      </c>
      <c r="H109" s="144" t="n">
        <v>0</v>
      </c>
      <c r="I109" s="145" t="n">
        <v>0</v>
      </c>
      <c r="J109" s="144" t="n">
        <f aca="false">G109+I109+H109</f>
        <v>3271.841</v>
      </c>
      <c r="K109" s="144" t="n">
        <v>2950.846</v>
      </c>
      <c r="L109" s="146" t="n">
        <f aca="false">J109-K109</f>
        <v>320.995</v>
      </c>
      <c r="M109" s="147" t="n">
        <f aca="false">K109/J109</f>
        <v>0.90189162615176</v>
      </c>
    </row>
    <row r="110" customFormat="false" ht="15" hidden="false" customHeight="true" outlineLevel="0" collapsed="false">
      <c r="A110" s="281"/>
      <c r="B110" s="285" t="s">
        <v>77</v>
      </c>
      <c r="C110" s="286" t="n">
        <v>43.6</v>
      </c>
      <c r="D110" s="286" t="n">
        <v>0</v>
      </c>
      <c r="E110" s="286" t="n">
        <f aca="false">C110+D110</f>
        <v>43.6</v>
      </c>
      <c r="F110" s="286" t="n">
        <v>0</v>
      </c>
      <c r="G110" s="143" t="n">
        <f aca="false">E110-F110</f>
        <v>43.6</v>
      </c>
      <c r="H110" s="144" t="n">
        <v>0</v>
      </c>
      <c r="I110" s="145" t="n">
        <v>0</v>
      </c>
      <c r="J110" s="144" t="n">
        <f aca="false">G110+I110+H110</f>
        <v>43.6</v>
      </c>
      <c r="K110" s="144" t="n">
        <v>0</v>
      </c>
      <c r="L110" s="146" t="n">
        <f aca="false">J110-K110</f>
        <v>43.6</v>
      </c>
      <c r="M110" s="147" t="n">
        <f aca="false">K110/J110</f>
        <v>0</v>
      </c>
    </row>
    <row r="111" customFormat="false" ht="15" hidden="false" customHeight="true" outlineLevel="0" collapsed="false">
      <c r="A111" s="281"/>
      <c r="B111" s="285" t="s">
        <v>78</v>
      </c>
      <c r="C111" s="286" t="n">
        <v>232.362</v>
      </c>
      <c r="D111" s="286" t="n">
        <v>0</v>
      </c>
      <c r="E111" s="286" t="n">
        <f aca="false">C111+D111</f>
        <v>232.362</v>
      </c>
      <c r="F111" s="286" t="n">
        <v>136.266</v>
      </c>
      <c r="G111" s="143" t="n">
        <f aca="false">E111-F111</f>
        <v>96.096</v>
      </c>
      <c r="H111" s="144" t="n">
        <v>0</v>
      </c>
      <c r="I111" s="150" t="n">
        <f aca="false">-96.096</f>
        <v>-96.096</v>
      </c>
      <c r="J111" s="144" t="n">
        <f aca="false">G111+I111+H111</f>
        <v>0</v>
      </c>
      <c r="K111" s="144" t="n">
        <v>0</v>
      </c>
      <c r="L111" s="146" t="n">
        <f aca="false">J111-K111</f>
        <v>0</v>
      </c>
      <c r="M111" s="147" t="e">
        <f aca="false">K111/J111</f>
        <v>#DIV/0!</v>
      </c>
    </row>
    <row r="112" customFormat="false" ht="15" hidden="false" customHeight="true" outlineLevel="0" collapsed="false">
      <c r="A112" s="281"/>
      <c r="B112" s="285" t="s">
        <v>69</v>
      </c>
      <c r="C112" s="286" t="n">
        <v>6273.519</v>
      </c>
      <c r="D112" s="287" t="n">
        <v>-3042.23</v>
      </c>
      <c r="E112" s="286" t="n">
        <f aca="false">C112+D112</f>
        <v>3231.289</v>
      </c>
      <c r="F112" s="286" t="n">
        <v>0</v>
      </c>
      <c r="G112" s="143" t="n">
        <f aca="false">E112-F112</f>
        <v>3231.289</v>
      </c>
      <c r="H112" s="144" t="n">
        <v>0</v>
      </c>
      <c r="I112" s="145" t="n">
        <v>0</v>
      </c>
      <c r="J112" s="144" t="n">
        <f aca="false">G112+I112+H112</f>
        <v>3231.289</v>
      </c>
      <c r="K112" s="144" t="n">
        <v>1796.066</v>
      </c>
      <c r="L112" s="146" t="n">
        <f aca="false">J112-K112</f>
        <v>1435.223</v>
      </c>
      <c r="M112" s="147" t="n">
        <f aca="false">K112/J112</f>
        <v>0.555835767088614</v>
      </c>
    </row>
    <row r="113" customFormat="false" ht="15" hidden="false" customHeight="true" outlineLevel="0" collapsed="false">
      <c r="A113" s="281"/>
      <c r="B113" s="285" t="s">
        <v>80</v>
      </c>
      <c r="C113" s="286" t="n">
        <v>560.287</v>
      </c>
      <c r="D113" s="287" t="n">
        <v>-65.19</v>
      </c>
      <c r="E113" s="286" t="n">
        <f aca="false">C113+D113</f>
        <v>495.097</v>
      </c>
      <c r="F113" s="286" t="n">
        <v>3.037</v>
      </c>
      <c r="G113" s="143" t="n">
        <f aca="false">E113-F113</f>
        <v>492.06</v>
      </c>
      <c r="H113" s="144" t="n">
        <v>0</v>
      </c>
      <c r="I113" s="145" t="n">
        <v>0</v>
      </c>
      <c r="J113" s="144" t="n">
        <f aca="false">G113+I113+H113</f>
        <v>492.06</v>
      </c>
      <c r="K113" s="144" t="n">
        <v>0</v>
      </c>
      <c r="L113" s="146" t="n">
        <f aca="false">J113-K113</f>
        <v>492.06</v>
      </c>
      <c r="M113" s="147" t="n">
        <f aca="false">K113/J113</f>
        <v>0</v>
      </c>
    </row>
    <row r="114" customFormat="false" ht="15" hidden="false" customHeight="true" outlineLevel="0" collapsed="false">
      <c r="A114" s="281"/>
      <c r="B114" s="285" t="s">
        <v>81</v>
      </c>
      <c r="C114" s="286" t="n">
        <v>12526.741</v>
      </c>
      <c r="D114" s="286" t="n">
        <v>0</v>
      </c>
      <c r="E114" s="286" t="n">
        <f aca="false">C114+D114</f>
        <v>12526.741</v>
      </c>
      <c r="F114" s="286" t="n">
        <v>5445.46</v>
      </c>
      <c r="G114" s="143" t="n">
        <f aca="false">E114-F114</f>
        <v>7081.281</v>
      </c>
      <c r="H114" s="144" t="n">
        <v>0</v>
      </c>
      <c r="I114" s="179" t="n">
        <v>11840.702</v>
      </c>
      <c r="J114" s="144" t="n">
        <f aca="false">G114+I114+H114</f>
        <v>18921.983</v>
      </c>
      <c r="K114" s="144" t="n">
        <v>7534.06</v>
      </c>
      <c r="L114" s="146" t="n">
        <f aca="false">J114-K114</f>
        <v>11387.923</v>
      </c>
      <c r="M114" s="147" t="n">
        <f aca="false">K114/J114</f>
        <v>0.398164399576937</v>
      </c>
    </row>
    <row r="115" customFormat="false" ht="15" hidden="false" customHeight="true" outlineLevel="0" collapsed="false">
      <c r="A115" s="281"/>
      <c r="B115" s="285" t="s">
        <v>82</v>
      </c>
      <c r="C115" s="286" t="n">
        <v>2954.189</v>
      </c>
      <c r="D115" s="286" t="n">
        <v>0</v>
      </c>
      <c r="E115" s="286" t="n">
        <f aca="false">C115+D115</f>
        <v>2954.189</v>
      </c>
      <c r="F115" s="286" t="n">
        <v>1732.445</v>
      </c>
      <c r="G115" s="143" t="n">
        <f aca="false">E115-F115</f>
        <v>1221.744</v>
      </c>
      <c r="H115" s="144" t="n">
        <v>0</v>
      </c>
      <c r="I115" s="179" t="n">
        <f aca="false">2600+1360+96.096+923.329</f>
        <v>4979.425</v>
      </c>
      <c r="J115" s="144" t="n">
        <f aca="false">G115+I115+H115</f>
        <v>6201.169</v>
      </c>
      <c r="K115" s="144" t="n">
        <v>1268.419</v>
      </c>
      <c r="L115" s="146" t="n">
        <f aca="false">J115-K115</f>
        <v>4932.75</v>
      </c>
      <c r="M115" s="147" t="n">
        <f aca="false">K115/J115</f>
        <v>0.204545143020614</v>
      </c>
    </row>
    <row r="116" customFormat="false" ht="15" hidden="false" customHeight="true" outlineLevel="0" collapsed="false">
      <c r="A116" s="281"/>
      <c r="B116" s="285" t="s">
        <v>105</v>
      </c>
      <c r="C116" s="286" t="n">
        <v>456.76</v>
      </c>
      <c r="D116" s="287" t="n">
        <v>-53.144</v>
      </c>
      <c r="E116" s="286" t="n">
        <f aca="false">C116+D116</f>
        <v>403.616</v>
      </c>
      <c r="F116" s="286" t="n">
        <v>2.476</v>
      </c>
      <c r="G116" s="143" t="n">
        <f aca="false">E116-F116</f>
        <v>401.14</v>
      </c>
      <c r="H116" s="144" t="n">
        <v>0</v>
      </c>
      <c r="I116" s="145" t="n">
        <v>0</v>
      </c>
      <c r="J116" s="144" t="n">
        <f aca="false">G116+I116+H116</f>
        <v>401.14</v>
      </c>
      <c r="K116" s="144" t="n">
        <v>0</v>
      </c>
      <c r="L116" s="146" t="n">
        <f aca="false">J116-K116</f>
        <v>401.14</v>
      </c>
      <c r="M116" s="147" t="n">
        <f aca="false">K116/J116</f>
        <v>0</v>
      </c>
    </row>
    <row r="117" customFormat="false" ht="15" hidden="false" customHeight="true" outlineLevel="0" collapsed="false">
      <c r="A117" s="281"/>
      <c r="B117" s="285" t="s">
        <v>70</v>
      </c>
      <c r="C117" s="286" t="n">
        <v>24982.969</v>
      </c>
      <c r="D117" s="286" t="n">
        <v>0</v>
      </c>
      <c r="E117" s="286" t="n">
        <f aca="false">C117+D117</f>
        <v>24982.969</v>
      </c>
      <c r="F117" s="286" t="n">
        <v>1535.537</v>
      </c>
      <c r="G117" s="143" t="n">
        <f aca="false">E117-F117</f>
        <v>23447.432</v>
      </c>
      <c r="H117" s="144" t="n">
        <v>0</v>
      </c>
      <c r="I117" s="145" t="n">
        <v>0</v>
      </c>
      <c r="J117" s="144" t="n">
        <f aca="false">G117+I117+H117</f>
        <v>23447.432</v>
      </c>
      <c r="K117" s="144" t="n">
        <v>6973.973</v>
      </c>
      <c r="L117" s="146" t="n">
        <f aca="false">J117-K117</f>
        <v>16473.459</v>
      </c>
      <c r="M117" s="147" t="n">
        <f aca="false">K117/J117</f>
        <v>0.297430140750595</v>
      </c>
    </row>
    <row r="118" customFormat="false" ht="15" hidden="false" customHeight="true" outlineLevel="0" collapsed="false">
      <c r="A118" s="281"/>
      <c r="B118" s="285" t="s">
        <v>99</v>
      </c>
      <c r="C118" s="286" t="n">
        <v>1379.721</v>
      </c>
      <c r="D118" s="287" t="n">
        <v>-669.071</v>
      </c>
      <c r="E118" s="286" t="n">
        <f aca="false">C118+D118</f>
        <v>710.65</v>
      </c>
      <c r="F118" s="286" t="n">
        <v>0</v>
      </c>
      <c r="G118" s="143" t="n">
        <f aca="false">E118-F118</f>
        <v>710.65</v>
      </c>
      <c r="H118" s="144" t="n">
        <v>0</v>
      </c>
      <c r="I118" s="150" t="n">
        <f aca="false">-710.65</f>
        <v>-710.65</v>
      </c>
      <c r="J118" s="144" t="n">
        <f aca="false">G118+I118+H118</f>
        <v>0</v>
      </c>
      <c r="K118" s="144" t="n">
        <v>0</v>
      </c>
      <c r="L118" s="146" t="n">
        <f aca="false">J118-K118</f>
        <v>0</v>
      </c>
      <c r="M118" s="147" t="e">
        <f aca="false">K118/J118</f>
        <v>#DIV/0!</v>
      </c>
    </row>
    <row r="119" customFormat="false" ht="15" hidden="false" customHeight="true" outlineLevel="0" collapsed="false">
      <c r="A119" s="281"/>
      <c r="B119" s="288" t="s">
        <v>100</v>
      </c>
      <c r="C119" s="289" t="n">
        <v>478.43</v>
      </c>
      <c r="D119" s="290" t="n">
        <v>-55.666</v>
      </c>
      <c r="E119" s="289" t="n">
        <f aca="false">C119+D119</f>
        <v>422.764</v>
      </c>
      <c r="F119" s="289" t="n">
        <v>2.593</v>
      </c>
      <c r="G119" s="168" t="n">
        <f aca="false">E119-F119</f>
        <v>420.171</v>
      </c>
      <c r="H119" s="169" t="n">
        <v>0</v>
      </c>
      <c r="I119" s="170" t="n">
        <v>0</v>
      </c>
      <c r="J119" s="169" t="n">
        <f aca="false">G119+I119+H119</f>
        <v>420.171</v>
      </c>
      <c r="K119" s="169" t="n">
        <v>0</v>
      </c>
      <c r="L119" s="171" t="n">
        <f aca="false">J119-K119</f>
        <v>420.171</v>
      </c>
      <c r="M119" s="172" t="n">
        <f aca="false">K119/J119</f>
        <v>0</v>
      </c>
    </row>
    <row r="120" customFormat="false" ht="15" hidden="false" customHeight="true" outlineLevel="0" collapsed="false">
      <c r="A120" s="113"/>
      <c r="B120" s="113"/>
      <c r="C120" s="213"/>
      <c r="D120" s="213"/>
      <c r="E120" s="213"/>
      <c r="F120" s="213"/>
      <c r="G120" s="214"/>
      <c r="H120" s="214"/>
      <c r="I120" s="215"/>
      <c r="J120" s="214"/>
      <c r="K120" s="214"/>
      <c r="L120" s="216"/>
      <c r="M120" s="217"/>
    </row>
    <row r="121" customFormat="false" ht="15" hidden="false" customHeight="true" outlineLevel="0" collapsed="false">
      <c r="A121" s="291" t="s">
        <v>106</v>
      </c>
      <c r="B121" s="282" t="s">
        <v>107</v>
      </c>
      <c r="C121" s="283" t="n">
        <v>4.733</v>
      </c>
      <c r="D121" s="283" t="n">
        <v>0</v>
      </c>
      <c r="E121" s="283" t="n">
        <f aca="false">C121+D121</f>
        <v>4.733</v>
      </c>
      <c r="F121" s="283" t="n">
        <v>0</v>
      </c>
      <c r="G121" s="132" t="n">
        <f aca="false">E121-F121</f>
        <v>4.733</v>
      </c>
      <c r="H121" s="133" t="n">
        <v>0.099</v>
      </c>
      <c r="I121" s="162" t="n">
        <v>0</v>
      </c>
      <c r="J121" s="133" t="n">
        <f aca="false">G121+I121+H121</f>
        <v>4.832</v>
      </c>
      <c r="K121" s="133" t="n">
        <v>0</v>
      </c>
      <c r="L121" s="135" t="n">
        <f aca="false">J121-K121</f>
        <v>4.832</v>
      </c>
      <c r="M121" s="136" t="n">
        <f aca="false">K121/J121</f>
        <v>0</v>
      </c>
    </row>
    <row r="122" customFormat="false" ht="15" hidden="false" customHeight="true" outlineLevel="0" collapsed="false">
      <c r="A122" s="291"/>
      <c r="B122" s="285" t="s">
        <v>60</v>
      </c>
      <c r="C122" s="286" t="n">
        <v>303.601</v>
      </c>
      <c r="D122" s="286" t="n">
        <v>0</v>
      </c>
      <c r="E122" s="286" t="n">
        <f aca="false">C122+D122</f>
        <v>303.601</v>
      </c>
      <c r="F122" s="286" t="n">
        <v>0</v>
      </c>
      <c r="G122" s="143" t="n">
        <f aca="false">E122-F122</f>
        <v>303.601</v>
      </c>
      <c r="H122" s="144" t="n">
        <v>6.325</v>
      </c>
      <c r="I122" s="145" t="n">
        <v>0</v>
      </c>
      <c r="J122" s="144" t="n">
        <f aca="false">G122+I122+H122</f>
        <v>309.926</v>
      </c>
      <c r="K122" s="144" t="n">
        <v>0</v>
      </c>
      <c r="L122" s="146" t="n">
        <f aca="false">J122-K122</f>
        <v>309.926</v>
      </c>
      <c r="M122" s="147" t="n">
        <f aca="false">K122/J122</f>
        <v>0</v>
      </c>
    </row>
    <row r="123" customFormat="false" ht="15" hidden="false" customHeight="true" outlineLevel="0" collapsed="false">
      <c r="A123" s="291"/>
      <c r="B123" s="292" t="s">
        <v>87</v>
      </c>
      <c r="C123" s="293" t="n">
        <v>1029.724</v>
      </c>
      <c r="D123" s="293" t="n">
        <v>0</v>
      </c>
      <c r="E123" s="286" t="n">
        <f aca="false">C123+D123</f>
        <v>1029.724</v>
      </c>
      <c r="F123" s="293" t="n">
        <v>0</v>
      </c>
      <c r="G123" s="143" t="n">
        <f aca="false">E123-F123</f>
        <v>1029.724</v>
      </c>
      <c r="H123" s="294" t="n">
        <v>21.453</v>
      </c>
      <c r="I123" s="295" t="n">
        <v>0</v>
      </c>
      <c r="J123" s="144" t="n">
        <f aca="false">G123+I123+H123</f>
        <v>1051.177</v>
      </c>
      <c r="K123" s="294" t="n">
        <v>0</v>
      </c>
      <c r="L123" s="251" t="n">
        <f aca="false">J123-K123</f>
        <v>1051.177</v>
      </c>
      <c r="M123" s="296" t="n">
        <f aca="false">K123/J123</f>
        <v>0</v>
      </c>
    </row>
    <row r="124" customFormat="false" ht="15" hidden="false" customHeight="true" outlineLevel="0" collapsed="false">
      <c r="A124" s="291"/>
      <c r="B124" s="297" t="s">
        <v>70</v>
      </c>
      <c r="C124" s="298" t="n">
        <v>101.941</v>
      </c>
      <c r="D124" s="299" t="n">
        <v>0</v>
      </c>
      <c r="E124" s="289" t="n">
        <f aca="false">C124+D124</f>
        <v>101.941</v>
      </c>
      <c r="F124" s="298" t="n">
        <v>0</v>
      </c>
      <c r="G124" s="168" t="n">
        <f aca="false">E124-F124</f>
        <v>101.941</v>
      </c>
      <c r="H124" s="211" t="n">
        <v>2.124</v>
      </c>
      <c r="I124" s="300" t="n">
        <v>0</v>
      </c>
      <c r="J124" s="169" t="n">
        <f aca="false">G124+I124+H124</f>
        <v>104.065</v>
      </c>
      <c r="K124" s="211" t="n">
        <v>0</v>
      </c>
      <c r="L124" s="301" t="n">
        <f aca="false">J124-K124</f>
        <v>104.065</v>
      </c>
      <c r="M124" s="302" t="n">
        <f aca="false">K124/J124</f>
        <v>0</v>
      </c>
    </row>
    <row r="125" customFormat="false" ht="15" hidden="true" customHeight="true" outlineLevel="0" collapsed="false">
      <c r="A125" s="303"/>
      <c r="B125" s="113"/>
      <c r="C125" s="213"/>
      <c r="D125" s="213"/>
      <c r="E125" s="213"/>
      <c r="F125" s="212"/>
      <c r="G125" s="304"/>
      <c r="H125" s="304"/>
      <c r="I125" s="305"/>
      <c r="J125" s="304"/>
      <c r="K125" s="304"/>
      <c r="L125" s="216"/>
      <c r="M125" s="306"/>
    </row>
    <row r="126" customFormat="false" ht="15" hidden="false" customHeight="true" outlineLevel="0" collapsed="false">
      <c r="A126" s="307" t="s">
        <v>108</v>
      </c>
      <c r="B126" s="308" t="s">
        <v>73</v>
      </c>
      <c r="C126" s="309" t="n">
        <v>6.012</v>
      </c>
      <c r="D126" s="309" t="n">
        <v>0</v>
      </c>
      <c r="E126" s="309" t="n">
        <f aca="false">C126+D126</f>
        <v>6.012</v>
      </c>
      <c r="F126" s="309" t="n">
        <v>0</v>
      </c>
      <c r="G126" s="132" t="n">
        <f aca="false">E126-F126</f>
        <v>6.012</v>
      </c>
      <c r="H126" s="133" t="n">
        <v>0</v>
      </c>
      <c r="I126" s="162" t="n">
        <v>0</v>
      </c>
      <c r="J126" s="133" t="n">
        <f aca="false">G126+I126+H126</f>
        <v>6.012</v>
      </c>
      <c r="K126" s="133" t="n">
        <v>0</v>
      </c>
      <c r="L126" s="135" t="n">
        <f aca="false">J126-K126</f>
        <v>6.012</v>
      </c>
      <c r="M126" s="136" t="n">
        <f aca="false">K126/J126</f>
        <v>0</v>
      </c>
    </row>
    <row r="127" customFormat="false" ht="15" hidden="false" customHeight="true" outlineLevel="0" collapsed="false">
      <c r="A127" s="307"/>
      <c r="B127" s="310" t="s">
        <v>65</v>
      </c>
      <c r="C127" s="311" t="n">
        <v>269.285</v>
      </c>
      <c r="D127" s="311" t="n">
        <v>0</v>
      </c>
      <c r="E127" s="312" t="n">
        <f aca="false">C127+D127</f>
        <v>269.285</v>
      </c>
      <c r="F127" s="311" t="n">
        <v>0</v>
      </c>
      <c r="G127" s="223" t="n">
        <f aca="false">E127-F127</f>
        <v>269.285</v>
      </c>
      <c r="H127" s="144" t="n">
        <v>0</v>
      </c>
      <c r="I127" s="145" t="n">
        <v>0</v>
      </c>
      <c r="J127" s="224" t="n">
        <f aca="false">G127+I127+H127</f>
        <v>269.285</v>
      </c>
      <c r="K127" s="144" t="n">
        <v>0</v>
      </c>
      <c r="L127" s="146" t="n">
        <f aca="false">J127-K127</f>
        <v>269.285</v>
      </c>
      <c r="M127" s="147" t="n">
        <f aca="false">K127/J127</f>
        <v>0</v>
      </c>
    </row>
    <row r="128" customFormat="false" ht="15" hidden="false" customHeight="true" outlineLevel="0" collapsed="false">
      <c r="A128" s="307"/>
      <c r="B128" s="310" t="s">
        <v>66</v>
      </c>
      <c r="C128" s="311" t="n">
        <v>105.698</v>
      </c>
      <c r="D128" s="311" t="n">
        <v>0</v>
      </c>
      <c r="E128" s="312" t="n">
        <f aca="false">C128+D128</f>
        <v>105.698</v>
      </c>
      <c r="F128" s="311" t="n">
        <v>0</v>
      </c>
      <c r="G128" s="223" t="n">
        <f aca="false">E128-F128</f>
        <v>105.698</v>
      </c>
      <c r="H128" s="144" t="n">
        <v>0</v>
      </c>
      <c r="I128" s="145" t="n">
        <v>0</v>
      </c>
      <c r="J128" s="224" t="n">
        <f aca="false">G128+I128+H128</f>
        <v>105.698</v>
      </c>
      <c r="K128" s="144" t="n">
        <v>0</v>
      </c>
      <c r="L128" s="146" t="n">
        <f aca="false">J128-K128</f>
        <v>105.698</v>
      </c>
      <c r="M128" s="147" t="n">
        <f aca="false">K128/J128</f>
        <v>0</v>
      </c>
    </row>
    <row r="129" customFormat="false" ht="15" hidden="false" customHeight="true" outlineLevel="0" collapsed="false">
      <c r="A129" s="307"/>
      <c r="B129" s="310" t="s">
        <v>60</v>
      </c>
      <c r="C129" s="311" t="n">
        <v>82.089</v>
      </c>
      <c r="D129" s="311" t="n">
        <v>0</v>
      </c>
      <c r="E129" s="312" t="n">
        <f aca="false">C129+D129</f>
        <v>82.089</v>
      </c>
      <c r="F129" s="311" t="n">
        <v>0</v>
      </c>
      <c r="G129" s="223" t="n">
        <f aca="false">E129-F129</f>
        <v>82.089</v>
      </c>
      <c r="H129" s="144" t="n">
        <v>0</v>
      </c>
      <c r="I129" s="145" t="n">
        <v>0</v>
      </c>
      <c r="J129" s="224" t="n">
        <f aca="false">G129+I129+H129</f>
        <v>82.089</v>
      </c>
      <c r="K129" s="144" t="n">
        <v>0</v>
      </c>
      <c r="L129" s="146" t="n">
        <f aca="false">J129-K129</f>
        <v>82.089</v>
      </c>
      <c r="M129" s="147" t="n">
        <f aca="false">K129/J129</f>
        <v>0</v>
      </c>
    </row>
    <row r="130" customFormat="false" ht="15" hidden="false" customHeight="true" outlineLevel="0" collapsed="false">
      <c r="A130" s="307"/>
      <c r="B130" s="310" t="s">
        <v>87</v>
      </c>
      <c r="C130" s="311" t="n">
        <v>70.117</v>
      </c>
      <c r="D130" s="313" t="n">
        <v>-70.117</v>
      </c>
      <c r="E130" s="312" t="n">
        <f aca="false">C130+D130</f>
        <v>0</v>
      </c>
      <c r="F130" s="311" t="n">
        <v>0</v>
      </c>
      <c r="G130" s="223" t="n">
        <f aca="false">E130-F130</f>
        <v>0</v>
      </c>
      <c r="H130" s="144" t="n">
        <v>0</v>
      </c>
      <c r="I130" s="145" t="n">
        <v>0</v>
      </c>
      <c r="J130" s="224" t="n">
        <f aca="false">G130+I130+H130</f>
        <v>0</v>
      </c>
      <c r="K130" s="144" t="n">
        <v>0</v>
      </c>
      <c r="L130" s="146" t="n">
        <f aca="false">J130-K130</f>
        <v>0</v>
      </c>
      <c r="M130" s="147" t="e">
        <f aca="false">K130/J130</f>
        <v>#DIV/0!</v>
      </c>
    </row>
    <row r="131" customFormat="false" ht="15" hidden="false" customHeight="true" outlineLevel="0" collapsed="false">
      <c r="A131" s="307"/>
      <c r="B131" s="285" t="s">
        <v>69</v>
      </c>
      <c r="C131" s="286" t="n">
        <v>1.24</v>
      </c>
      <c r="D131" s="286" t="n">
        <v>0</v>
      </c>
      <c r="E131" s="312" t="n">
        <f aca="false">C131+D131</f>
        <v>1.24</v>
      </c>
      <c r="F131" s="286" t="n">
        <v>0</v>
      </c>
      <c r="G131" s="223" t="n">
        <f aca="false">E131-F131</f>
        <v>1.24</v>
      </c>
      <c r="H131" s="144" t="n">
        <v>0</v>
      </c>
      <c r="I131" s="145" t="n">
        <v>0</v>
      </c>
      <c r="J131" s="224" t="n">
        <f aca="false">G131+I131+H131</f>
        <v>1.24</v>
      </c>
      <c r="K131" s="144" t="n">
        <v>0</v>
      </c>
      <c r="L131" s="146" t="n">
        <f aca="false">J131-K131</f>
        <v>1.24</v>
      </c>
      <c r="M131" s="147" t="n">
        <f aca="false">K131/J131</f>
        <v>0</v>
      </c>
    </row>
    <row r="132" customFormat="false" ht="15" hidden="false" customHeight="true" outlineLevel="0" collapsed="false">
      <c r="A132" s="307"/>
      <c r="B132" s="285" t="s">
        <v>70</v>
      </c>
      <c r="C132" s="314" t="n">
        <v>89.479</v>
      </c>
      <c r="D132" s="315" t="n">
        <v>-89.479</v>
      </c>
      <c r="E132" s="312" t="n">
        <f aca="false">C132+D132</f>
        <v>0</v>
      </c>
      <c r="F132" s="314" t="n">
        <v>0</v>
      </c>
      <c r="G132" s="223" t="n">
        <f aca="false">E132-F132</f>
        <v>0</v>
      </c>
      <c r="H132" s="224" t="n">
        <v>0</v>
      </c>
      <c r="I132" s="316" t="n">
        <v>0</v>
      </c>
      <c r="J132" s="224" t="n">
        <f aca="false">G132+I132+H132</f>
        <v>0</v>
      </c>
      <c r="K132" s="224" t="n">
        <v>0</v>
      </c>
      <c r="L132" s="317" t="n">
        <f aca="false">J132-K132</f>
        <v>0</v>
      </c>
      <c r="M132" s="147" t="e">
        <f aca="false">K132/J132</f>
        <v>#DIV/0!</v>
      </c>
    </row>
    <row r="133" customFormat="false" ht="15" hidden="false" customHeight="true" outlineLevel="0" collapsed="false">
      <c r="A133" s="307"/>
      <c r="B133" s="288" t="s">
        <v>71</v>
      </c>
      <c r="C133" s="289" t="n">
        <v>1.08</v>
      </c>
      <c r="D133" s="289" t="n">
        <v>0</v>
      </c>
      <c r="E133" s="318" t="n">
        <f aca="false">C133+D133</f>
        <v>1.08</v>
      </c>
      <c r="F133" s="289" t="n">
        <v>0</v>
      </c>
      <c r="G133" s="233" t="n">
        <f aca="false">E133-F133</f>
        <v>1.08</v>
      </c>
      <c r="H133" s="169" t="n">
        <v>0</v>
      </c>
      <c r="I133" s="170" t="n">
        <v>0</v>
      </c>
      <c r="J133" s="235" t="n">
        <f aca="false">G133+I133+H133</f>
        <v>1.08</v>
      </c>
      <c r="K133" s="169" t="n">
        <v>0</v>
      </c>
      <c r="L133" s="171" t="n">
        <f aca="false">J133-K133</f>
        <v>1.08</v>
      </c>
      <c r="M133" s="172" t="n">
        <f aca="false">K133/J133</f>
        <v>0</v>
      </c>
    </row>
    <row r="134" customFormat="false" ht="14.4" hidden="false" customHeight="false" outlineLevel="0" collapsed="false">
      <c r="H134" s="319"/>
    </row>
  </sheetData>
  <mergeCells count="15">
    <mergeCell ref="B1:M1"/>
    <mergeCell ref="G3:M3"/>
    <mergeCell ref="C4:F4"/>
    <mergeCell ref="G4:J4"/>
    <mergeCell ref="K4:M4"/>
    <mergeCell ref="A6:A9"/>
    <mergeCell ref="A11:A18"/>
    <mergeCell ref="A20:A36"/>
    <mergeCell ref="A38:A41"/>
    <mergeCell ref="A43:A55"/>
    <mergeCell ref="A57:A78"/>
    <mergeCell ref="A80:A101"/>
    <mergeCell ref="A103:A119"/>
    <mergeCell ref="A121:A124"/>
    <mergeCell ref="A126:A13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M4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G3" activeCellId="0" sqref="A3:L43"/>
    </sheetView>
  </sheetViews>
  <sheetFormatPr defaultColWidth="10.96484375" defaultRowHeight="14.4" customHeight="false" zeroHeight="false" outlineLevelRow="0" outlineLevelCol="0"/>
  <cols>
    <col collapsed="false" customWidth="true" hidden="false" outlineLevel="0" max="1" min="1" style="0" width="22.99"/>
    <col collapsed="false" customWidth="true" hidden="false" outlineLevel="0" max="2" min="2" style="0" width="32.87"/>
    <col collapsed="false" customWidth="true" hidden="true" outlineLevel="0" max="3" min="3" style="0" width="17.88"/>
    <col collapsed="false" customWidth="true" hidden="true" outlineLevel="0" max="4" min="4" style="0" width="14.1"/>
    <col collapsed="false" customWidth="true" hidden="true" outlineLevel="0" max="5" min="5" style="0" width="13.99"/>
    <col collapsed="false" customWidth="true" hidden="true" outlineLevel="0" max="6" min="6" style="0" width="17.88"/>
    <col collapsed="false" customWidth="true" hidden="false" outlineLevel="0" max="7" min="7" style="0" width="16.66"/>
    <col collapsed="false" customWidth="true" hidden="false" outlineLevel="0" max="8" min="8" style="0" width="17.55"/>
    <col collapsed="false" customWidth="true" hidden="false" outlineLevel="0" max="10" min="10" style="0" width="17.99"/>
    <col collapsed="false" customWidth="true" hidden="false" outlineLevel="0" max="12" min="12" style="0" width="15.66"/>
  </cols>
  <sheetData>
    <row r="1" customFormat="false" ht="15.6" hidden="false" customHeight="false" outlineLevel="0" collapsed="false">
      <c r="A1" s="1"/>
      <c r="B1" s="109" t="s">
        <v>109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</row>
    <row r="2" customFormat="false" ht="15.6" hidden="false" customHeight="false" outlineLevel="0" collapsed="false">
      <c r="A2" s="1"/>
      <c r="B2" s="320"/>
      <c r="C2" s="320"/>
      <c r="D2" s="320"/>
      <c r="E2" s="320"/>
      <c r="F2" s="320"/>
      <c r="G2" s="320"/>
      <c r="H2" s="320"/>
      <c r="I2" s="320"/>
      <c r="J2" s="320"/>
      <c r="K2" s="320"/>
      <c r="L2" s="320"/>
      <c r="M2" s="321"/>
    </row>
    <row r="3" customFormat="false" ht="15.6" hidden="false" customHeight="false" outlineLevel="0" collapsed="false">
      <c r="A3" s="322"/>
      <c r="B3" s="323"/>
      <c r="C3" s="323"/>
      <c r="D3" s="323"/>
      <c r="E3" s="323"/>
      <c r="F3" s="323"/>
      <c r="G3" s="324" t="s">
        <v>50</v>
      </c>
      <c r="H3" s="324"/>
      <c r="I3" s="324"/>
      <c r="J3" s="324"/>
      <c r="K3" s="324"/>
      <c r="L3" s="324"/>
      <c r="M3" s="325"/>
    </row>
    <row r="4" customFormat="false" ht="18" hidden="false" customHeight="true" outlineLevel="0" collapsed="false">
      <c r="A4" s="322"/>
      <c r="B4" s="109"/>
      <c r="C4" s="326" t="s">
        <v>3</v>
      </c>
      <c r="D4" s="326"/>
      <c r="E4" s="326"/>
      <c r="F4" s="326"/>
      <c r="G4" s="118" t="s">
        <v>51</v>
      </c>
      <c r="H4" s="118"/>
      <c r="I4" s="118"/>
      <c r="J4" s="118" t="s">
        <v>52</v>
      </c>
      <c r="K4" s="118"/>
      <c r="L4" s="118"/>
      <c r="M4" s="321"/>
    </row>
    <row r="5" customFormat="false" ht="63" hidden="false" customHeight="false" outlineLevel="0" collapsed="false">
      <c r="A5" s="119" t="s">
        <v>53</v>
      </c>
      <c r="B5" s="119" t="s">
        <v>110</v>
      </c>
      <c r="C5" s="121" t="s">
        <v>7</v>
      </c>
      <c r="D5" s="122" t="s">
        <v>8</v>
      </c>
      <c r="E5" s="122" t="s">
        <v>9</v>
      </c>
      <c r="F5" s="121" t="s">
        <v>10</v>
      </c>
      <c r="G5" s="123" t="s">
        <v>111</v>
      </c>
      <c r="H5" s="125" t="s">
        <v>55</v>
      </c>
      <c r="I5" s="125" t="s">
        <v>9</v>
      </c>
      <c r="J5" s="327" t="s">
        <v>10</v>
      </c>
      <c r="K5" s="327" t="s">
        <v>56</v>
      </c>
      <c r="L5" s="327" t="s">
        <v>57</v>
      </c>
      <c r="M5" s="321"/>
    </row>
    <row r="6" customFormat="false" ht="15.75" hidden="false" customHeight="true" outlineLevel="0" collapsed="false">
      <c r="A6" s="328" t="s">
        <v>112</v>
      </c>
      <c r="B6" s="329" t="s">
        <v>113</v>
      </c>
      <c r="C6" s="330" t="n">
        <v>111.865</v>
      </c>
      <c r="D6" s="331" t="n">
        <v>-111.865</v>
      </c>
      <c r="E6" s="332" t="n">
        <f aca="false">C6+D6</f>
        <v>0</v>
      </c>
      <c r="F6" s="333" t="n">
        <v>0</v>
      </c>
      <c r="G6" s="334" t="n">
        <f aca="false">E6-F6</f>
        <v>0</v>
      </c>
      <c r="H6" s="335"/>
      <c r="I6" s="335"/>
      <c r="J6" s="336"/>
      <c r="K6" s="336"/>
      <c r="L6" s="337"/>
    </row>
    <row r="7" customFormat="false" ht="15.75" hidden="false" customHeight="true" outlineLevel="0" collapsed="false">
      <c r="A7" s="328"/>
      <c r="B7" s="338" t="s">
        <v>114</v>
      </c>
      <c r="C7" s="339" t="n">
        <v>533.266</v>
      </c>
      <c r="D7" s="339" t="n">
        <v>0</v>
      </c>
      <c r="E7" s="340" t="n">
        <f aca="false">C7+D7</f>
        <v>533.266</v>
      </c>
      <c r="F7" s="339" t="n">
        <v>212.874</v>
      </c>
      <c r="G7" s="341" t="n">
        <f aca="false">E7-F7</f>
        <v>320.392</v>
      </c>
      <c r="H7" s="229" t="n">
        <v>0</v>
      </c>
      <c r="I7" s="342" t="n">
        <f aca="false">G7+H7</f>
        <v>320.392</v>
      </c>
      <c r="J7" s="144" t="n">
        <v>318.667</v>
      </c>
      <c r="K7" s="342" t="n">
        <f aca="false">I7-J7</f>
        <v>1.72499999999997</v>
      </c>
      <c r="L7" s="147" t="n">
        <f aca="false">J7/I7</f>
        <v>0.994615970436216</v>
      </c>
    </row>
    <row r="8" customFormat="false" ht="15.75" hidden="false" customHeight="true" outlineLevel="0" collapsed="false">
      <c r="A8" s="328"/>
      <c r="B8" s="338" t="s">
        <v>115</v>
      </c>
      <c r="C8" s="339" t="n">
        <v>203.345</v>
      </c>
      <c r="D8" s="339" t="n">
        <v>0</v>
      </c>
      <c r="E8" s="340" t="n">
        <f aca="false">C8+D8</f>
        <v>203.345</v>
      </c>
      <c r="F8" s="339" t="n">
        <v>129.018</v>
      </c>
      <c r="G8" s="341" t="n">
        <f aca="false">E8-F8</f>
        <v>74.327</v>
      </c>
      <c r="H8" s="201" t="n">
        <f aca="false">-61.262</f>
        <v>-61.262</v>
      </c>
      <c r="I8" s="342" t="n">
        <f aca="false">G8+H8</f>
        <v>13.065</v>
      </c>
      <c r="J8" s="144" t="n">
        <v>13.065</v>
      </c>
      <c r="K8" s="342" t="n">
        <f aca="false">I8-J8</f>
        <v>0</v>
      </c>
      <c r="L8" s="147" t="n">
        <f aca="false">J8/I8</f>
        <v>1</v>
      </c>
    </row>
    <row r="9" customFormat="false" ht="15.75" hidden="false" customHeight="true" outlineLevel="0" collapsed="false">
      <c r="A9" s="328"/>
      <c r="B9" s="338" t="s">
        <v>66</v>
      </c>
      <c r="C9" s="339" t="n">
        <v>65.28</v>
      </c>
      <c r="D9" s="339" t="n">
        <v>0</v>
      </c>
      <c r="E9" s="340" t="n">
        <f aca="false">C9+D9</f>
        <v>65.28</v>
      </c>
      <c r="F9" s="339" t="n">
        <v>0</v>
      </c>
      <c r="G9" s="341" t="n">
        <f aca="false">E9-F9</f>
        <v>65.28</v>
      </c>
      <c r="H9" s="229" t="n">
        <v>0</v>
      </c>
      <c r="I9" s="342" t="n">
        <f aca="false">G9+H9</f>
        <v>65.28</v>
      </c>
      <c r="J9" s="144" t="n">
        <v>0.295</v>
      </c>
      <c r="K9" s="342" t="n">
        <f aca="false">I9-J9</f>
        <v>64.985</v>
      </c>
      <c r="L9" s="147" t="n">
        <f aca="false">J9/I9</f>
        <v>0.00451899509803922</v>
      </c>
    </row>
    <row r="10" customFormat="false" ht="15.75" hidden="false" customHeight="true" outlineLevel="0" collapsed="false">
      <c r="A10" s="328"/>
      <c r="B10" s="338" t="s">
        <v>116</v>
      </c>
      <c r="C10" s="339" t="n">
        <v>523.648</v>
      </c>
      <c r="D10" s="339" t="n">
        <v>0</v>
      </c>
      <c r="E10" s="340" t="n">
        <f aca="false">C10+D10</f>
        <v>523.648</v>
      </c>
      <c r="F10" s="339" t="n">
        <v>151.577</v>
      </c>
      <c r="G10" s="341" t="n">
        <f aca="false">E10-F10</f>
        <v>372.071</v>
      </c>
      <c r="H10" s="229" t="n">
        <v>0</v>
      </c>
      <c r="I10" s="342" t="n">
        <f aca="false">G10+H10</f>
        <v>372.071</v>
      </c>
      <c r="J10" s="144" t="n">
        <v>189.032</v>
      </c>
      <c r="K10" s="342" t="n">
        <f aca="false">I10-J10</f>
        <v>183.039</v>
      </c>
      <c r="L10" s="147" t="n">
        <f aca="false">J10/I10</f>
        <v>0.508053570420699</v>
      </c>
    </row>
    <row r="11" customFormat="false" ht="15.75" hidden="false" customHeight="true" outlineLevel="0" collapsed="false">
      <c r="A11" s="328"/>
      <c r="B11" s="338" t="s">
        <v>71</v>
      </c>
      <c r="C11" s="339" t="n">
        <v>2.717</v>
      </c>
      <c r="D11" s="339" t="n">
        <v>0</v>
      </c>
      <c r="E11" s="340" t="n">
        <f aca="false">C11+D11</f>
        <v>2.717</v>
      </c>
      <c r="F11" s="339" t="n">
        <v>0</v>
      </c>
      <c r="G11" s="341" t="n">
        <f aca="false">E11-F11</f>
        <v>2.717</v>
      </c>
      <c r="H11" s="229" t="n">
        <v>0</v>
      </c>
      <c r="I11" s="342" t="n">
        <f aca="false">G11+H11</f>
        <v>2.717</v>
      </c>
      <c r="J11" s="144" t="n">
        <v>0</v>
      </c>
      <c r="K11" s="343" t="n">
        <f aca="false">I11-J11</f>
        <v>2.717</v>
      </c>
      <c r="L11" s="178" t="n">
        <f aca="false">J11/I11</f>
        <v>0</v>
      </c>
    </row>
    <row r="12" customFormat="false" ht="15.75" hidden="false" customHeight="true" outlineLevel="0" collapsed="false">
      <c r="A12" s="328"/>
      <c r="B12" s="338" t="s">
        <v>117</v>
      </c>
      <c r="C12" s="339" t="n">
        <v>16.85</v>
      </c>
      <c r="D12" s="339" t="n">
        <v>0</v>
      </c>
      <c r="E12" s="340" t="n">
        <f aca="false">C12+D12</f>
        <v>16.85</v>
      </c>
      <c r="F12" s="339" t="n">
        <v>10.318</v>
      </c>
      <c r="G12" s="341" t="n">
        <f aca="false">E12-F12</f>
        <v>6.532</v>
      </c>
      <c r="H12" s="201" t="n">
        <f aca="false">-6.532</f>
        <v>-6.532</v>
      </c>
      <c r="I12" s="342" t="n">
        <f aca="false">G12+H12</f>
        <v>0</v>
      </c>
      <c r="J12" s="144" t="n">
        <v>0</v>
      </c>
      <c r="K12" s="342" t="n">
        <f aca="false">I12-J12</f>
        <v>0</v>
      </c>
      <c r="L12" s="147" t="e">
        <f aca="false">J12/I12</f>
        <v>#DIV/0!</v>
      </c>
    </row>
    <row r="13" customFormat="false" ht="15.75" hidden="false" customHeight="true" outlineLevel="0" collapsed="false">
      <c r="A13" s="328"/>
      <c r="B13" s="338" t="s">
        <v>118</v>
      </c>
      <c r="C13" s="339" t="n">
        <v>74.349</v>
      </c>
      <c r="D13" s="339" t="n">
        <v>0</v>
      </c>
      <c r="E13" s="340" t="n">
        <f aca="false">C13+D13</f>
        <v>74.349</v>
      </c>
      <c r="F13" s="339" t="n">
        <v>42.691</v>
      </c>
      <c r="G13" s="341" t="n">
        <f aca="false">E13-F13</f>
        <v>31.658</v>
      </c>
      <c r="H13" s="201" t="n">
        <f aca="false">-31.658</f>
        <v>-31.658</v>
      </c>
      <c r="I13" s="342" t="n">
        <f aca="false">G13+H13</f>
        <v>0</v>
      </c>
      <c r="J13" s="144" t="n">
        <v>0</v>
      </c>
      <c r="K13" s="342" t="n">
        <f aca="false">I13-J13</f>
        <v>0</v>
      </c>
      <c r="L13" s="147" t="e">
        <f aca="false">J13/I13</f>
        <v>#DIV/0!</v>
      </c>
    </row>
    <row r="14" customFormat="false" ht="15.75" hidden="false" customHeight="true" outlineLevel="0" collapsed="false">
      <c r="A14" s="328"/>
      <c r="B14" s="338" t="s">
        <v>119</v>
      </c>
      <c r="C14" s="339" t="n">
        <v>5.564</v>
      </c>
      <c r="D14" s="344" t="n">
        <v>-5.564</v>
      </c>
      <c r="E14" s="340" t="n">
        <f aca="false">C14+D14</f>
        <v>0</v>
      </c>
      <c r="F14" s="339" t="n">
        <v>0</v>
      </c>
      <c r="G14" s="341" t="n">
        <f aca="false">E14-F14</f>
        <v>0</v>
      </c>
      <c r="H14" s="201"/>
      <c r="I14" s="342"/>
      <c r="J14" s="144"/>
      <c r="K14" s="342"/>
      <c r="L14" s="147"/>
    </row>
    <row r="15" customFormat="false" ht="15.75" hidden="false" customHeight="true" outlineLevel="0" collapsed="false">
      <c r="A15" s="328"/>
      <c r="B15" s="338" t="s">
        <v>81</v>
      </c>
      <c r="C15" s="339" t="n">
        <v>0</v>
      </c>
      <c r="D15" s="345" t="n">
        <v>5.564</v>
      </c>
      <c r="E15" s="340" t="n">
        <f aca="false">C15+D15</f>
        <v>5.564</v>
      </c>
      <c r="F15" s="339" t="n">
        <v>0</v>
      </c>
      <c r="G15" s="341" t="n">
        <f aca="false">E15-F15</f>
        <v>5.564</v>
      </c>
      <c r="H15" s="229" t="n">
        <v>0</v>
      </c>
      <c r="I15" s="342" t="n">
        <f aca="false">G15+H15</f>
        <v>5.564</v>
      </c>
      <c r="J15" s="144" t="n">
        <v>0</v>
      </c>
      <c r="K15" s="342" t="n">
        <f aca="false">I15-J15</f>
        <v>5.564</v>
      </c>
      <c r="L15" s="147" t="n">
        <f aca="false">J15/I15</f>
        <v>0</v>
      </c>
    </row>
    <row r="16" customFormat="false" ht="15.75" hidden="false" customHeight="true" outlineLevel="0" collapsed="false">
      <c r="A16" s="328"/>
      <c r="B16" s="338" t="s">
        <v>120</v>
      </c>
      <c r="C16" s="339" t="n">
        <v>10.192</v>
      </c>
      <c r="D16" s="339" t="n">
        <v>0</v>
      </c>
      <c r="E16" s="340" t="n">
        <f aca="false">C16+D16</f>
        <v>10.192</v>
      </c>
      <c r="F16" s="339" t="n">
        <v>5.852</v>
      </c>
      <c r="G16" s="341" t="n">
        <f aca="false">E16-F16</f>
        <v>4.34</v>
      </c>
      <c r="H16" s="229" t="n">
        <v>0</v>
      </c>
      <c r="I16" s="342" t="n">
        <f aca="false">G16+H16</f>
        <v>4.34</v>
      </c>
      <c r="J16" s="144" t="n">
        <v>0</v>
      </c>
      <c r="K16" s="342" t="n">
        <f aca="false">I16-J16</f>
        <v>4.34</v>
      </c>
      <c r="L16" s="147" t="n">
        <f aca="false">J16/I16</f>
        <v>0</v>
      </c>
    </row>
    <row r="17" customFormat="false" ht="15.75" hidden="false" customHeight="true" outlineLevel="0" collapsed="false">
      <c r="A17" s="328"/>
      <c r="B17" s="338" t="s">
        <v>91</v>
      </c>
      <c r="C17" s="339" t="n">
        <v>470.617</v>
      </c>
      <c r="D17" s="339" t="n">
        <v>0</v>
      </c>
      <c r="E17" s="340" t="n">
        <f aca="false">C17+D17</f>
        <v>470.617</v>
      </c>
      <c r="F17" s="339" t="n">
        <v>270.227</v>
      </c>
      <c r="G17" s="341" t="n">
        <f aca="false">E17-F17</f>
        <v>200.39</v>
      </c>
      <c r="H17" s="229" t="n">
        <v>0</v>
      </c>
      <c r="I17" s="342" t="n">
        <f aca="false">G17+H17</f>
        <v>200.39</v>
      </c>
      <c r="J17" s="144" t="n">
        <v>149.841</v>
      </c>
      <c r="K17" s="342" t="n">
        <f aca="false">I17-J17</f>
        <v>50.5490000000001</v>
      </c>
      <c r="L17" s="147" t="n">
        <f aca="false">J17/I17</f>
        <v>0.747746893557562</v>
      </c>
    </row>
    <row r="18" customFormat="false" ht="15.75" hidden="false" customHeight="true" outlineLevel="0" collapsed="false">
      <c r="A18" s="328"/>
      <c r="B18" s="338" t="s">
        <v>121</v>
      </c>
      <c r="C18" s="339" t="n">
        <v>116.63</v>
      </c>
      <c r="D18" s="344" t="n">
        <v>-116.63</v>
      </c>
      <c r="E18" s="340" t="n">
        <f aca="false">C18+D18</f>
        <v>0</v>
      </c>
      <c r="F18" s="339" t="n">
        <v>0</v>
      </c>
      <c r="G18" s="341" t="n">
        <f aca="false">E18-F18</f>
        <v>0</v>
      </c>
      <c r="H18" s="229" t="n">
        <v>0</v>
      </c>
      <c r="I18" s="342" t="n">
        <f aca="false">G18+H18</f>
        <v>0</v>
      </c>
      <c r="J18" s="144" t="n">
        <v>0</v>
      </c>
      <c r="K18" s="343" t="n">
        <f aca="false">I18-J18</f>
        <v>0</v>
      </c>
      <c r="L18" s="178" t="e">
        <f aca="false">J18/I18</f>
        <v>#DIV/0!</v>
      </c>
    </row>
    <row r="19" customFormat="false" ht="15.75" hidden="false" customHeight="true" outlineLevel="0" collapsed="false">
      <c r="A19" s="328"/>
      <c r="B19" s="338" t="s">
        <v>122</v>
      </c>
      <c r="C19" s="339" t="n">
        <v>263.045</v>
      </c>
      <c r="D19" s="339" t="n">
        <v>0</v>
      </c>
      <c r="E19" s="340" t="n">
        <f aca="false">C19+D19</f>
        <v>263.045</v>
      </c>
      <c r="F19" s="339" t="n">
        <v>165.847</v>
      </c>
      <c r="G19" s="341" t="n">
        <f aca="false">E19-F19</f>
        <v>97.198</v>
      </c>
      <c r="H19" s="229" t="n">
        <v>0</v>
      </c>
      <c r="I19" s="342" t="n">
        <f aca="false">G19+H19</f>
        <v>97.198</v>
      </c>
      <c r="J19" s="144" t="n">
        <v>96.229</v>
      </c>
      <c r="K19" s="342" t="n">
        <f aca="false">I19-J19</f>
        <v>0.969000000000008</v>
      </c>
      <c r="L19" s="147" t="n">
        <f aca="false">J19/I19</f>
        <v>0.990030659067059</v>
      </c>
    </row>
    <row r="20" customFormat="false" ht="15.75" hidden="false" customHeight="true" outlineLevel="0" collapsed="false">
      <c r="A20" s="328"/>
      <c r="B20" s="338" t="s">
        <v>123</v>
      </c>
      <c r="C20" s="339" t="n">
        <v>62.973</v>
      </c>
      <c r="D20" s="345" t="n">
        <v>116.63</v>
      </c>
      <c r="E20" s="340" t="n">
        <f aca="false">C20+D20</f>
        <v>179.603</v>
      </c>
      <c r="F20" s="339" t="n">
        <v>57.501</v>
      </c>
      <c r="G20" s="341" t="n">
        <f aca="false">E20-F20</f>
        <v>122.102</v>
      </c>
      <c r="H20" s="229" t="n">
        <v>0</v>
      </c>
      <c r="I20" s="342" t="n">
        <f aca="false">G20+H20</f>
        <v>122.102</v>
      </c>
      <c r="J20" s="144" t="n">
        <v>121.163</v>
      </c>
      <c r="K20" s="342" t="n">
        <f aca="false">I20-J20</f>
        <v>0.939000000000007</v>
      </c>
      <c r="L20" s="147" t="n">
        <f aca="false">J20/I20</f>
        <v>0.992309708276687</v>
      </c>
    </row>
    <row r="21" customFormat="false" ht="15.75" hidden="false" customHeight="true" outlineLevel="0" collapsed="false">
      <c r="A21" s="328"/>
      <c r="B21" s="338" t="s">
        <v>124</v>
      </c>
      <c r="C21" s="339" t="n">
        <v>458.838</v>
      </c>
      <c r="D21" s="339" t="n">
        <v>0</v>
      </c>
      <c r="E21" s="340" t="n">
        <f aca="false">C21+D21</f>
        <v>458.838</v>
      </c>
      <c r="F21" s="339" t="n">
        <v>292.303</v>
      </c>
      <c r="G21" s="341" t="n">
        <f aca="false">E21-F21</f>
        <v>166.535</v>
      </c>
      <c r="H21" s="346" t="n">
        <f aca="false">61.262</f>
        <v>61.262</v>
      </c>
      <c r="I21" s="342" t="n">
        <f aca="false">G21+H21</f>
        <v>227.797</v>
      </c>
      <c r="J21" s="144" t="n">
        <v>225.318</v>
      </c>
      <c r="K21" s="342" t="n">
        <f aca="false">I21-J21</f>
        <v>2.47900000000001</v>
      </c>
      <c r="L21" s="178" t="n">
        <f aca="false">J21/I21</f>
        <v>0.989117503742367</v>
      </c>
    </row>
    <row r="22" customFormat="false" ht="15.75" hidden="false" customHeight="true" outlineLevel="0" collapsed="false">
      <c r="A22" s="328"/>
      <c r="B22" s="338" t="s">
        <v>125</v>
      </c>
      <c r="C22" s="339" t="n">
        <v>0</v>
      </c>
      <c r="D22" s="345" t="n">
        <v>111.865</v>
      </c>
      <c r="E22" s="340" t="n">
        <f aca="false">C22+D22</f>
        <v>111.865</v>
      </c>
      <c r="F22" s="339" t="n">
        <v>6.683</v>
      </c>
      <c r="G22" s="341" t="n">
        <f aca="false">E22-F22</f>
        <v>105.182</v>
      </c>
      <c r="H22" s="229" t="n">
        <v>0</v>
      </c>
      <c r="I22" s="342" t="n">
        <f aca="false">G22+H22</f>
        <v>105.182</v>
      </c>
      <c r="J22" s="144" t="n">
        <v>10.777</v>
      </c>
      <c r="K22" s="342" t="n">
        <f aca="false">I22-J22</f>
        <v>94.405</v>
      </c>
      <c r="L22" s="147" t="n">
        <f aca="false">J22/I22</f>
        <v>0.10246049704322</v>
      </c>
    </row>
    <row r="23" customFormat="false" ht="15.75" hidden="false" customHeight="true" outlineLevel="0" collapsed="false">
      <c r="A23" s="328"/>
      <c r="B23" s="338" t="s">
        <v>126</v>
      </c>
      <c r="C23" s="339" t="n">
        <v>132.521</v>
      </c>
      <c r="D23" s="339" t="n">
        <v>0</v>
      </c>
      <c r="E23" s="340" t="n">
        <f aca="false">C23+D23</f>
        <v>132.521</v>
      </c>
      <c r="F23" s="339" t="n">
        <v>76.093</v>
      </c>
      <c r="G23" s="341" t="n">
        <f aca="false">E23-F23</f>
        <v>56.428</v>
      </c>
      <c r="H23" s="346" t="n">
        <f aca="false">31.658</f>
        <v>31.658</v>
      </c>
      <c r="I23" s="342" t="n">
        <f aca="false">G23+H23</f>
        <v>88.086</v>
      </c>
      <c r="J23" s="144" t="n">
        <v>87.963</v>
      </c>
      <c r="K23" s="343" t="n">
        <f aca="false">I23-J23</f>
        <v>0.123000000000019</v>
      </c>
      <c r="L23" s="181" t="n">
        <f aca="false">J23/I23</f>
        <v>0.998603637354403</v>
      </c>
    </row>
    <row r="24" customFormat="false" ht="15.75" hidden="false" customHeight="true" outlineLevel="0" collapsed="false">
      <c r="A24" s="328"/>
      <c r="B24" s="347" t="s">
        <v>127</v>
      </c>
      <c r="C24" s="348" t="n">
        <v>0</v>
      </c>
      <c r="D24" s="348" t="n">
        <v>0</v>
      </c>
      <c r="E24" s="349" t="n">
        <f aca="false">C24+D24</f>
        <v>0</v>
      </c>
      <c r="F24" s="348" t="n">
        <v>0</v>
      </c>
      <c r="G24" s="350" t="n">
        <f aca="false">E24-F24</f>
        <v>0</v>
      </c>
      <c r="H24" s="351" t="n">
        <f aca="false">6.532</f>
        <v>6.532</v>
      </c>
      <c r="I24" s="352" t="n">
        <f aca="false">G24+H24</f>
        <v>6.532</v>
      </c>
      <c r="J24" s="169" t="n">
        <v>6.037</v>
      </c>
      <c r="K24" s="353" t="n">
        <f aca="false">I24-J24</f>
        <v>0.495</v>
      </c>
      <c r="L24" s="354" t="n">
        <f aca="false">J24/I24</f>
        <v>0.924219228413962</v>
      </c>
    </row>
    <row r="25" customFormat="false" ht="15.75" hidden="true" customHeight="true" outlineLevel="0" collapsed="false">
      <c r="A25" s="303"/>
      <c r="B25" s="113"/>
      <c r="C25" s="212"/>
      <c r="D25" s="213"/>
      <c r="E25" s="213"/>
      <c r="F25" s="213"/>
      <c r="G25" s="212"/>
      <c r="H25" s="355"/>
      <c r="I25" s="212"/>
      <c r="J25" s="212"/>
      <c r="K25" s="212"/>
      <c r="L25" s="356"/>
    </row>
    <row r="26" customFormat="false" ht="15.75" hidden="false" customHeight="true" outlineLevel="0" collapsed="false">
      <c r="A26" s="357" t="s">
        <v>128</v>
      </c>
      <c r="B26" s="358" t="s">
        <v>113</v>
      </c>
      <c r="C26" s="359" t="n">
        <v>61.066</v>
      </c>
      <c r="D26" s="360" t="n">
        <v>-61.066</v>
      </c>
      <c r="E26" s="359" t="n">
        <f aca="false">C26+D26</f>
        <v>0</v>
      </c>
      <c r="F26" s="359" t="n">
        <v>0</v>
      </c>
      <c r="G26" s="361" t="n">
        <f aca="false">E26-F26</f>
        <v>0</v>
      </c>
      <c r="H26" s="362" t="n">
        <v>0</v>
      </c>
      <c r="I26" s="359"/>
      <c r="J26" s="359"/>
      <c r="K26" s="359"/>
      <c r="L26" s="363"/>
    </row>
    <row r="27" customFormat="false" ht="15.75" hidden="false" customHeight="true" outlineLevel="0" collapsed="false">
      <c r="A27" s="357"/>
      <c r="B27" s="364" t="s">
        <v>129</v>
      </c>
      <c r="C27" s="365" t="n">
        <v>456.866</v>
      </c>
      <c r="D27" s="365" t="n">
        <v>0</v>
      </c>
      <c r="E27" s="342" t="n">
        <f aca="false">C27+D27</f>
        <v>456.866</v>
      </c>
      <c r="F27" s="365" t="n">
        <v>294.88</v>
      </c>
      <c r="G27" s="366" t="n">
        <f aca="false">E27-F27</f>
        <v>161.986</v>
      </c>
      <c r="H27" s="229" t="n">
        <v>0</v>
      </c>
      <c r="I27" s="342" t="n">
        <f aca="false">G27+H27</f>
        <v>161.986</v>
      </c>
      <c r="J27" s="144" t="n">
        <v>97.414</v>
      </c>
      <c r="K27" s="342" t="n">
        <f aca="false">I27-J27</f>
        <v>64.572</v>
      </c>
      <c r="L27" s="147" t="n">
        <f aca="false">J27/I27</f>
        <v>0.601372958156878</v>
      </c>
    </row>
    <row r="28" customFormat="false" ht="15.75" hidden="false" customHeight="true" outlineLevel="0" collapsed="false">
      <c r="A28" s="357"/>
      <c r="B28" s="364" t="s">
        <v>115</v>
      </c>
      <c r="C28" s="365" t="n">
        <v>32.958</v>
      </c>
      <c r="D28" s="367" t="n">
        <v>11.872</v>
      </c>
      <c r="E28" s="342" t="n">
        <f aca="false">C28+D28</f>
        <v>44.83</v>
      </c>
      <c r="F28" s="365" t="n">
        <v>35.456</v>
      </c>
      <c r="G28" s="366" t="n">
        <f aca="false">E28-F28</f>
        <v>9.374</v>
      </c>
      <c r="H28" s="201" t="n">
        <f aca="false">-9.374</f>
        <v>-9.374</v>
      </c>
      <c r="I28" s="342" t="n">
        <f aca="false">G28+H28</f>
        <v>0</v>
      </c>
      <c r="J28" s="144" t="n">
        <v>0</v>
      </c>
      <c r="K28" s="342" t="n">
        <f aca="false">I28-J28</f>
        <v>0</v>
      </c>
      <c r="L28" s="147" t="e">
        <f aca="false">J28/I28</f>
        <v>#DIV/0!</v>
      </c>
    </row>
    <row r="29" customFormat="false" ht="15.75" hidden="false" customHeight="true" outlineLevel="0" collapsed="false">
      <c r="A29" s="357"/>
      <c r="B29" s="364" t="s">
        <v>116</v>
      </c>
      <c r="C29" s="365" t="n">
        <v>475.754</v>
      </c>
      <c r="D29" s="368" t="n">
        <v>-60</v>
      </c>
      <c r="E29" s="342" t="n">
        <f aca="false">C29+D29</f>
        <v>415.754</v>
      </c>
      <c r="F29" s="365" t="n">
        <v>308.04</v>
      </c>
      <c r="G29" s="366" t="n">
        <f aca="false">E29-F29</f>
        <v>107.714</v>
      </c>
      <c r="H29" s="201" t="n">
        <v>-45</v>
      </c>
      <c r="I29" s="342" t="n">
        <f aca="false">G29+H29</f>
        <v>62.714</v>
      </c>
      <c r="J29" s="144" t="n">
        <v>58.415</v>
      </c>
      <c r="K29" s="342" t="n">
        <f aca="false">I29-J29</f>
        <v>4.299</v>
      </c>
      <c r="L29" s="147" t="n">
        <f aca="false">J29/I29</f>
        <v>0.931450712759511</v>
      </c>
    </row>
    <row r="30" customFormat="false" ht="15.75" hidden="false" customHeight="true" outlineLevel="0" collapsed="false">
      <c r="A30" s="357"/>
      <c r="B30" s="369" t="s">
        <v>130</v>
      </c>
      <c r="C30" s="370" t="n">
        <v>0.238</v>
      </c>
      <c r="D30" s="370" t="n">
        <v>0</v>
      </c>
      <c r="E30" s="342" t="n">
        <f aca="false">C30+D30</f>
        <v>0.238</v>
      </c>
      <c r="F30" s="365" t="n">
        <v>0.114</v>
      </c>
      <c r="G30" s="366" t="n">
        <f aca="false">E30-F30</f>
        <v>0.124</v>
      </c>
      <c r="H30" s="229" t="n">
        <v>0</v>
      </c>
      <c r="I30" s="342" t="n">
        <f aca="false">G30+H30</f>
        <v>0.124</v>
      </c>
      <c r="J30" s="144" t="n">
        <v>0</v>
      </c>
      <c r="K30" s="342" t="n">
        <f aca="false">I30-J30</f>
        <v>0.124</v>
      </c>
      <c r="L30" s="147" t="n">
        <f aca="false">J30/I30</f>
        <v>0</v>
      </c>
    </row>
    <row r="31" customFormat="false" ht="15.75" hidden="false" customHeight="true" outlineLevel="0" collapsed="false">
      <c r="A31" s="357"/>
      <c r="B31" s="364" t="s">
        <v>91</v>
      </c>
      <c r="C31" s="365" t="n">
        <v>60.283</v>
      </c>
      <c r="D31" s="365" t="n">
        <v>0</v>
      </c>
      <c r="E31" s="342" t="n">
        <f aca="false">C31+D31</f>
        <v>60.283</v>
      </c>
      <c r="F31" s="365" t="n">
        <v>28.9</v>
      </c>
      <c r="G31" s="366" t="n">
        <f aca="false">E31-F31</f>
        <v>31.383</v>
      </c>
      <c r="H31" s="229" t="n">
        <v>0</v>
      </c>
      <c r="I31" s="342" t="n">
        <f aca="false">G31+H31</f>
        <v>31.383</v>
      </c>
      <c r="J31" s="144" t="n">
        <v>11.286</v>
      </c>
      <c r="K31" s="342" t="n">
        <f aca="false">I31-J31</f>
        <v>20.097</v>
      </c>
      <c r="L31" s="147" t="n">
        <f aca="false">J31/I31</f>
        <v>0.359621451104101</v>
      </c>
    </row>
    <row r="32" customFormat="false" ht="15.75" hidden="false" customHeight="true" outlineLevel="0" collapsed="false">
      <c r="A32" s="357"/>
      <c r="B32" s="364" t="s">
        <v>121</v>
      </c>
      <c r="C32" s="365" t="n">
        <v>8.194</v>
      </c>
      <c r="D32" s="368" t="n">
        <v>-8.194</v>
      </c>
      <c r="E32" s="342" t="n">
        <f aca="false">C32+D32</f>
        <v>0</v>
      </c>
      <c r="F32" s="365" t="n">
        <v>0</v>
      </c>
      <c r="G32" s="366" t="n">
        <f aca="false">E32-F32</f>
        <v>0</v>
      </c>
      <c r="H32" s="229" t="n">
        <v>0</v>
      </c>
      <c r="I32" s="342" t="n">
        <f aca="false">G32+H32</f>
        <v>0</v>
      </c>
      <c r="J32" s="144" t="n">
        <v>0</v>
      </c>
      <c r="K32" s="342" t="n">
        <f aca="false">I32-J32</f>
        <v>0</v>
      </c>
      <c r="L32" s="147" t="e">
        <f aca="false">J32/I32</f>
        <v>#DIV/0!</v>
      </c>
    </row>
    <row r="33" customFormat="false" ht="15.75" hidden="false" customHeight="true" outlineLevel="0" collapsed="false">
      <c r="A33" s="357"/>
      <c r="B33" s="364" t="s">
        <v>131</v>
      </c>
      <c r="C33" s="365" t="n">
        <v>3.678</v>
      </c>
      <c r="D33" s="368" t="n">
        <v>-3.678</v>
      </c>
      <c r="E33" s="342" t="n">
        <f aca="false">C33+D33</f>
        <v>0</v>
      </c>
      <c r="F33" s="365" t="n">
        <v>0</v>
      </c>
      <c r="G33" s="366" t="n">
        <f aca="false">E33-F33</f>
        <v>0</v>
      </c>
      <c r="H33" s="229" t="n">
        <v>0</v>
      </c>
      <c r="I33" s="342" t="n">
        <f aca="false">G33+H33</f>
        <v>0</v>
      </c>
      <c r="J33" s="144" t="n">
        <v>0</v>
      </c>
      <c r="K33" s="342" t="n">
        <f aca="false">I33-J33</f>
        <v>0</v>
      </c>
      <c r="L33" s="147" t="e">
        <f aca="false">J33/I33</f>
        <v>#DIV/0!</v>
      </c>
    </row>
    <row r="34" customFormat="false" ht="15.75" hidden="false" customHeight="true" outlineLevel="0" collapsed="false">
      <c r="A34" s="357"/>
      <c r="B34" s="364" t="s">
        <v>132</v>
      </c>
      <c r="C34" s="365" t="n">
        <v>39.194</v>
      </c>
      <c r="D34" s="365" t="n">
        <v>0</v>
      </c>
      <c r="E34" s="342" t="n">
        <f aca="false">C34+D34</f>
        <v>39.194</v>
      </c>
      <c r="F34" s="365" t="n">
        <v>30.476</v>
      </c>
      <c r="G34" s="366" t="n">
        <f aca="false">E34-F34</f>
        <v>8.718</v>
      </c>
      <c r="H34" s="346" t="n">
        <f aca="false">9.374</f>
        <v>9.374</v>
      </c>
      <c r="I34" s="342" t="n">
        <f aca="false">G34+H34</f>
        <v>18.092</v>
      </c>
      <c r="J34" s="144" t="n">
        <v>16.882</v>
      </c>
      <c r="K34" s="343" t="n">
        <f aca="false">I34-J34</f>
        <v>1.21</v>
      </c>
      <c r="L34" s="181" t="n">
        <f aca="false">J34/I34</f>
        <v>0.933119610877736</v>
      </c>
    </row>
    <row r="35" customFormat="false" ht="15.75" hidden="false" customHeight="true" outlineLevel="0" collapsed="false">
      <c r="A35" s="357"/>
      <c r="B35" s="338" t="s">
        <v>125</v>
      </c>
      <c r="C35" s="339" t="n">
        <v>0</v>
      </c>
      <c r="D35" s="345" t="n">
        <v>61.066</v>
      </c>
      <c r="E35" s="342" t="n">
        <f aca="false">C35+D35</f>
        <v>61.066</v>
      </c>
      <c r="F35" s="339" t="n">
        <v>16.136</v>
      </c>
      <c r="G35" s="366" t="n">
        <f aca="false">E35-F35</f>
        <v>44.93</v>
      </c>
      <c r="H35" s="201" t="n">
        <v>-40</v>
      </c>
      <c r="I35" s="342" t="n">
        <f aca="false">G35+H35</f>
        <v>4.93000000000001</v>
      </c>
      <c r="J35" s="144" t="n">
        <v>0</v>
      </c>
      <c r="K35" s="342" t="n">
        <f aca="false">I35-J35</f>
        <v>4.93000000000001</v>
      </c>
      <c r="L35" s="147" t="n">
        <f aca="false">J35/I35</f>
        <v>0</v>
      </c>
    </row>
    <row r="36" customFormat="false" ht="15.75" hidden="false" customHeight="true" outlineLevel="0" collapsed="false">
      <c r="A36" s="357"/>
      <c r="B36" s="347" t="s">
        <v>126</v>
      </c>
      <c r="C36" s="348" t="n">
        <v>29.766</v>
      </c>
      <c r="D36" s="348" t="n">
        <v>0</v>
      </c>
      <c r="E36" s="352" t="n">
        <f aca="false">C36+D36</f>
        <v>29.766</v>
      </c>
      <c r="F36" s="348" t="n">
        <v>14.27</v>
      </c>
      <c r="G36" s="371" t="n">
        <f aca="false">E36-F36</f>
        <v>15.496</v>
      </c>
      <c r="H36" s="372" t="n">
        <v>0</v>
      </c>
      <c r="I36" s="352" t="n">
        <f aca="false">G36+H36</f>
        <v>15.496</v>
      </c>
      <c r="J36" s="169" t="n">
        <v>0</v>
      </c>
      <c r="K36" s="352" t="n">
        <f aca="false">I36-J36</f>
        <v>15.496</v>
      </c>
      <c r="L36" s="172" t="n">
        <f aca="false">J36/I36</f>
        <v>0</v>
      </c>
    </row>
    <row r="37" customFormat="false" ht="15.75" hidden="true" customHeight="true" outlineLevel="0" collapsed="false">
      <c r="A37" s="303"/>
      <c r="B37" s="113"/>
      <c r="C37" s="212"/>
      <c r="D37" s="213"/>
      <c r="E37" s="213"/>
      <c r="F37" s="213"/>
      <c r="G37" s="212"/>
      <c r="H37" s="355"/>
      <c r="I37" s="212"/>
      <c r="J37" s="212"/>
      <c r="K37" s="212"/>
      <c r="L37" s="356"/>
    </row>
    <row r="38" customFormat="false" ht="15.75" hidden="false" customHeight="true" outlineLevel="0" collapsed="false">
      <c r="A38" s="373" t="s">
        <v>133</v>
      </c>
      <c r="B38" s="358" t="s">
        <v>113</v>
      </c>
      <c r="C38" s="359" t="n">
        <v>24.085</v>
      </c>
      <c r="D38" s="360" t="n">
        <v>-24.085</v>
      </c>
      <c r="E38" s="359" t="n">
        <f aca="false">C38+D38</f>
        <v>0</v>
      </c>
      <c r="F38" s="359" t="n">
        <v>0</v>
      </c>
      <c r="G38" s="361" t="n">
        <f aca="false">E38-F38</f>
        <v>0</v>
      </c>
      <c r="H38" s="362"/>
      <c r="I38" s="359"/>
      <c r="J38" s="359"/>
      <c r="K38" s="359"/>
      <c r="L38" s="363"/>
    </row>
    <row r="39" customFormat="false" ht="15.75" hidden="false" customHeight="true" outlineLevel="0" collapsed="false">
      <c r="A39" s="373"/>
      <c r="B39" s="374" t="s">
        <v>129</v>
      </c>
      <c r="C39" s="375" t="n">
        <v>286.202</v>
      </c>
      <c r="D39" s="375" t="n">
        <v>0</v>
      </c>
      <c r="E39" s="342" t="n">
        <f aca="false">C39+D39</f>
        <v>286.202</v>
      </c>
      <c r="F39" s="375" t="n">
        <v>255.074</v>
      </c>
      <c r="G39" s="366" t="n">
        <f aca="false">E39-F39</f>
        <v>31.128</v>
      </c>
      <c r="H39" s="229" t="n">
        <v>0</v>
      </c>
      <c r="I39" s="342" t="n">
        <f aca="false">G39+H39</f>
        <v>31.128</v>
      </c>
      <c r="J39" s="144" t="n">
        <v>19.207</v>
      </c>
      <c r="K39" s="342" t="n">
        <f aca="false">I39-J39</f>
        <v>11.921</v>
      </c>
      <c r="L39" s="147" t="n">
        <f aca="false">J39/I39</f>
        <v>0.617032896427654</v>
      </c>
    </row>
    <row r="40" customFormat="false" ht="15.75" hidden="false" customHeight="true" outlineLevel="0" collapsed="false">
      <c r="A40" s="373"/>
      <c r="B40" s="374" t="s">
        <v>116</v>
      </c>
      <c r="C40" s="375" t="n">
        <v>572.926</v>
      </c>
      <c r="D40" s="375" t="n">
        <v>0</v>
      </c>
      <c r="E40" s="342" t="n">
        <f aca="false">C40+D40</f>
        <v>572.926</v>
      </c>
      <c r="F40" s="375" t="n">
        <v>242.975</v>
      </c>
      <c r="G40" s="366" t="n">
        <f aca="false">E40-F40</f>
        <v>329.951</v>
      </c>
      <c r="H40" s="229" t="n">
        <v>0</v>
      </c>
      <c r="I40" s="342" t="n">
        <f aca="false">G40+H40</f>
        <v>329.951</v>
      </c>
      <c r="J40" s="144" t="n">
        <v>135.909</v>
      </c>
      <c r="K40" s="342" t="n">
        <f aca="false">I40-J40</f>
        <v>194.042</v>
      </c>
      <c r="L40" s="147" t="n">
        <f aca="false">J40/I40</f>
        <v>0.411906616436986</v>
      </c>
    </row>
    <row r="41" customFormat="false" ht="15.75" hidden="false" customHeight="true" outlineLevel="0" collapsed="false">
      <c r="A41" s="373"/>
      <c r="B41" s="374" t="s">
        <v>134</v>
      </c>
      <c r="C41" s="375" t="n">
        <v>130.499</v>
      </c>
      <c r="D41" s="375" t="n">
        <v>0</v>
      </c>
      <c r="E41" s="342" t="n">
        <f aca="false">C41+D41</f>
        <v>130.499</v>
      </c>
      <c r="F41" s="375" t="n">
        <v>25.229</v>
      </c>
      <c r="G41" s="366" t="n">
        <f aca="false">E41-F41</f>
        <v>105.27</v>
      </c>
      <c r="H41" s="229" t="n">
        <v>0</v>
      </c>
      <c r="I41" s="342" t="n">
        <f aca="false">G41+H41</f>
        <v>105.27</v>
      </c>
      <c r="J41" s="144" t="n">
        <v>6.176</v>
      </c>
      <c r="K41" s="342" t="n">
        <f aca="false">I41-J41</f>
        <v>99.094</v>
      </c>
      <c r="L41" s="147" t="n">
        <f aca="false">J41/I41</f>
        <v>0.0586681865678731</v>
      </c>
    </row>
    <row r="42" customFormat="false" ht="15.75" hidden="false" customHeight="true" outlineLevel="0" collapsed="false">
      <c r="A42" s="373"/>
      <c r="B42" s="338" t="s">
        <v>125</v>
      </c>
      <c r="C42" s="339" t="n">
        <v>0</v>
      </c>
      <c r="D42" s="345" t="n">
        <v>24.085</v>
      </c>
      <c r="E42" s="342" t="n">
        <f aca="false">C42+D42</f>
        <v>24.085</v>
      </c>
      <c r="F42" s="339" t="n">
        <v>5.459</v>
      </c>
      <c r="G42" s="366" t="n">
        <f aca="false">E42-F42</f>
        <v>18.626</v>
      </c>
      <c r="H42" s="201" t="n">
        <v>-16.5</v>
      </c>
      <c r="I42" s="342" t="n">
        <f aca="false">G42+H42</f>
        <v>2.126</v>
      </c>
      <c r="J42" s="144" t="n">
        <v>0</v>
      </c>
      <c r="K42" s="342" t="n">
        <f aca="false">I42-J42</f>
        <v>2.126</v>
      </c>
      <c r="L42" s="147" t="n">
        <f aca="false">J42/I42</f>
        <v>0</v>
      </c>
    </row>
    <row r="43" customFormat="false" ht="15.75" hidden="false" customHeight="true" outlineLevel="0" collapsed="false">
      <c r="A43" s="373"/>
      <c r="B43" s="347" t="s">
        <v>126</v>
      </c>
      <c r="C43" s="348" t="n">
        <v>119.286</v>
      </c>
      <c r="D43" s="348" t="n">
        <v>0</v>
      </c>
      <c r="E43" s="352" t="n">
        <f aca="false">C43+D43</f>
        <v>119.286</v>
      </c>
      <c r="F43" s="348" t="n">
        <v>23.061</v>
      </c>
      <c r="G43" s="371" t="n">
        <f aca="false">E43-F43</f>
        <v>96.225</v>
      </c>
      <c r="H43" s="372" t="n">
        <v>0</v>
      </c>
      <c r="I43" s="352" t="n">
        <f aca="false">G43+H43</f>
        <v>96.225</v>
      </c>
      <c r="J43" s="169" t="n">
        <v>0</v>
      </c>
      <c r="K43" s="352" t="n">
        <f aca="false">I43-J43</f>
        <v>96.225</v>
      </c>
      <c r="L43" s="376" t="n">
        <f aca="false">J43/I43</f>
        <v>0</v>
      </c>
    </row>
  </sheetData>
  <mergeCells count="8">
    <mergeCell ref="B1:L1"/>
    <mergeCell ref="G3:L3"/>
    <mergeCell ref="C4:F4"/>
    <mergeCell ref="G4:I4"/>
    <mergeCell ref="J4:L4"/>
    <mergeCell ref="A6:A24"/>
    <mergeCell ref="A26:A36"/>
    <mergeCell ref="A38:A4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N8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6" topLeftCell="B16" activePane="bottomRight" state="frozen"/>
      <selection pane="topLeft" activeCell="A1" activeCellId="0" sqref="A1"/>
      <selection pane="topRight" activeCell="B1" activeCellId="0" sqref="B1"/>
      <selection pane="bottomLeft" activeCell="A16" activeCellId="0" sqref="A16"/>
      <selection pane="bottomRight" activeCell="B23" activeCellId="0" sqref="B23"/>
    </sheetView>
  </sheetViews>
  <sheetFormatPr defaultColWidth="10.96484375" defaultRowHeight="14.4" customHeight="false" zeroHeight="false" outlineLevelRow="0" outlineLevelCol="0"/>
  <cols>
    <col collapsed="false" customWidth="true" hidden="false" outlineLevel="0" max="1" min="1" style="0" width="25.99"/>
    <col collapsed="false" customWidth="true" hidden="false" outlineLevel="0" max="2" min="2" style="0" width="25.87"/>
    <col collapsed="false" customWidth="true" hidden="false" outlineLevel="0" max="3" min="3" style="0" width="18.55"/>
    <col collapsed="false" customWidth="true" hidden="false" outlineLevel="0" max="4" min="4" style="0" width="14.33"/>
    <col collapsed="false" customWidth="true" hidden="false" outlineLevel="0" max="6" min="5" style="0" width="14.87"/>
    <col collapsed="false" customWidth="true" hidden="false" outlineLevel="0" max="7" min="7" style="0" width="19.87"/>
    <col collapsed="false" customWidth="true" hidden="false" outlineLevel="0" max="8" min="8" style="0" width="13.43"/>
    <col collapsed="false" customWidth="true" hidden="false" outlineLevel="0" max="10" min="10" style="0" width="14.33"/>
    <col collapsed="false" customWidth="true" hidden="false" outlineLevel="0" max="11" min="11" style="0" width="14.1"/>
    <col collapsed="false" customWidth="true" hidden="false" outlineLevel="0" max="12" min="12" style="0" width="17.43"/>
  </cols>
  <sheetData>
    <row r="1" customFormat="false" ht="14.4" hidden="false" customHeight="false" outlineLevel="0" collapsed="false"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377"/>
      <c r="M1" s="377"/>
    </row>
    <row r="2" customFormat="false" ht="15.6" hidden="false" customHeight="false" outlineLevel="0" collapsed="false">
      <c r="A2" s="1"/>
      <c r="B2" s="109" t="s">
        <v>135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377"/>
    </row>
    <row r="3" customFormat="false" ht="15.6" hidden="false" customHeight="false" outlineLevel="0" collapsed="false">
      <c r="A3" s="377"/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</row>
    <row r="4" customFormat="false" ht="14.4" hidden="false" customHeight="false" outlineLevel="0" collapsed="false">
      <c r="A4" s="1"/>
      <c r="B4" s="377"/>
      <c r="C4" s="377"/>
      <c r="D4" s="377"/>
      <c r="E4" s="377"/>
      <c r="F4" s="377"/>
      <c r="G4" s="378" t="s">
        <v>50</v>
      </c>
      <c r="H4" s="378"/>
      <c r="I4" s="378"/>
      <c r="J4" s="378"/>
      <c r="K4" s="378"/>
      <c r="L4" s="378"/>
      <c r="M4" s="377"/>
    </row>
    <row r="5" customFormat="false" ht="18" hidden="false" customHeight="true" outlineLevel="0" collapsed="false">
      <c r="A5" s="1"/>
      <c r="B5" s="379"/>
      <c r="C5" s="380" t="s">
        <v>3</v>
      </c>
      <c r="D5" s="380"/>
      <c r="E5" s="380"/>
      <c r="F5" s="380"/>
      <c r="G5" s="381" t="s">
        <v>51</v>
      </c>
      <c r="H5" s="381"/>
      <c r="I5" s="381"/>
      <c r="J5" s="381" t="s">
        <v>52</v>
      </c>
      <c r="K5" s="381"/>
      <c r="L5" s="381"/>
      <c r="M5" s="377"/>
    </row>
    <row r="6" customFormat="false" ht="60" hidden="false" customHeight="true" outlineLevel="0" collapsed="false">
      <c r="A6" s="382" t="s">
        <v>53</v>
      </c>
      <c r="B6" s="382" t="s">
        <v>110</v>
      </c>
      <c r="C6" s="383" t="s">
        <v>7</v>
      </c>
      <c r="D6" s="384" t="s">
        <v>8</v>
      </c>
      <c r="E6" s="384" t="s">
        <v>9</v>
      </c>
      <c r="F6" s="383" t="s">
        <v>10</v>
      </c>
      <c r="G6" s="385" t="s">
        <v>11</v>
      </c>
      <c r="H6" s="386" t="s">
        <v>136</v>
      </c>
      <c r="I6" s="387" t="s">
        <v>9</v>
      </c>
      <c r="J6" s="388" t="s">
        <v>10</v>
      </c>
      <c r="K6" s="388" t="s">
        <v>56</v>
      </c>
      <c r="L6" s="388" t="s">
        <v>57</v>
      </c>
      <c r="M6" s="377"/>
    </row>
    <row r="7" customFormat="false" ht="18" hidden="false" customHeight="true" outlineLevel="0" collapsed="false">
      <c r="A7" s="389" t="s">
        <v>137</v>
      </c>
      <c r="B7" s="390" t="s">
        <v>138</v>
      </c>
      <c r="C7" s="391" t="n">
        <v>1.402</v>
      </c>
      <c r="D7" s="391" t="n">
        <v>0</v>
      </c>
      <c r="E7" s="391" t="n">
        <f aca="false">C7+D7</f>
        <v>1.402</v>
      </c>
      <c r="F7" s="391" t="n">
        <v>0.046</v>
      </c>
      <c r="G7" s="392" t="n">
        <f aca="false">E7-F7</f>
        <v>1.356</v>
      </c>
      <c r="H7" s="393" t="n">
        <f aca="false">0.577</f>
        <v>0.577</v>
      </c>
      <c r="I7" s="394" t="n">
        <f aca="false">G7+H7</f>
        <v>1.933</v>
      </c>
      <c r="J7" s="395" t="n">
        <v>0</v>
      </c>
      <c r="K7" s="394" t="n">
        <f aca="false">I7-J7</f>
        <v>1.933</v>
      </c>
      <c r="L7" s="396" t="n">
        <f aca="false">J7/I7</f>
        <v>0</v>
      </c>
      <c r="M7" s="377"/>
    </row>
    <row r="8" customFormat="false" ht="15.75" hidden="false" customHeight="true" outlineLevel="0" collapsed="false">
      <c r="A8" s="389"/>
      <c r="B8" s="397" t="s">
        <v>139</v>
      </c>
      <c r="C8" s="398" t="n">
        <v>377.617</v>
      </c>
      <c r="D8" s="398" t="n">
        <v>0</v>
      </c>
      <c r="E8" s="398" t="n">
        <f aca="false">C8+D8</f>
        <v>377.617</v>
      </c>
      <c r="F8" s="398" t="n">
        <v>12.477</v>
      </c>
      <c r="G8" s="399" t="n">
        <f aca="false">E8-F8</f>
        <v>365.14</v>
      </c>
      <c r="H8" s="400" t="n">
        <f aca="false">6.73-125.472-0.577</f>
        <v>-119.319</v>
      </c>
      <c r="I8" s="401" t="n">
        <f aca="false">G8+H8</f>
        <v>245.821</v>
      </c>
      <c r="J8" s="402" t="n">
        <v>279.211</v>
      </c>
      <c r="K8" s="403" t="n">
        <f aca="false">I8-J8</f>
        <v>-33.39</v>
      </c>
      <c r="L8" s="404" t="n">
        <f aca="false">J8/I8</f>
        <v>1.13583054336285</v>
      </c>
      <c r="M8" s="377"/>
    </row>
    <row r="9" customFormat="false" ht="15.75" hidden="false" customHeight="true" outlineLevel="0" collapsed="false">
      <c r="A9" s="389"/>
      <c r="B9" s="397" t="s">
        <v>140</v>
      </c>
      <c r="C9" s="398" t="n">
        <v>32.828</v>
      </c>
      <c r="D9" s="398" t="n">
        <v>0</v>
      </c>
      <c r="E9" s="398" t="n">
        <f aca="false">C9+D9</f>
        <v>32.828</v>
      </c>
      <c r="F9" s="398" t="n">
        <v>30.106</v>
      </c>
      <c r="G9" s="399" t="n">
        <f aca="false">E9-F9</f>
        <v>2.722</v>
      </c>
      <c r="H9" s="405" t="n">
        <v>0</v>
      </c>
      <c r="I9" s="401" t="n">
        <f aca="false">G9+H9</f>
        <v>2.722</v>
      </c>
      <c r="J9" s="402" t="n">
        <v>0</v>
      </c>
      <c r="K9" s="401" t="n">
        <f aca="false">I9-J9</f>
        <v>2.722</v>
      </c>
      <c r="L9" s="406" t="n">
        <f aca="false">J9/I9</f>
        <v>0</v>
      </c>
      <c r="M9" s="377"/>
    </row>
    <row r="10" customFormat="false" ht="15.75" hidden="false" customHeight="true" outlineLevel="0" collapsed="false">
      <c r="A10" s="389"/>
      <c r="B10" s="397" t="s">
        <v>141</v>
      </c>
      <c r="C10" s="398" t="n">
        <v>19.817</v>
      </c>
      <c r="D10" s="398" t="n">
        <v>0</v>
      </c>
      <c r="E10" s="398" t="n">
        <f aca="false">C10+D10</f>
        <v>19.817</v>
      </c>
      <c r="F10" s="398" t="n">
        <v>0.655</v>
      </c>
      <c r="G10" s="399" t="n">
        <f aca="false">E10-F10</f>
        <v>19.162</v>
      </c>
      <c r="H10" s="407" t="n">
        <f aca="false">15+125.472-20</f>
        <v>120.472</v>
      </c>
      <c r="I10" s="401" t="n">
        <f aca="false">G10+H10</f>
        <v>139.634</v>
      </c>
      <c r="J10" s="402" t="n">
        <v>71.477</v>
      </c>
      <c r="K10" s="408" t="n">
        <f aca="false">I10-J10</f>
        <v>68.157</v>
      </c>
      <c r="L10" s="406" t="n">
        <f aca="false">J10/I10</f>
        <v>0.511888222066259</v>
      </c>
      <c r="M10" s="377"/>
    </row>
    <row r="11" customFormat="false" ht="15.75" hidden="false" customHeight="true" outlineLevel="0" collapsed="false">
      <c r="A11" s="389"/>
      <c r="B11" s="409" t="s">
        <v>101</v>
      </c>
      <c r="C11" s="410" t="n">
        <v>110.937</v>
      </c>
      <c r="D11" s="410" t="n">
        <v>0</v>
      </c>
      <c r="E11" s="410" t="n">
        <f aca="false">C11+D11</f>
        <v>110.937</v>
      </c>
      <c r="F11" s="410" t="n">
        <v>3.665</v>
      </c>
      <c r="G11" s="411" t="n">
        <f aca="false">E11-F11</f>
        <v>107.272</v>
      </c>
      <c r="H11" s="412" t="n">
        <f aca="false">-15-6.73+20</f>
        <v>-1.73</v>
      </c>
      <c r="I11" s="413" t="n">
        <f aca="false">G11+H11</f>
        <v>105.542</v>
      </c>
      <c r="J11" s="414" t="n">
        <v>104.692</v>
      </c>
      <c r="K11" s="415" t="n">
        <f aca="false">I11-J11</f>
        <v>0.849999999999994</v>
      </c>
      <c r="L11" s="416" t="n">
        <f aca="false">J11/I11</f>
        <v>0.991946334160808</v>
      </c>
      <c r="M11" s="377"/>
    </row>
    <row r="12" customFormat="false" ht="15" hidden="false" customHeight="false" outlineLevel="0" collapsed="false">
      <c r="A12" s="185"/>
      <c r="B12" s="185"/>
      <c r="C12" s="185"/>
      <c r="D12" s="417"/>
      <c r="E12" s="418"/>
      <c r="F12" s="185"/>
      <c r="G12" s="185"/>
      <c r="H12" s="419"/>
      <c r="I12" s="420"/>
      <c r="J12" s="185"/>
      <c r="K12" s="420"/>
      <c r="L12" s="421"/>
      <c r="M12" s="377"/>
    </row>
    <row r="13" customFormat="false" ht="18" hidden="false" customHeight="true" outlineLevel="0" collapsed="false">
      <c r="A13" s="389" t="s">
        <v>142</v>
      </c>
      <c r="B13" s="422" t="s">
        <v>143</v>
      </c>
      <c r="C13" s="423" t="n">
        <v>56.698</v>
      </c>
      <c r="D13" s="423" t="n">
        <v>0</v>
      </c>
      <c r="E13" s="423" t="n">
        <f aca="false">C13+D13</f>
        <v>56.698</v>
      </c>
      <c r="F13" s="423" t="n">
        <v>30.388</v>
      </c>
      <c r="G13" s="392" t="n">
        <f aca="false">E13-F13</f>
        <v>26.31</v>
      </c>
      <c r="H13" s="424" t="n">
        <f aca="false">-11.294-1.88</f>
        <v>-13.174</v>
      </c>
      <c r="I13" s="394" t="n">
        <f aca="false">G13+H13</f>
        <v>13.136</v>
      </c>
      <c r="J13" s="394" t="n">
        <v>11.915</v>
      </c>
      <c r="K13" s="394" t="n">
        <f aca="false">I13-J13</f>
        <v>1.221</v>
      </c>
      <c r="L13" s="396" t="n">
        <f aca="false">J13/I13</f>
        <v>0.907049330085262</v>
      </c>
      <c r="M13" s="377"/>
    </row>
    <row r="14" customFormat="false" ht="17.25" hidden="false" customHeight="true" outlineLevel="0" collapsed="false">
      <c r="A14" s="389"/>
      <c r="B14" s="425" t="s">
        <v>141</v>
      </c>
      <c r="C14" s="426" t="n">
        <v>0.169</v>
      </c>
      <c r="D14" s="426" t="n">
        <v>0</v>
      </c>
      <c r="E14" s="426" t="n">
        <f aca="false">C14+D14</f>
        <v>0.169</v>
      </c>
      <c r="F14" s="426" t="n">
        <v>0.091</v>
      </c>
      <c r="G14" s="399" t="n">
        <f aca="false">E14-F14</f>
        <v>0.078</v>
      </c>
      <c r="H14" s="405" t="n">
        <v>0</v>
      </c>
      <c r="I14" s="401" t="n">
        <f aca="false">G14+H14</f>
        <v>0.078</v>
      </c>
      <c r="J14" s="402" t="n">
        <v>0</v>
      </c>
      <c r="K14" s="401" t="n">
        <f aca="false">I14-J14</f>
        <v>0.078</v>
      </c>
      <c r="L14" s="406" t="n">
        <f aca="false">J14/I14</f>
        <v>0</v>
      </c>
      <c r="M14" s="377"/>
    </row>
    <row r="15" customFormat="false" ht="17.25" hidden="false" customHeight="true" outlineLevel="0" collapsed="false">
      <c r="A15" s="389"/>
      <c r="B15" s="425" t="s">
        <v>139</v>
      </c>
      <c r="C15" s="426" t="n">
        <v>194.139</v>
      </c>
      <c r="D15" s="426" t="n">
        <v>0</v>
      </c>
      <c r="E15" s="426" t="n">
        <f aca="false">C15+D15</f>
        <v>194.139</v>
      </c>
      <c r="F15" s="426" t="n">
        <v>104.052</v>
      </c>
      <c r="G15" s="399" t="n">
        <f aca="false">E15-F15</f>
        <v>90.087</v>
      </c>
      <c r="H15" s="407" t="n">
        <f aca="false">11.924</f>
        <v>11.924</v>
      </c>
      <c r="I15" s="401" t="n">
        <f aca="false">G15+H15</f>
        <v>102.011</v>
      </c>
      <c r="J15" s="402" t="n">
        <v>83.258</v>
      </c>
      <c r="K15" s="401" t="n">
        <f aca="false">I15-J15</f>
        <v>18.753</v>
      </c>
      <c r="L15" s="406" t="n">
        <f aca="false">J15/I15</f>
        <v>0.816166883963494</v>
      </c>
      <c r="M15" s="377"/>
    </row>
    <row r="16" customFormat="false" ht="17.25" hidden="false" customHeight="true" outlineLevel="0" collapsed="false">
      <c r="A16" s="389"/>
      <c r="B16" s="425" t="s">
        <v>140</v>
      </c>
      <c r="C16" s="426" t="n">
        <v>75.411</v>
      </c>
      <c r="D16" s="426" t="n">
        <v>0</v>
      </c>
      <c r="E16" s="426" t="n">
        <f aca="false">C16+D16</f>
        <v>75.411</v>
      </c>
      <c r="F16" s="426" t="n">
        <v>23.996</v>
      </c>
      <c r="G16" s="399" t="n">
        <f aca="false">E16-F16</f>
        <v>51.415</v>
      </c>
      <c r="H16" s="405" t="n">
        <v>0</v>
      </c>
      <c r="I16" s="401" t="n">
        <f aca="false">G16+H16</f>
        <v>51.415</v>
      </c>
      <c r="J16" s="402" t="n">
        <v>0</v>
      </c>
      <c r="K16" s="401" t="n">
        <f aca="false">I16-J16</f>
        <v>51.415</v>
      </c>
      <c r="L16" s="406" t="n">
        <f aca="false">J16/I16</f>
        <v>0</v>
      </c>
      <c r="M16" s="377"/>
    </row>
    <row r="17" customFormat="false" ht="17.25" hidden="false" customHeight="true" outlineLevel="0" collapsed="false">
      <c r="A17" s="389"/>
      <c r="B17" s="427" t="s">
        <v>101</v>
      </c>
      <c r="C17" s="428" t="n">
        <v>0.083</v>
      </c>
      <c r="D17" s="428" t="n">
        <v>0</v>
      </c>
      <c r="E17" s="428" t="n">
        <f aca="false">C17+D17</f>
        <v>0.083</v>
      </c>
      <c r="F17" s="428" t="n">
        <v>0.044</v>
      </c>
      <c r="G17" s="411" t="n">
        <f aca="false">E17-F17</f>
        <v>0.039</v>
      </c>
      <c r="H17" s="429" t="n">
        <f aca="false">1.88</f>
        <v>1.88</v>
      </c>
      <c r="I17" s="413" t="n">
        <f aca="false">G17+H17</f>
        <v>1.919</v>
      </c>
      <c r="J17" s="414" t="n">
        <v>0</v>
      </c>
      <c r="K17" s="413" t="n">
        <f aca="false">I17-J17</f>
        <v>1.919</v>
      </c>
      <c r="L17" s="430" t="n">
        <f aca="false">J17/I17</f>
        <v>0</v>
      </c>
      <c r="M17" s="377"/>
    </row>
    <row r="18" customFormat="false" ht="15" hidden="false" customHeight="false" outlineLevel="0" collapsed="false">
      <c r="A18" s="185"/>
      <c r="B18" s="185"/>
      <c r="C18" s="417"/>
      <c r="D18" s="417"/>
      <c r="E18" s="418"/>
      <c r="F18" s="185"/>
      <c r="G18" s="185"/>
      <c r="H18" s="419"/>
      <c r="I18" s="420"/>
      <c r="J18" s="185"/>
      <c r="K18" s="420"/>
      <c r="L18" s="421"/>
      <c r="M18" s="377"/>
    </row>
    <row r="19" customFormat="false" ht="15.75" hidden="false" customHeight="true" outlineLevel="0" collapsed="false">
      <c r="A19" s="431" t="s">
        <v>144</v>
      </c>
      <c r="B19" s="432" t="s">
        <v>138</v>
      </c>
      <c r="C19" s="433" t="n">
        <v>643.45</v>
      </c>
      <c r="D19" s="434" t="n">
        <v>411.739</v>
      </c>
      <c r="E19" s="433" t="n">
        <f aca="false">C19+D19</f>
        <v>1055.189</v>
      </c>
      <c r="F19" s="433" t="n">
        <v>680.057</v>
      </c>
      <c r="G19" s="392" t="n">
        <f aca="false">E19-F19</f>
        <v>375.132</v>
      </c>
      <c r="H19" s="393" t="n">
        <f aca="false">190+230.941+102.503+302.402+6-14.779</f>
        <v>817.067</v>
      </c>
      <c r="I19" s="395" t="n">
        <f aca="false">G19+H19</f>
        <v>1192.199</v>
      </c>
      <c r="J19" s="394" t="n">
        <v>1188.354</v>
      </c>
      <c r="K19" s="394" t="n">
        <f aca="false">I19-J19</f>
        <v>3.84500000000003</v>
      </c>
      <c r="L19" s="396" t="n">
        <f aca="false">J19/I19</f>
        <v>0.996774867283063</v>
      </c>
      <c r="M19" s="377"/>
    </row>
    <row r="20" customFormat="false" ht="15.75" hidden="false" customHeight="true" outlineLevel="0" collapsed="false">
      <c r="A20" s="431"/>
      <c r="B20" s="435" t="s">
        <v>139</v>
      </c>
      <c r="C20" s="436" t="n">
        <v>2151.985</v>
      </c>
      <c r="D20" s="437" t="n">
        <v>1377.041</v>
      </c>
      <c r="E20" s="436" t="n">
        <f aca="false">C20+D20</f>
        <v>3529.026</v>
      </c>
      <c r="F20" s="436" t="n">
        <v>2274.415</v>
      </c>
      <c r="G20" s="399" t="n">
        <f aca="false">E20-F20</f>
        <v>1254.611</v>
      </c>
      <c r="H20" s="407" t="n">
        <f aca="false">661+63.033+173.207-447.227-302.402+216.886-76</f>
        <v>288.497</v>
      </c>
      <c r="I20" s="401" t="n">
        <f aca="false">G20+H20</f>
        <v>1543.108</v>
      </c>
      <c r="J20" s="401" t="n">
        <v>1136.126</v>
      </c>
      <c r="K20" s="401" t="n">
        <f aca="false">I20-J20</f>
        <v>406.982</v>
      </c>
      <c r="L20" s="406" t="n">
        <f aca="false">J20/I20</f>
        <v>0.736258252824819</v>
      </c>
      <c r="M20" s="377"/>
    </row>
    <row r="21" customFormat="false" ht="15.75" hidden="false" customHeight="true" outlineLevel="0" collapsed="false">
      <c r="A21" s="431"/>
      <c r="B21" s="435" t="s">
        <v>145</v>
      </c>
      <c r="C21" s="436" t="n">
        <v>150.089</v>
      </c>
      <c r="D21" s="436" t="n">
        <v>0</v>
      </c>
      <c r="E21" s="436" t="n">
        <f aca="false">C21+D21</f>
        <v>150.089</v>
      </c>
      <c r="F21" s="436" t="n">
        <v>147.669</v>
      </c>
      <c r="G21" s="399" t="n">
        <f aca="false">E21-F21</f>
        <v>2.41999999999999</v>
      </c>
      <c r="H21" s="405" t="n">
        <v>0</v>
      </c>
      <c r="I21" s="401" t="n">
        <f aca="false">G21+H21</f>
        <v>2.41999999999999</v>
      </c>
      <c r="J21" s="401" t="n">
        <v>0</v>
      </c>
      <c r="K21" s="401" t="n">
        <f aca="false">I21-J21</f>
        <v>2.41999999999999</v>
      </c>
      <c r="L21" s="406" t="n">
        <f aca="false">J21/I21</f>
        <v>0</v>
      </c>
      <c r="M21" s="377"/>
    </row>
    <row r="22" customFormat="false" ht="15.75" hidden="false" customHeight="true" outlineLevel="0" collapsed="false">
      <c r="A22" s="431"/>
      <c r="B22" s="435" t="s">
        <v>120</v>
      </c>
      <c r="C22" s="436" t="n">
        <v>130.32</v>
      </c>
      <c r="D22" s="437" t="n">
        <v>83.391</v>
      </c>
      <c r="E22" s="436" t="n">
        <f aca="false">C22+D22</f>
        <v>213.711</v>
      </c>
      <c r="F22" s="436" t="n">
        <v>137.734</v>
      </c>
      <c r="G22" s="399" t="n">
        <f aca="false">E22-F22</f>
        <v>75.977</v>
      </c>
      <c r="H22" s="407" t="n">
        <f aca="false">296.276+200+162+115+156.344+68.104+44.387-6+100</f>
        <v>1136.111</v>
      </c>
      <c r="I22" s="401" t="n">
        <f aca="false">G22+H22</f>
        <v>1212.088</v>
      </c>
      <c r="J22" s="401" t="n">
        <v>1193.248</v>
      </c>
      <c r="K22" s="408" t="n">
        <f aca="false">I22-J22</f>
        <v>18.8400000000001</v>
      </c>
      <c r="L22" s="438" t="n">
        <f aca="false">J22/I22</f>
        <v>0.984456574110131</v>
      </c>
      <c r="M22" s="377"/>
    </row>
    <row r="23" customFormat="false" ht="15.75" hidden="false" customHeight="true" outlineLevel="0" collapsed="false">
      <c r="A23" s="431"/>
      <c r="B23" s="439" t="s">
        <v>146</v>
      </c>
      <c r="C23" s="440" t="n">
        <v>1540.157</v>
      </c>
      <c r="D23" s="441" t="n">
        <v>985.536</v>
      </c>
      <c r="E23" s="440" t="n">
        <f aca="false">C23+D23</f>
        <v>2525.693</v>
      </c>
      <c r="F23" s="440" t="n">
        <v>1627.779</v>
      </c>
      <c r="G23" s="411" t="n">
        <f aca="false">E23-F23</f>
        <v>897.914</v>
      </c>
      <c r="H23" s="429" t="n">
        <f aca="false">564.832-162-102.503-115+447.227-216.886+292.505+78.399+110+100.464+90.307+48.041+1.959-100</f>
        <v>1037.345</v>
      </c>
      <c r="I23" s="413" t="n">
        <f aca="false">G23+H23</f>
        <v>1935.259</v>
      </c>
      <c r="J23" s="413" t="n">
        <v>1664.65</v>
      </c>
      <c r="K23" s="415" t="n">
        <f aca="false">I23-J23</f>
        <v>270.609</v>
      </c>
      <c r="L23" s="416" t="n">
        <f aca="false">J23/I23</f>
        <v>0.860169103980398</v>
      </c>
      <c r="M23" s="377"/>
    </row>
    <row r="24" customFormat="false" ht="15" hidden="false" customHeight="false" outlineLevel="0" collapsed="false">
      <c r="A24" s="442"/>
      <c r="B24" s="185"/>
      <c r="C24" s="185"/>
      <c r="D24" s="417"/>
      <c r="E24" s="418"/>
      <c r="F24" s="185"/>
      <c r="G24" s="185"/>
      <c r="H24" s="419"/>
      <c r="I24" s="420"/>
      <c r="J24" s="185"/>
      <c r="K24" s="420"/>
      <c r="L24" s="421"/>
      <c r="M24" s="377"/>
    </row>
    <row r="25" customFormat="false" ht="15.75" hidden="false" customHeight="true" outlineLevel="0" collapsed="false">
      <c r="A25" s="443" t="s">
        <v>147</v>
      </c>
      <c r="B25" s="444" t="s">
        <v>138</v>
      </c>
      <c r="C25" s="445" t="n">
        <v>935.351</v>
      </c>
      <c r="D25" s="446" t="n">
        <v>96.099</v>
      </c>
      <c r="E25" s="445" t="n">
        <f aca="false">C25+D25</f>
        <v>1031.45</v>
      </c>
      <c r="F25" s="445" t="n">
        <v>583.115</v>
      </c>
      <c r="G25" s="392" t="n">
        <f aca="false">E25-F25</f>
        <v>448.335</v>
      </c>
      <c r="H25" s="424" t="n">
        <f aca="false">-131.313-48.041+14.779</f>
        <v>-164.575</v>
      </c>
      <c r="I25" s="394" t="n">
        <f aca="false">G25+H25</f>
        <v>283.76</v>
      </c>
      <c r="J25" s="394" t="n">
        <v>283.091</v>
      </c>
      <c r="K25" s="394" t="n">
        <f aca="false">I25-J25</f>
        <v>0.66900000000004</v>
      </c>
      <c r="L25" s="396" t="n">
        <f aca="false">J25/I25</f>
        <v>0.997642373837045</v>
      </c>
      <c r="M25" s="377"/>
    </row>
    <row r="26" customFormat="false" ht="15.75" hidden="false" customHeight="true" outlineLevel="0" collapsed="false">
      <c r="A26" s="443"/>
      <c r="B26" s="447" t="s">
        <v>120</v>
      </c>
      <c r="C26" s="448" t="n">
        <v>1.806</v>
      </c>
      <c r="D26" s="449" t="n">
        <v>0.185</v>
      </c>
      <c r="E26" s="448" t="n">
        <f aca="false">C26+D26</f>
        <v>1.991</v>
      </c>
      <c r="F26" s="448" t="n">
        <v>1.126</v>
      </c>
      <c r="G26" s="399" t="n">
        <f aca="false">E26-F26</f>
        <v>0.865</v>
      </c>
      <c r="H26" s="405" t="n">
        <v>0</v>
      </c>
      <c r="I26" s="401" t="n">
        <f aca="false">G26+H26</f>
        <v>0.865</v>
      </c>
      <c r="J26" s="401" t="n">
        <v>0</v>
      </c>
      <c r="K26" s="401" t="n">
        <f aca="false">I26-J26</f>
        <v>0.865</v>
      </c>
      <c r="L26" s="406" t="n">
        <f aca="false">J26/I26</f>
        <v>0</v>
      </c>
      <c r="M26" s="377"/>
    </row>
    <row r="27" customFormat="false" ht="15.75" hidden="false" customHeight="true" outlineLevel="0" collapsed="false">
      <c r="A27" s="443"/>
      <c r="B27" s="447" t="s">
        <v>148</v>
      </c>
      <c r="C27" s="448" t="n">
        <v>1740.736</v>
      </c>
      <c r="D27" s="449" t="n">
        <v>178.678</v>
      </c>
      <c r="E27" s="448" t="n">
        <f aca="false">C27+D27</f>
        <v>1919.414</v>
      </c>
      <c r="F27" s="448" t="n">
        <v>1085.207</v>
      </c>
      <c r="G27" s="399" t="n">
        <f aca="false">E27-F27</f>
        <v>834.207</v>
      </c>
      <c r="H27" s="400" t="n">
        <f aca="false">-661+277.219-173.207+131.313+76.948+76</f>
        <v>-272.727</v>
      </c>
      <c r="I27" s="402" t="n">
        <f aca="false">G27+H27</f>
        <v>561.48</v>
      </c>
      <c r="J27" s="401" t="n">
        <v>597.762</v>
      </c>
      <c r="K27" s="403" t="n">
        <f aca="false">I27-J27</f>
        <v>-36.2819999999999</v>
      </c>
      <c r="L27" s="404" t="n">
        <f aca="false">J27/I27</f>
        <v>1.06461850822825</v>
      </c>
      <c r="M27" s="377"/>
      <c r="N27" s="450"/>
    </row>
    <row r="28" customFormat="false" ht="15.75" hidden="false" customHeight="true" outlineLevel="0" collapsed="false">
      <c r="A28" s="443"/>
      <c r="B28" s="447" t="s">
        <v>145</v>
      </c>
      <c r="C28" s="448" t="n">
        <v>526.642</v>
      </c>
      <c r="D28" s="448" t="n">
        <v>0</v>
      </c>
      <c r="E28" s="448" t="n">
        <f aca="false">C28+D28</f>
        <v>526.642</v>
      </c>
      <c r="F28" s="448" t="n">
        <v>394.007</v>
      </c>
      <c r="G28" s="399" t="n">
        <f aca="false">E28-F28</f>
        <v>132.635</v>
      </c>
      <c r="H28" s="405" t="n">
        <v>0</v>
      </c>
      <c r="I28" s="401" t="n">
        <f aca="false">G28+H28</f>
        <v>132.635</v>
      </c>
      <c r="J28" s="401" t="n">
        <v>0</v>
      </c>
      <c r="K28" s="401" t="n">
        <f aca="false">I28-J28</f>
        <v>132.635</v>
      </c>
      <c r="L28" s="406" t="n">
        <f aca="false">J28/I28</f>
        <v>0</v>
      </c>
      <c r="M28" s="377"/>
    </row>
    <row r="29" customFormat="false" ht="15.75" hidden="false" customHeight="true" outlineLevel="0" collapsed="false">
      <c r="A29" s="443"/>
      <c r="B29" s="451" t="s">
        <v>146</v>
      </c>
      <c r="C29" s="452" t="n">
        <v>13.464</v>
      </c>
      <c r="D29" s="453" t="n">
        <v>1.382</v>
      </c>
      <c r="E29" s="452" t="n">
        <f aca="false">C29+D29</f>
        <v>14.846</v>
      </c>
      <c r="F29" s="452" t="n">
        <v>8.394</v>
      </c>
      <c r="G29" s="411" t="n">
        <f aca="false">E29-F29</f>
        <v>6.452</v>
      </c>
      <c r="H29" s="412" t="n">
        <f aca="false">48.041-48.041-1.959</f>
        <v>-1.959</v>
      </c>
      <c r="I29" s="413" t="n">
        <f aca="false">G29+H29</f>
        <v>4.493</v>
      </c>
      <c r="J29" s="413" t="n">
        <v>0</v>
      </c>
      <c r="K29" s="413" t="n">
        <f aca="false">I29-J29</f>
        <v>4.493</v>
      </c>
      <c r="L29" s="430" t="n">
        <f aca="false">J29/I29</f>
        <v>0</v>
      </c>
      <c r="M29" s="377"/>
    </row>
    <row r="30" customFormat="false" ht="15" hidden="false" customHeight="false" outlineLevel="0" collapsed="false">
      <c r="A30" s="185"/>
      <c r="B30" s="185"/>
      <c r="C30" s="185"/>
      <c r="D30" s="417"/>
      <c r="E30" s="418"/>
      <c r="F30" s="185"/>
      <c r="G30" s="185"/>
      <c r="H30" s="419"/>
      <c r="I30" s="420"/>
      <c r="J30" s="185"/>
      <c r="K30" s="420"/>
      <c r="L30" s="421"/>
      <c r="M30" s="377"/>
    </row>
    <row r="31" customFormat="false" ht="16.5" hidden="false" customHeight="true" outlineLevel="0" collapsed="false">
      <c r="A31" s="454" t="s">
        <v>149</v>
      </c>
      <c r="B31" s="455" t="s">
        <v>138</v>
      </c>
      <c r="C31" s="456" t="n">
        <v>24829.297</v>
      </c>
      <c r="D31" s="457" t="n">
        <v>0</v>
      </c>
      <c r="E31" s="456" t="n">
        <f aca="false">C31+D31</f>
        <v>24829.297</v>
      </c>
      <c r="F31" s="456" t="n">
        <v>950.704</v>
      </c>
      <c r="G31" s="392" t="n">
        <f aca="false">E31-F31</f>
        <v>23878.593</v>
      </c>
      <c r="H31" s="424" t="n">
        <f aca="false">-985.721-2129.26-1500</f>
        <v>-4614.981</v>
      </c>
      <c r="I31" s="394" t="n">
        <f aca="false">G31+H31</f>
        <v>19263.612</v>
      </c>
      <c r="J31" s="394" t="n">
        <v>12671.772</v>
      </c>
      <c r="K31" s="394" t="n">
        <f aca="false">I31-J31</f>
        <v>6591.84</v>
      </c>
      <c r="L31" s="458" t="n">
        <f aca="false">J31/I31</f>
        <v>0.657808722476346</v>
      </c>
      <c r="M31" s="377"/>
    </row>
    <row r="32" customFormat="false" ht="15.75" hidden="false" customHeight="true" outlineLevel="0" collapsed="false">
      <c r="A32" s="454"/>
      <c r="B32" s="459" t="s">
        <v>120</v>
      </c>
      <c r="C32" s="460" t="n">
        <v>0.731</v>
      </c>
      <c r="D32" s="460" t="n">
        <v>0</v>
      </c>
      <c r="E32" s="460" t="n">
        <f aca="false">C32+D32</f>
        <v>0.731</v>
      </c>
      <c r="F32" s="460" t="n">
        <v>0.028</v>
      </c>
      <c r="G32" s="399" t="n">
        <f aca="false">E32-F32</f>
        <v>0.703</v>
      </c>
      <c r="H32" s="407" t="n">
        <f aca="false">1500</f>
        <v>1500</v>
      </c>
      <c r="I32" s="401" t="n">
        <f aca="false">G32+H32</f>
        <v>1500.703</v>
      </c>
      <c r="J32" s="408" t="n">
        <v>605.015</v>
      </c>
      <c r="K32" s="408" t="n">
        <f aca="false">I32-J32</f>
        <v>895.688</v>
      </c>
      <c r="L32" s="406" t="n">
        <f aca="false">J32/I32</f>
        <v>0.403154388310012</v>
      </c>
      <c r="M32" s="377"/>
    </row>
    <row r="33" customFormat="false" ht="15.75" hidden="false" customHeight="true" outlineLevel="0" collapsed="false">
      <c r="A33" s="454"/>
      <c r="B33" s="459" t="s">
        <v>139</v>
      </c>
      <c r="C33" s="460" t="n">
        <v>25.474</v>
      </c>
      <c r="D33" s="460" t="n">
        <v>0</v>
      </c>
      <c r="E33" s="460" t="n">
        <f aca="false">C33+D33</f>
        <v>25.474</v>
      </c>
      <c r="F33" s="460" t="n">
        <v>0.975</v>
      </c>
      <c r="G33" s="399" t="n">
        <f aca="false">E33-F33</f>
        <v>24.499</v>
      </c>
      <c r="H33" s="407" t="n">
        <f aca="false">2129.26</f>
        <v>2129.26</v>
      </c>
      <c r="I33" s="401" t="n">
        <f aca="false">G33+H33</f>
        <v>2153.759</v>
      </c>
      <c r="J33" s="401" t="n">
        <v>296.287</v>
      </c>
      <c r="K33" s="408" t="n">
        <f aca="false">I33-J33</f>
        <v>1857.472</v>
      </c>
      <c r="L33" s="406" t="n">
        <f aca="false">J33/I33</f>
        <v>0.137567387994664</v>
      </c>
      <c r="M33" s="377"/>
    </row>
    <row r="34" customFormat="false" ht="15.75" hidden="false" customHeight="true" outlineLevel="0" collapsed="false">
      <c r="A34" s="454"/>
      <c r="B34" s="461" t="s">
        <v>146</v>
      </c>
      <c r="C34" s="462" t="n">
        <v>1.998</v>
      </c>
      <c r="D34" s="462" t="n">
        <v>0</v>
      </c>
      <c r="E34" s="462" t="n">
        <f aca="false">C34+D34</f>
        <v>1.998</v>
      </c>
      <c r="F34" s="462" t="n">
        <v>0.077</v>
      </c>
      <c r="G34" s="411" t="n">
        <f aca="false">E34-F34</f>
        <v>1.921</v>
      </c>
      <c r="H34" s="429" t="n">
        <f aca="false">985.721</f>
        <v>985.721</v>
      </c>
      <c r="I34" s="413" t="n">
        <f aca="false">G34+H34</f>
        <v>987.642</v>
      </c>
      <c r="J34" s="413" t="n">
        <v>778.468</v>
      </c>
      <c r="K34" s="415" t="n">
        <f aca="false">I34-J34</f>
        <v>209.174</v>
      </c>
      <c r="L34" s="430" t="n">
        <f aca="false">J34/I34</f>
        <v>0.788208682903319</v>
      </c>
      <c r="M34" s="377"/>
    </row>
    <row r="35" customFormat="false" ht="15" hidden="false" customHeight="false" outlineLevel="0" collapsed="false">
      <c r="A35" s="185"/>
      <c r="B35" s="185"/>
      <c r="C35" s="185"/>
      <c r="D35" s="417"/>
      <c r="E35" s="418"/>
      <c r="F35" s="185"/>
      <c r="G35" s="185"/>
      <c r="H35" s="419"/>
      <c r="I35" s="420"/>
      <c r="J35" s="185"/>
      <c r="K35" s="420"/>
      <c r="L35" s="421"/>
      <c r="M35" s="377"/>
    </row>
    <row r="36" customFormat="false" ht="15" hidden="false" customHeight="true" outlineLevel="0" collapsed="false">
      <c r="A36" s="463" t="s">
        <v>150</v>
      </c>
      <c r="B36" s="464" t="s">
        <v>73</v>
      </c>
      <c r="C36" s="465" t="n">
        <v>4430.669</v>
      </c>
      <c r="D36" s="465" t="n">
        <v>0</v>
      </c>
      <c r="E36" s="465" t="n">
        <f aca="false">C36+D36</f>
        <v>4430.669</v>
      </c>
      <c r="F36" s="465" t="n">
        <v>1831.372</v>
      </c>
      <c r="G36" s="392" t="n">
        <f aca="false">E36-F36</f>
        <v>2599.297</v>
      </c>
      <c r="H36" s="424" t="n">
        <f aca="false">-2599.297</f>
        <v>-2599.297</v>
      </c>
      <c r="I36" s="394" t="n">
        <f aca="false">G36+H36</f>
        <v>0</v>
      </c>
      <c r="J36" s="394" t="n">
        <v>0</v>
      </c>
      <c r="K36" s="394" t="n">
        <f aca="false">I36-J36</f>
        <v>0</v>
      </c>
      <c r="L36" s="458" t="e">
        <f aca="false">J36/I36</f>
        <v>#DIV/0!</v>
      </c>
      <c r="M36" s="377"/>
    </row>
    <row r="37" customFormat="false" ht="15" hidden="false" customHeight="true" outlineLevel="0" collapsed="false">
      <c r="A37" s="463"/>
      <c r="B37" s="466" t="s">
        <v>151</v>
      </c>
      <c r="C37" s="467" t="n">
        <v>374.821</v>
      </c>
      <c r="D37" s="468" t="n">
        <v>-134.54</v>
      </c>
      <c r="E37" s="469" t="n">
        <f aca="false">C37+D37</f>
        <v>240.281</v>
      </c>
      <c r="F37" s="467" t="n">
        <v>71.555</v>
      </c>
      <c r="G37" s="470" t="n">
        <f aca="false">E37-F37</f>
        <v>168.726</v>
      </c>
      <c r="H37" s="407" t="n">
        <f aca="false">2559.239-480.671</f>
        <v>2078.568</v>
      </c>
      <c r="I37" s="471" t="n">
        <f aca="false">G37+H37</f>
        <v>2247.294</v>
      </c>
      <c r="J37" s="401" t="n">
        <v>1101.365</v>
      </c>
      <c r="K37" s="472" t="n">
        <f aca="false">I37-J37</f>
        <v>1145.929</v>
      </c>
      <c r="L37" s="438" t="n">
        <f aca="false">J37/I37</f>
        <v>0.490084964406081</v>
      </c>
      <c r="M37" s="377"/>
    </row>
    <row r="38" customFormat="false" ht="15" hidden="false" customHeight="true" outlineLevel="0" collapsed="false">
      <c r="A38" s="463"/>
      <c r="B38" s="473" t="s">
        <v>66</v>
      </c>
      <c r="C38" s="467" t="n">
        <v>7702.93</v>
      </c>
      <c r="D38" s="468" t="n">
        <v>-2764.934</v>
      </c>
      <c r="E38" s="469" t="n">
        <f aca="false">C38+D38</f>
        <v>4937.996</v>
      </c>
      <c r="F38" s="467" t="n">
        <v>1470.522</v>
      </c>
      <c r="G38" s="470" t="n">
        <f aca="false">E38-F38</f>
        <v>3467.474</v>
      </c>
      <c r="H38" s="407" t="n">
        <f aca="false">480.671</f>
        <v>480.671</v>
      </c>
      <c r="I38" s="471" t="n">
        <f aca="false">G38+H38</f>
        <v>3948.145</v>
      </c>
      <c r="J38" s="471" t="n">
        <v>1516.019</v>
      </c>
      <c r="K38" s="471" t="n">
        <f aca="false">I38-J38</f>
        <v>2432.126</v>
      </c>
      <c r="L38" s="474" t="n">
        <f aca="false">J38/I38</f>
        <v>0.383982604488944</v>
      </c>
      <c r="M38" s="377"/>
    </row>
    <row r="39" customFormat="false" ht="15" hidden="false" customHeight="true" outlineLevel="0" collapsed="false">
      <c r="A39" s="463"/>
      <c r="B39" s="466" t="s">
        <v>152</v>
      </c>
      <c r="C39" s="467" t="n">
        <v>23.11</v>
      </c>
      <c r="D39" s="467" t="n">
        <v>0</v>
      </c>
      <c r="E39" s="469" t="n">
        <f aca="false">C39+D39</f>
        <v>23.11</v>
      </c>
      <c r="F39" s="467" t="n">
        <v>0</v>
      </c>
      <c r="G39" s="470" t="n">
        <f aca="false">E39-F39</f>
        <v>23.11</v>
      </c>
      <c r="H39" s="405" t="n">
        <v>0</v>
      </c>
      <c r="I39" s="471" t="n">
        <f aca="false">G39+H39</f>
        <v>23.11</v>
      </c>
      <c r="J39" s="401" t="n">
        <v>0</v>
      </c>
      <c r="K39" s="471" t="n">
        <f aca="false">I39-J39</f>
        <v>23.11</v>
      </c>
      <c r="L39" s="474" t="n">
        <f aca="false">J39/I39</f>
        <v>0</v>
      </c>
      <c r="M39" s="377"/>
    </row>
    <row r="40" customFormat="false" ht="15" hidden="false" customHeight="true" outlineLevel="0" collapsed="false">
      <c r="A40" s="463"/>
      <c r="B40" s="466" t="s">
        <v>75</v>
      </c>
      <c r="C40" s="467" t="n">
        <v>1139.42</v>
      </c>
      <c r="D40" s="467" t="n">
        <v>0</v>
      </c>
      <c r="E40" s="469" t="n">
        <f aca="false">C40+D40</f>
        <v>1139.42</v>
      </c>
      <c r="F40" s="467" t="n">
        <v>0</v>
      </c>
      <c r="G40" s="470" t="n">
        <f aca="false">E40-F40</f>
        <v>1139.42</v>
      </c>
      <c r="H40" s="405" t="n">
        <v>0</v>
      </c>
      <c r="I40" s="471" t="n">
        <f aca="false">G40+H40</f>
        <v>1139.42</v>
      </c>
      <c r="J40" s="471" t="n">
        <v>0</v>
      </c>
      <c r="K40" s="471" t="n">
        <f aca="false">I40-J40</f>
        <v>1139.42</v>
      </c>
      <c r="L40" s="474" t="n">
        <f aca="false">J40/I40</f>
        <v>0</v>
      </c>
      <c r="M40" s="377"/>
    </row>
    <row r="41" customFormat="false" ht="15" hidden="false" customHeight="true" outlineLevel="0" collapsed="false">
      <c r="A41" s="463"/>
      <c r="B41" s="466" t="s">
        <v>76</v>
      </c>
      <c r="C41" s="467" t="n">
        <v>3743.874</v>
      </c>
      <c r="D41" s="475" t="n">
        <v>1209.646</v>
      </c>
      <c r="E41" s="469" t="n">
        <f aca="false">C41+D41</f>
        <v>4953.52</v>
      </c>
      <c r="F41" s="467" t="n">
        <v>3794.373</v>
      </c>
      <c r="G41" s="470" t="n">
        <f aca="false">E41-F41</f>
        <v>1159.147</v>
      </c>
      <c r="H41" s="400" t="n">
        <f aca="false">-450-187.194-522</f>
        <v>-1159.194</v>
      </c>
      <c r="I41" s="471" t="n">
        <f aca="false">G41+H41</f>
        <v>-0.0470000000004802</v>
      </c>
      <c r="J41" s="401" t="n">
        <v>0</v>
      </c>
      <c r="K41" s="476" t="n">
        <f aca="false">I41-J41</f>
        <v>-0.0470000000004802</v>
      </c>
      <c r="L41" s="474" t="n">
        <f aca="false">J41/I41</f>
        <v>-0</v>
      </c>
      <c r="M41" s="377"/>
    </row>
    <row r="42" customFormat="false" ht="15" hidden="false" customHeight="true" outlineLevel="0" collapsed="false">
      <c r="A42" s="463"/>
      <c r="B42" s="473" t="s">
        <v>141</v>
      </c>
      <c r="C42" s="467" t="n">
        <v>129.759</v>
      </c>
      <c r="D42" s="477" t="n">
        <v>41.925</v>
      </c>
      <c r="E42" s="469" t="n">
        <f aca="false">C42+D42</f>
        <v>171.684</v>
      </c>
      <c r="F42" s="467" t="n">
        <v>131.509</v>
      </c>
      <c r="G42" s="470" t="n">
        <f aca="false">E42-F42</f>
        <v>40.175</v>
      </c>
      <c r="H42" s="407" t="n">
        <f aca="false">450</f>
        <v>450</v>
      </c>
      <c r="I42" s="471" t="n">
        <f aca="false">G42+H42</f>
        <v>490.175</v>
      </c>
      <c r="J42" s="471" t="n">
        <v>494.291</v>
      </c>
      <c r="K42" s="476" t="n">
        <f aca="false">I42-J42</f>
        <v>-4.11600000000004</v>
      </c>
      <c r="L42" s="404" t="n">
        <f aca="false">J42/I42</f>
        <v>1.00839700107105</v>
      </c>
      <c r="M42" s="377"/>
    </row>
    <row r="43" customFormat="false" ht="15" hidden="false" customHeight="true" outlineLevel="0" collapsed="false">
      <c r="A43" s="463"/>
      <c r="B43" s="466" t="s">
        <v>153</v>
      </c>
      <c r="C43" s="467" t="n">
        <v>10.365</v>
      </c>
      <c r="D43" s="478" t="n">
        <v>0</v>
      </c>
      <c r="E43" s="469" t="n">
        <f aca="false">C43+D43</f>
        <v>10.365</v>
      </c>
      <c r="F43" s="467" t="n">
        <v>0</v>
      </c>
      <c r="G43" s="470" t="n">
        <f aca="false">E43-F43</f>
        <v>10.365</v>
      </c>
      <c r="H43" s="400" t="n">
        <f aca="false">-10.365</f>
        <v>-10.365</v>
      </c>
      <c r="I43" s="471" t="n">
        <f aca="false">G43+H43</f>
        <v>0</v>
      </c>
      <c r="J43" s="401" t="n">
        <v>0</v>
      </c>
      <c r="K43" s="471" t="n">
        <f aca="false">I43-J43</f>
        <v>0</v>
      </c>
      <c r="L43" s="474" t="e">
        <f aca="false">J43/I43</f>
        <v>#DIV/0!</v>
      </c>
      <c r="M43" s="377"/>
    </row>
    <row r="44" customFormat="false" ht="15" hidden="false" customHeight="true" outlineLevel="0" collapsed="false">
      <c r="A44" s="463"/>
      <c r="B44" s="466" t="s">
        <v>69</v>
      </c>
      <c r="C44" s="467" t="n">
        <v>182.951</v>
      </c>
      <c r="D44" s="478" t="n">
        <v>0</v>
      </c>
      <c r="E44" s="469" t="n">
        <f aca="false">C44+D44</f>
        <v>182.951</v>
      </c>
      <c r="F44" s="467" t="n">
        <v>0</v>
      </c>
      <c r="G44" s="470" t="n">
        <f aca="false">E44-F44</f>
        <v>182.951</v>
      </c>
      <c r="H44" s="405" t="n">
        <v>0</v>
      </c>
      <c r="I44" s="471" t="n">
        <f aca="false">G44+H44</f>
        <v>182.951</v>
      </c>
      <c r="J44" s="471" t="n">
        <v>0</v>
      </c>
      <c r="K44" s="471" t="n">
        <f aca="false">I44-J44</f>
        <v>182.951</v>
      </c>
      <c r="L44" s="474" t="n">
        <f aca="false">J44/I44</f>
        <v>0</v>
      </c>
      <c r="M44" s="377"/>
    </row>
    <row r="45" customFormat="false" ht="15" hidden="false" customHeight="true" outlineLevel="0" collapsed="false">
      <c r="A45" s="463"/>
      <c r="B45" s="473" t="s">
        <v>80</v>
      </c>
      <c r="C45" s="467" t="n">
        <v>324.646</v>
      </c>
      <c r="D45" s="467" t="n">
        <v>0</v>
      </c>
      <c r="E45" s="469" t="n">
        <f aca="false">C45+D45</f>
        <v>324.646</v>
      </c>
      <c r="F45" s="467" t="n">
        <v>134.189</v>
      </c>
      <c r="G45" s="470" t="n">
        <f aca="false">E45-F45</f>
        <v>190.457</v>
      </c>
      <c r="H45" s="407" t="n">
        <f aca="false">187.194+2599.297+143.714+53.733</f>
        <v>2983.938</v>
      </c>
      <c r="I45" s="471" t="n">
        <f aca="false">G45+H45</f>
        <v>3174.395</v>
      </c>
      <c r="J45" s="401" t="n">
        <v>3171.071</v>
      </c>
      <c r="K45" s="472" t="n">
        <f aca="false">I45-J45</f>
        <v>3.32400000000007</v>
      </c>
      <c r="L45" s="438" t="n">
        <f aca="false">J45/I45</f>
        <v>0.998952871334538</v>
      </c>
      <c r="M45" s="377"/>
    </row>
    <row r="46" customFormat="false" ht="15" hidden="false" customHeight="true" outlineLevel="0" collapsed="false">
      <c r="A46" s="463"/>
      <c r="B46" s="473" t="s">
        <v>154</v>
      </c>
      <c r="C46" s="467" t="n">
        <v>1618.495</v>
      </c>
      <c r="D46" s="467" t="n">
        <v>0</v>
      </c>
      <c r="E46" s="469" t="n">
        <f aca="false">C46+D46</f>
        <v>1618.495</v>
      </c>
      <c r="F46" s="467" t="n">
        <v>0</v>
      </c>
      <c r="G46" s="470" t="n">
        <f aca="false">E46-F46</f>
        <v>1618.495</v>
      </c>
      <c r="H46" s="405" t="n">
        <v>0</v>
      </c>
      <c r="I46" s="471" t="n">
        <f aca="false">G46+H46</f>
        <v>1618.495</v>
      </c>
      <c r="J46" s="471" t="n">
        <v>0</v>
      </c>
      <c r="K46" s="471" t="n">
        <f aca="false">I46-J46</f>
        <v>1618.495</v>
      </c>
      <c r="L46" s="474" t="n">
        <f aca="false">J46/I46</f>
        <v>0</v>
      </c>
      <c r="M46" s="377"/>
    </row>
    <row r="47" customFormat="false" ht="15" hidden="false" customHeight="true" outlineLevel="0" collapsed="false">
      <c r="A47" s="463"/>
      <c r="B47" s="473" t="s">
        <v>82</v>
      </c>
      <c r="C47" s="467" t="n">
        <v>1014.125</v>
      </c>
      <c r="D47" s="467" t="n">
        <v>0</v>
      </c>
      <c r="E47" s="469" t="n">
        <f aca="false">C47+D47</f>
        <v>1014.125</v>
      </c>
      <c r="F47" s="467" t="n">
        <v>0</v>
      </c>
      <c r="G47" s="470" t="n">
        <f aca="false">E47-F47</f>
        <v>1014.125</v>
      </c>
      <c r="H47" s="407" t="n">
        <f aca="false">10.365</f>
        <v>10.365</v>
      </c>
      <c r="I47" s="471" t="n">
        <f aca="false">G47+H47</f>
        <v>1024.49</v>
      </c>
      <c r="J47" s="401" t="n">
        <v>0</v>
      </c>
      <c r="K47" s="471" t="n">
        <f aca="false">I47-J47</f>
        <v>1024.49</v>
      </c>
      <c r="L47" s="474" t="n">
        <f aca="false">J47/I47</f>
        <v>0</v>
      </c>
      <c r="M47" s="377"/>
    </row>
    <row r="48" customFormat="false" ht="15" hidden="false" customHeight="true" outlineLevel="0" collapsed="false">
      <c r="A48" s="463"/>
      <c r="B48" s="473" t="s">
        <v>155</v>
      </c>
      <c r="C48" s="467" t="n">
        <v>244.969</v>
      </c>
      <c r="D48" s="467" t="n">
        <v>0</v>
      </c>
      <c r="E48" s="469" t="n">
        <f aca="false">C48+D48</f>
        <v>244.969</v>
      </c>
      <c r="F48" s="467" t="n">
        <v>101.255</v>
      </c>
      <c r="G48" s="470" t="n">
        <f aca="false">E48-F48</f>
        <v>143.714</v>
      </c>
      <c r="H48" s="400" t="n">
        <f aca="false">-143.714</f>
        <v>-143.714</v>
      </c>
      <c r="I48" s="471" t="n">
        <f aca="false">G48+H48</f>
        <v>0</v>
      </c>
      <c r="J48" s="471" t="n">
        <v>0</v>
      </c>
      <c r="K48" s="471" t="n">
        <f aca="false">I48-J48</f>
        <v>0</v>
      </c>
      <c r="L48" s="474" t="e">
        <f aca="false">J48/I48</f>
        <v>#DIV/0!</v>
      </c>
      <c r="M48" s="377"/>
    </row>
    <row r="49" customFormat="false" ht="15" hidden="false" customHeight="true" outlineLevel="0" collapsed="false">
      <c r="A49" s="463"/>
      <c r="B49" s="473" t="s">
        <v>70</v>
      </c>
      <c r="C49" s="467" t="n">
        <v>7228.602</v>
      </c>
      <c r="D49" s="468" t="n">
        <v>-2000</v>
      </c>
      <c r="E49" s="469" t="n">
        <f aca="false">C49+D49</f>
        <v>5228.602</v>
      </c>
      <c r="F49" s="467" t="n">
        <v>0</v>
      </c>
      <c r="G49" s="470" t="n">
        <f aca="false">E49-F49</f>
        <v>5228.602</v>
      </c>
      <c r="H49" s="405" t="n">
        <v>0</v>
      </c>
      <c r="I49" s="471" t="n">
        <f aca="false">G49+H49</f>
        <v>5228.602</v>
      </c>
      <c r="J49" s="401" t="n">
        <v>2604.311</v>
      </c>
      <c r="K49" s="471" t="n">
        <f aca="false">I49-J49</f>
        <v>2624.291</v>
      </c>
      <c r="L49" s="474" t="n">
        <f aca="false">J49/I49</f>
        <v>0.498089355433824</v>
      </c>
      <c r="M49" s="377"/>
    </row>
    <row r="50" customFormat="false" ht="15" hidden="false" customHeight="true" outlineLevel="0" collapsed="false">
      <c r="A50" s="463"/>
      <c r="B50" s="473" t="s">
        <v>139</v>
      </c>
      <c r="C50" s="467" t="n">
        <v>124.15</v>
      </c>
      <c r="D50" s="467" t="n">
        <v>0</v>
      </c>
      <c r="E50" s="469" t="n">
        <f aca="false">C50+D50</f>
        <v>124.15</v>
      </c>
      <c r="F50" s="467" t="n">
        <v>0</v>
      </c>
      <c r="G50" s="470" t="n">
        <f aca="false">E50-F50</f>
        <v>124.15</v>
      </c>
      <c r="H50" s="405" t="n">
        <v>0</v>
      </c>
      <c r="I50" s="401" t="n">
        <f aca="false">G50+H50</f>
        <v>124.15</v>
      </c>
      <c r="J50" s="471" t="n">
        <v>0</v>
      </c>
      <c r="K50" s="401" t="n">
        <f aca="false">I50-J50</f>
        <v>124.15</v>
      </c>
      <c r="L50" s="474" t="n">
        <f aca="false">J50/I50</f>
        <v>0</v>
      </c>
      <c r="M50" s="377"/>
    </row>
    <row r="51" customFormat="false" ht="15" hidden="false" customHeight="true" outlineLevel="0" collapsed="false">
      <c r="A51" s="463"/>
      <c r="B51" s="473" t="s">
        <v>99</v>
      </c>
      <c r="C51" s="467" t="n">
        <v>88.229</v>
      </c>
      <c r="D51" s="467" t="n">
        <v>0</v>
      </c>
      <c r="E51" s="469" t="n">
        <f aca="false">C51+D51</f>
        <v>88.229</v>
      </c>
      <c r="F51" s="467" t="n">
        <v>0</v>
      </c>
      <c r="G51" s="470" t="n">
        <f aca="false">E51-F51</f>
        <v>88.229</v>
      </c>
      <c r="H51" s="405" t="n">
        <v>0</v>
      </c>
      <c r="I51" s="401" t="n">
        <f aca="false">G51+H51</f>
        <v>88.229</v>
      </c>
      <c r="J51" s="401" t="n">
        <v>0</v>
      </c>
      <c r="K51" s="401" t="n">
        <f aca="false">I51-J51</f>
        <v>88.229</v>
      </c>
      <c r="L51" s="474" t="n">
        <f aca="false">J51/I51</f>
        <v>0</v>
      </c>
      <c r="M51" s="377"/>
    </row>
    <row r="52" customFormat="false" ht="15" hidden="false" customHeight="true" outlineLevel="0" collapsed="false">
      <c r="A52" s="463"/>
      <c r="B52" s="473" t="s">
        <v>100</v>
      </c>
      <c r="C52" s="467" t="n">
        <v>91.592</v>
      </c>
      <c r="D52" s="467" t="n">
        <v>0</v>
      </c>
      <c r="E52" s="469" t="n">
        <f aca="false">C52+D52</f>
        <v>91.592</v>
      </c>
      <c r="F52" s="467" t="n">
        <v>37.859</v>
      </c>
      <c r="G52" s="470" t="n">
        <f aca="false">E52-F52</f>
        <v>53.733</v>
      </c>
      <c r="H52" s="400" t="n">
        <f aca="false">-53.733</f>
        <v>-53.733</v>
      </c>
      <c r="I52" s="401" t="n">
        <f aca="false">G52+H52</f>
        <v>0</v>
      </c>
      <c r="J52" s="471" t="n">
        <v>0</v>
      </c>
      <c r="K52" s="401" t="n">
        <f aca="false">I52-J52</f>
        <v>0</v>
      </c>
      <c r="L52" s="474" t="e">
        <f aca="false">J52/I52</f>
        <v>#DIV/0!</v>
      </c>
      <c r="M52" s="377"/>
    </row>
    <row r="53" customFormat="false" ht="15" hidden="false" customHeight="true" outlineLevel="0" collapsed="false">
      <c r="A53" s="463"/>
      <c r="B53" s="473" t="s">
        <v>146</v>
      </c>
      <c r="C53" s="467" t="n">
        <v>149.888</v>
      </c>
      <c r="D53" s="477" t="n">
        <v>2049.176</v>
      </c>
      <c r="E53" s="469" t="n">
        <f aca="false">C53+D53</f>
        <v>2199.064</v>
      </c>
      <c r="F53" s="467" t="n">
        <v>1684.472</v>
      </c>
      <c r="G53" s="470" t="n">
        <f aca="false">E53-F53</f>
        <v>514.592</v>
      </c>
      <c r="H53" s="407" t="n">
        <f aca="false">522</f>
        <v>522</v>
      </c>
      <c r="I53" s="401" t="n">
        <f aca="false">G53+H53</f>
        <v>1036.592</v>
      </c>
      <c r="J53" s="401" t="n">
        <v>709.62</v>
      </c>
      <c r="K53" s="401" t="n">
        <f aca="false">I53-J53</f>
        <v>326.972</v>
      </c>
      <c r="L53" s="474" t="n">
        <f aca="false">J53/I53</f>
        <v>0.68457020698597</v>
      </c>
      <c r="M53" s="377"/>
    </row>
    <row r="54" customFormat="false" ht="15" hidden="false" customHeight="true" outlineLevel="0" collapsed="false">
      <c r="A54" s="463"/>
      <c r="B54" s="479" t="s">
        <v>71</v>
      </c>
      <c r="C54" s="480" t="n">
        <v>5685.303</v>
      </c>
      <c r="D54" s="481" t="n">
        <v>-2040.715</v>
      </c>
      <c r="E54" s="482" t="n">
        <f aca="false">C54+D54</f>
        <v>3644.588</v>
      </c>
      <c r="F54" s="480" t="n">
        <v>1085.349</v>
      </c>
      <c r="G54" s="483" t="n">
        <f aca="false">E54-F54</f>
        <v>2559.239</v>
      </c>
      <c r="H54" s="412" t="n">
        <f aca="false">-2559.239</f>
        <v>-2559.239</v>
      </c>
      <c r="I54" s="413" t="n">
        <f aca="false">G54+H54</f>
        <v>0</v>
      </c>
      <c r="J54" s="484" t="n">
        <v>0</v>
      </c>
      <c r="K54" s="413" t="n">
        <f aca="false">I54-J54</f>
        <v>0</v>
      </c>
      <c r="L54" s="485" t="e">
        <f aca="false">J54/I54</f>
        <v>#DIV/0!</v>
      </c>
      <c r="M54" s="377"/>
    </row>
    <row r="55" customFormat="false" ht="14.4" hidden="true" customHeight="false" outlineLevel="0" collapsed="false">
      <c r="A55" s="185"/>
      <c r="B55" s="185"/>
      <c r="C55" s="185"/>
      <c r="D55" s="417"/>
      <c r="E55" s="418"/>
      <c r="F55" s="185"/>
      <c r="G55" s="185"/>
      <c r="H55" s="419"/>
      <c r="I55" s="420"/>
      <c r="J55" s="185"/>
      <c r="K55" s="420"/>
      <c r="L55" s="421"/>
      <c r="M55" s="377"/>
    </row>
    <row r="56" customFormat="false" ht="14.4" hidden="false" customHeight="false" outlineLevel="0" collapsed="false">
      <c r="A56" s="463" t="s">
        <v>156</v>
      </c>
      <c r="B56" s="486" t="s">
        <v>66</v>
      </c>
      <c r="C56" s="487" t="n">
        <v>8.933</v>
      </c>
      <c r="D56" s="487" t="n">
        <v>0</v>
      </c>
      <c r="E56" s="487" t="n">
        <f aca="false">C56+D56</f>
        <v>8.933</v>
      </c>
      <c r="F56" s="487" t="n">
        <v>0</v>
      </c>
      <c r="G56" s="488" t="n">
        <f aca="false">E56-F56</f>
        <v>8.933</v>
      </c>
      <c r="H56" s="489" t="n">
        <v>0</v>
      </c>
      <c r="I56" s="490" t="n">
        <f aca="false">G56+H56</f>
        <v>8.933</v>
      </c>
      <c r="J56" s="490" t="n">
        <v>0</v>
      </c>
      <c r="K56" s="490" t="n">
        <f aca="false">I56-J56</f>
        <v>8.933</v>
      </c>
      <c r="L56" s="491" t="n">
        <f aca="false">J56/I56</f>
        <v>0</v>
      </c>
      <c r="M56" s="377"/>
    </row>
    <row r="57" customFormat="false" ht="14.4" hidden="false" customHeight="false" outlineLevel="0" collapsed="false">
      <c r="A57" s="463"/>
      <c r="B57" s="492" t="s">
        <v>138</v>
      </c>
      <c r="C57" s="493" t="n">
        <v>18323.301</v>
      </c>
      <c r="D57" s="494" t="n">
        <v>4379.04</v>
      </c>
      <c r="E57" s="493" t="n">
        <f aca="false">C57+D57</f>
        <v>22702.341</v>
      </c>
      <c r="F57" s="493" t="n">
        <v>14536.845</v>
      </c>
      <c r="G57" s="495" t="n">
        <f aca="false">E57-F57</f>
        <v>8165.496</v>
      </c>
      <c r="H57" s="496" t="n">
        <f aca="false">-500-500-564.296+1000-583-400</f>
        <v>-1547.296</v>
      </c>
      <c r="I57" s="497" t="n">
        <f aca="false">G57+H57</f>
        <v>6618.2</v>
      </c>
      <c r="J57" s="497" t="n">
        <v>5982.169</v>
      </c>
      <c r="K57" s="497" t="n">
        <f aca="false">I57-J57</f>
        <v>636.031000000001</v>
      </c>
      <c r="L57" s="498" t="n">
        <f aca="false">J57/I57</f>
        <v>0.903896678855278</v>
      </c>
      <c r="M57" s="377"/>
    </row>
    <row r="58" customFormat="false" ht="14.4" hidden="false" customHeight="false" outlineLevel="0" collapsed="false">
      <c r="A58" s="463"/>
      <c r="B58" s="492" t="s">
        <v>120</v>
      </c>
      <c r="C58" s="493" t="n">
        <v>139.658</v>
      </c>
      <c r="D58" s="494" t="n">
        <v>33.377</v>
      </c>
      <c r="E58" s="493" t="n">
        <f aca="false">C58+D58</f>
        <v>173.035</v>
      </c>
      <c r="F58" s="493" t="n">
        <v>110.798</v>
      </c>
      <c r="G58" s="495" t="n">
        <f aca="false">E58-F58</f>
        <v>62.237</v>
      </c>
      <c r="H58" s="499" t="n">
        <f aca="false">500+400</f>
        <v>900</v>
      </c>
      <c r="I58" s="497" t="n">
        <f aca="false">G58+H58</f>
        <v>962.237</v>
      </c>
      <c r="J58" s="497" t="n">
        <v>828.263</v>
      </c>
      <c r="K58" s="500" t="n">
        <f aca="false">I58-J58</f>
        <v>133.974</v>
      </c>
      <c r="L58" s="501" t="n">
        <f aca="false">J58/I58</f>
        <v>0.860768189125964</v>
      </c>
      <c r="M58" s="377"/>
    </row>
    <row r="59" customFormat="false" ht="14.4" hidden="false" customHeight="false" outlineLevel="0" collapsed="false">
      <c r="A59" s="463"/>
      <c r="B59" s="492" t="s">
        <v>139</v>
      </c>
      <c r="C59" s="493" t="n">
        <v>4602.851</v>
      </c>
      <c r="D59" s="494" t="n">
        <v>1100.024</v>
      </c>
      <c r="E59" s="493" t="n">
        <f aca="false">C59+D59</f>
        <v>5702.875</v>
      </c>
      <c r="F59" s="493" t="n">
        <v>3651.686</v>
      </c>
      <c r="G59" s="495" t="n">
        <f aca="false">E59-F59</f>
        <v>2051.189</v>
      </c>
      <c r="H59" s="496" t="n">
        <f aca="false">564.296-1000</f>
        <v>-435.704</v>
      </c>
      <c r="I59" s="497" t="n">
        <f aca="false">G59+H59</f>
        <v>1615.485</v>
      </c>
      <c r="J59" s="497" t="n">
        <v>683.717</v>
      </c>
      <c r="K59" s="497" t="n">
        <f aca="false">I59-J59</f>
        <v>931.768</v>
      </c>
      <c r="L59" s="498" t="n">
        <f aca="false">J59/I59</f>
        <v>0.423227080412384</v>
      </c>
      <c r="M59" s="377"/>
    </row>
    <row r="60" customFormat="false" ht="15" hidden="false" customHeight="false" outlineLevel="0" collapsed="false">
      <c r="A60" s="463"/>
      <c r="B60" s="502" t="s">
        <v>146</v>
      </c>
      <c r="C60" s="503" t="n">
        <v>534.564</v>
      </c>
      <c r="D60" s="504" t="n">
        <v>127.754</v>
      </c>
      <c r="E60" s="503" t="n">
        <f aca="false">C60+D60</f>
        <v>662.318</v>
      </c>
      <c r="F60" s="503" t="n">
        <v>424.098</v>
      </c>
      <c r="G60" s="411" t="n">
        <f aca="false">E60-F60</f>
        <v>238.22</v>
      </c>
      <c r="H60" s="429" t="n">
        <f aca="false">500+583</f>
        <v>1083</v>
      </c>
      <c r="I60" s="413" t="n">
        <f aca="false">G60+H60</f>
        <v>1321.22</v>
      </c>
      <c r="J60" s="413" t="n">
        <v>1257.034</v>
      </c>
      <c r="K60" s="415" t="n">
        <f aca="false">I60-J60</f>
        <v>64.1859999999999</v>
      </c>
      <c r="L60" s="416" t="n">
        <f aca="false">J60/I60</f>
        <v>0.951419142913368</v>
      </c>
      <c r="M60" s="377"/>
    </row>
    <row r="61" customFormat="false" ht="15" hidden="false" customHeight="false" outlineLevel="0" collapsed="false">
      <c r="A61" s="185"/>
      <c r="B61" s="185"/>
      <c r="C61" s="185"/>
      <c r="D61" s="417"/>
      <c r="E61" s="185"/>
      <c r="F61" s="185"/>
      <c r="G61" s="185"/>
      <c r="H61" s="419"/>
      <c r="I61" s="420"/>
      <c r="J61" s="185"/>
      <c r="K61" s="420"/>
      <c r="L61" s="421"/>
      <c r="M61" s="377"/>
    </row>
    <row r="62" customFormat="false" ht="15" hidden="false" customHeight="true" outlineLevel="0" collapsed="false">
      <c r="A62" s="505" t="s">
        <v>157</v>
      </c>
      <c r="B62" s="506" t="s">
        <v>73</v>
      </c>
      <c r="C62" s="507" t="n">
        <v>177.39</v>
      </c>
      <c r="D62" s="507" t="n">
        <v>0</v>
      </c>
      <c r="E62" s="508" t="n">
        <f aca="false">C62+D62</f>
        <v>177.39</v>
      </c>
      <c r="F62" s="507" t="n">
        <v>92.548</v>
      </c>
      <c r="G62" s="392" t="n">
        <f aca="false">E62-F62</f>
        <v>84.842</v>
      </c>
      <c r="H62" s="424" t="n">
        <f aca="false">-4.204-80.637</f>
        <v>-84.841</v>
      </c>
      <c r="I62" s="394" t="n">
        <f aca="false">G62+H62</f>
        <v>0.000999999999990564</v>
      </c>
      <c r="J62" s="394" t="n">
        <v>0</v>
      </c>
      <c r="K62" s="394" t="n">
        <f aca="false">I62-J62</f>
        <v>0.000999999999990564</v>
      </c>
      <c r="L62" s="458" t="n">
        <f aca="false">J62/I62</f>
        <v>0</v>
      </c>
      <c r="M62" s="377"/>
    </row>
    <row r="63" customFormat="false" ht="15" hidden="false" customHeight="true" outlineLevel="0" collapsed="false">
      <c r="A63" s="505"/>
      <c r="B63" s="509" t="s">
        <v>158</v>
      </c>
      <c r="C63" s="510" t="n">
        <v>36.609</v>
      </c>
      <c r="D63" s="510" t="n">
        <v>0</v>
      </c>
      <c r="E63" s="511" t="n">
        <f aca="false">C63+D63</f>
        <v>36.609</v>
      </c>
      <c r="F63" s="510" t="n">
        <v>27.216</v>
      </c>
      <c r="G63" s="470" t="n">
        <f aca="false">E63-F63</f>
        <v>9.393</v>
      </c>
      <c r="H63" s="400" t="n">
        <f aca="false">-9.393</f>
        <v>-9.393</v>
      </c>
      <c r="I63" s="401" t="n">
        <f aca="false">G63+H63</f>
        <v>0</v>
      </c>
      <c r="J63" s="471" t="n">
        <v>0</v>
      </c>
      <c r="K63" s="401" t="n">
        <f aca="false">I63-J63</f>
        <v>0</v>
      </c>
      <c r="L63" s="474" t="e">
        <f aca="false">J63/I63</f>
        <v>#DIV/0!</v>
      </c>
      <c r="M63" s="377"/>
    </row>
    <row r="64" customFormat="false" ht="15" hidden="false" customHeight="true" outlineLevel="0" collapsed="false">
      <c r="A64" s="505"/>
      <c r="B64" s="512" t="s">
        <v>129</v>
      </c>
      <c r="C64" s="510" t="n">
        <v>1.563</v>
      </c>
      <c r="D64" s="510" t="n">
        <v>0</v>
      </c>
      <c r="E64" s="511" t="n">
        <f aca="false">C64+D64</f>
        <v>1.563</v>
      </c>
      <c r="F64" s="510" t="n">
        <v>1.563</v>
      </c>
      <c r="G64" s="470" t="n">
        <f aca="false">E64-F64</f>
        <v>0</v>
      </c>
      <c r="H64" s="405" t="n">
        <v>0</v>
      </c>
      <c r="I64" s="401" t="n">
        <f aca="false">G64+H64</f>
        <v>0</v>
      </c>
      <c r="J64" s="471" t="n">
        <v>0</v>
      </c>
      <c r="K64" s="401" t="n">
        <f aca="false">I64-J64</f>
        <v>0</v>
      </c>
      <c r="L64" s="474" t="e">
        <f aca="false">J64/I64</f>
        <v>#DIV/0!</v>
      </c>
      <c r="M64" s="377"/>
    </row>
    <row r="65" customFormat="false" ht="15" hidden="false" customHeight="true" outlineLevel="0" collapsed="false">
      <c r="A65" s="505"/>
      <c r="B65" s="509" t="s">
        <v>159</v>
      </c>
      <c r="C65" s="510" t="n">
        <v>6179.759</v>
      </c>
      <c r="D65" s="513" t="n">
        <v>341.344</v>
      </c>
      <c r="E65" s="511" t="n">
        <f aca="false">C65+D65</f>
        <v>6521.103</v>
      </c>
      <c r="F65" s="510" t="n">
        <v>4800.791</v>
      </c>
      <c r="G65" s="470" t="n">
        <f aca="false">E65-F65</f>
        <v>1720.312</v>
      </c>
      <c r="H65" s="407" t="n">
        <f aca="false">200-478.116+500</f>
        <v>221.884</v>
      </c>
      <c r="I65" s="401" t="n">
        <f aca="false">G65+H65</f>
        <v>1942.196</v>
      </c>
      <c r="J65" s="471" t="n">
        <v>1936.595</v>
      </c>
      <c r="K65" s="401" t="n">
        <f aca="false">I65-J65</f>
        <v>5.60099999999989</v>
      </c>
      <c r="L65" s="474" t="n">
        <f aca="false">J65/I65</f>
        <v>0.997116150996089</v>
      </c>
      <c r="M65" s="377"/>
    </row>
    <row r="66" customFormat="false" ht="15" hidden="false" customHeight="true" outlineLevel="0" collapsed="false">
      <c r="A66" s="505"/>
      <c r="B66" s="512" t="s">
        <v>160</v>
      </c>
      <c r="C66" s="510" t="n">
        <v>6493.173</v>
      </c>
      <c r="D66" s="513" t="n">
        <v>358.656</v>
      </c>
      <c r="E66" s="511" t="n">
        <f aca="false">C66+D66</f>
        <v>6851.829</v>
      </c>
      <c r="F66" s="510" t="n">
        <v>5044.269</v>
      </c>
      <c r="G66" s="470" t="n">
        <f aca="false">E66-F66</f>
        <v>1807.56</v>
      </c>
      <c r="H66" s="407" t="n">
        <f aca="false">478.116</f>
        <v>478.116</v>
      </c>
      <c r="I66" s="401" t="n">
        <f aca="false">G66+H66</f>
        <v>2285.676</v>
      </c>
      <c r="J66" s="471" t="n">
        <v>2344.974</v>
      </c>
      <c r="K66" s="403" t="n">
        <f aca="false">I66-J66</f>
        <v>-59.2980000000007</v>
      </c>
      <c r="L66" s="404" t="n">
        <f aca="false">J66/I66</f>
        <v>1.02594330955044</v>
      </c>
      <c r="M66" s="377"/>
    </row>
    <row r="67" customFormat="false" ht="15" hidden="false" customHeight="true" outlineLevel="0" collapsed="false">
      <c r="A67" s="505"/>
      <c r="B67" s="512" t="s">
        <v>161</v>
      </c>
      <c r="C67" s="510" t="n">
        <v>139.273</v>
      </c>
      <c r="D67" s="510" t="n">
        <v>0</v>
      </c>
      <c r="E67" s="511" t="n">
        <f aca="false">C67+D67</f>
        <v>139.273</v>
      </c>
      <c r="F67" s="510" t="n">
        <v>103.541</v>
      </c>
      <c r="G67" s="470" t="n">
        <f aca="false">E67-F67</f>
        <v>35.732</v>
      </c>
      <c r="H67" s="405" t="n">
        <v>0</v>
      </c>
      <c r="I67" s="401" t="n">
        <f aca="false">G67+H67</f>
        <v>35.732</v>
      </c>
      <c r="J67" s="471" t="n">
        <v>32.001</v>
      </c>
      <c r="K67" s="408" t="n">
        <f aca="false">I67-J67</f>
        <v>3.731</v>
      </c>
      <c r="L67" s="438" t="n">
        <f aca="false">J67/I67</f>
        <v>0.895583790439942</v>
      </c>
      <c r="M67" s="377"/>
    </row>
    <row r="68" customFormat="false" ht="15" hidden="false" customHeight="true" outlineLevel="0" collapsed="false">
      <c r="A68" s="505"/>
      <c r="B68" s="512" t="s">
        <v>162</v>
      </c>
      <c r="C68" s="510" t="n">
        <v>176.714</v>
      </c>
      <c r="D68" s="510" t="n">
        <v>0</v>
      </c>
      <c r="E68" s="511" t="n">
        <f aca="false">C68+D68</f>
        <v>176.714</v>
      </c>
      <c r="F68" s="510" t="n">
        <v>86.855</v>
      </c>
      <c r="G68" s="470" t="n">
        <f aca="false">E68-F68</f>
        <v>89.859</v>
      </c>
      <c r="H68" s="407" t="n">
        <f aca="false">118.294</f>
        <v>118.294</v>
      </c>
      <c r="I68" s="401" t="n">
        <f aca="false">G68+H68</f>
        <v>208.153</v>
      </c>
      <c r="J68" s="471" t="n">
        <v>202.008</v>
      </c>
      <c r="K68" s="408" t="n">
        <f aca="false">I68-J68</f>
        <v>6.14499999999998</v>
      </c>
      <c r="L68" s="406" t="n">
        <f aca="false">J68/I68</f>
        <v>0.970478446142981</v>
      </c>
      <c r="M68" s="377"/>
    </row>
    <row r="69" customFormat="false" ht="15" hidden="false" customHeight="true" outlineLevel="0" collapsed="false">
      <c r="A69" s="505"/>
      <c r="B69" s="512" t="s">
        <v>163</v>
      </c>
      <c r="C69" s="510" t="n">
        <v>220.818</v>
      </c>
      <c r="D69" s="510" t="n">
        <v>0</v>
      </c>
      <c r="E69" s="511" t="n">
        <f aca="false">C69+D69</f>
        <v>220.818</v>
      </c>
      <c r="F69" s="510" t="n">
        <v>115.205</v>
      </c>
      <c r="G69" s="470" t="n">
        <f aca="false">E69-F69</f>
        <v>105.613</v>
      </c>
      <c r="H69" s="407" t="n">
        <f aca="false">291.601+80.637</f>
        <v>372.238</v>
      </c>
      <c r="I69" s="401" t="n">
        <f aca="false">G69+H69</f>
        <v>477.851</v>
      </c>
      <c r="J69" s="471" t="n">
        <v>468.617</v>
      </c>
      <c r="K69" s="408" t="n">
        <f aca="false">I69-J69</f>
        <v>9.23399999999998</v>
      </c>
      <c r="L69" s="474" t="n">
        <f aca="false">J69/I69</f>
        <v>0.980675984773496</v>
      </c>
      <c r="M69" s="377"/>
    </row>
    <row r="70" customFormat="false" ht="15" hidden="false" customHeight="true" outlineLevel="0" collapsed="false">
      <c r="A70" s="505"/>
      <c r="B70" s="512" t="s">
        <v>164</v>
      </c>
      <c r="C70" s="510" t="n">
        <v>361.263</v>
      </c>
      <c r="D70" s="510" t="n">
        <v>0</v>
      </c>
      <c r="E70" s="511" t="n">
        <f aca="false">C70+D70</f>
        <v>361.263</v>
      </c>
      <c r="F70" s="510" t="n">
        <v>144.544</v>
      </c>
      <c r="G70" s="470" t="n">
        <f aca="false">E70-F70</f>
        <v>216.719</v>
      </c>
      <c r="H70" s="407" t="n">
        <f aca="false">60</f>
        <v>60</v>
      </c>
      <c r="I70" s="401" t="n">
        <f aca="false">G70+H70</f>
        <v>276.719</v>
      </c>
      <c r="J70" s="471" t="n">
        <v>320.28</v>
      </c>
      <c r="K70" s="403" t="n">
        <f aca="false">I70-J70</f>
        <v>-43.5609999999999</v>
      </c>
      <c r="L70" s="514" t="n">
        <f aca="false">J70/I70</f>
        <v>1.15741962062598</v>
      </c>
      <c r="M70" s="377"/>
    </row>
    <row r="71" customFormat="false" ht="15" hidden="false" customHeight="true" outlineLevel="0" collapsed="false">
      <c r="A71" s="505"/>
      <c r="B71" s="512" t="s">
        <v>165</v>
      </c>
      <c r="C71" s="510" t="n">
        <v>618.434</v>
      </c>
      <c r="D71" s="510" t="n">
        <v>0</v>
      </c>
      <c r="E71" s="511" t="n">
        <f aca="false">C71+D71</f>
        <v>618.434</v>
      </c>
      <c r="F71" s="510" t="n">
        <v>403.038</v>
      </c>
      <c r="G71" s="470" t="n">
        <f aca="false">E71-F71</f>
        <v>215.396</v>
      </c>
      <c r="H71" s="407" t="n">
        <f aca="false">36.609+100</f>
        <v>136.609</v>
      </c>
      <c r="I71" s="401" t="n">
        <f aca="false">G71+H71</f>
        <v>352.005</v>
      </c>
      <c r="J71" s="471" t="n">
        <v>346.522</v>
      </c>
      <c r="K71" s="408" t="n">
        <f aca="false">I71-J71</f>
        <v>5.483</v>
      </c>
      <c r="L71" s="438" t="n">
        <f aca="false">J71/I71</f>
        <v>0.98442351671141</v>
      </c>
      <c r="M71" s="377"/>
    </row>
    <row r="72" customFormat="false" ht="15" hidden="false" customHeight="true" outlineLevel="0" collapsed="false">
      <c r="A72" s="505"/>
      <c r="B72" s="509" t="s">
        <v>120</v>
      </c>
      <c r="C72" s="510" t="n">
        <v>3574.39</v>
      </c>
      <c r="D72" s="515" t="n">
        <v>-619.279</v>
      </c>
      <c r="E72" s="511" t="n">
        <f aca="false">C72+D72</f>
        <v>2955.111</v>
      </c>
      <c r="F72" s="510" t="n">
        <v>978.042</v>
      </c>
      <c r="G72" s="470" t="n">
        <f aca="false">E72-F72</f>
        <v>1977.069</v>
      </c>
      <c r="H72" s="407" t="n">
        <f aca="false">-200+66.423+175</f>
        <v>41.423</v>
      </c>
      <c r="I72" s="401" t="n">
        <f aca="false">G72+H72</f>
        <v>2018.492</v>
      </c>
      <c r="J72" s="471" t="n">
        <v>1895.271</v>
      </c>
      <c r="K72" s="408" t="n">
        <f aca="false">I72-J72</f>
        <v>123.221</v>
      </c>
      <c r="L72" s="516" t="n">
        <f aca="false">J72/I72</f>
        <v>0.938953931945234</v>
      </c>
      <c r="M72" s="377"/>
    </row>
    <row r="73" customFormat="false" ht="15" hidden="false" customHeight="true" outlineLevel="0" collapsed="false">
      <c r="A73" s="505"/>
      <c r="B73" s="512" t="s">
        <v>78</v>
      </c>
      <c r="C73" s="510" t="n">
        <v>36.609</v>
      </c>
      <c r="D73" s="510" t="n">
        <v>0</v>
      </c>
      <c r="E73" s="511" t="n">
        <f aca="false">C73+D73</f>
        <v>36.609</v>
      </c>
      <c r="F73" s="510" t="n">
        <v>0</v>
      </c>
      <c r="G73" s="470" t="n">
        <f aca="false">E73-F73</f>
        <v>36.609</v>
      </c>
      <c r="H73" s="400" t="n">
        <f aca="false">-36.609</f>
        <v>-36.609</v>
      </c>
      <c r="I73" s="401" t="n">
        <f aca="false">G73+H73</f>
        <v>0</v>
      </c>
      <c r="J73" s="471" t="n">
        <v>0</v>
      </c>
      <c r="K73" s="401" t="n">
        <f aca="false">I73-J73</f>
        <v>0</v>
      </c>
      <c r="L73" s="474" t="e">
        <f aca="false">J73/I73</f>
        <v>#DIV/0!</v>
      </c>
      <c r="M73" s="377"/>
    </row>
    <row r="74" customFormat="false" ht="15" hidden="false" customHeight="true" outlineLevel="0" collapsed="false">
      <c r="A74" s="505"/>
      <c r="B74" s="512" t="s">
        <v>91</v>
      </c>
      <c r="C74" s="510" t="n">
        <v>5.833</v>
      </c>
      <c r="D74" s="510" t="n">
        <v>0</v>
      </c>
      <c r="E74" s="511" t="n">
        <f aca="false">C74+D74</f>
        <v>5.833</v>
      </c>
      <c r="F74" s="510" t="n">
        <v>5.833</v>
      </c>
      <c r="G74" s="470" t="n">
        <f aca="false">E74-F74</f>
        <v>0</v>
      </c>
      <c r="H74" s="405" t="n">
        <v>0</v>
      </c>
      <c r="I74" s="401" t="n">
        <f aca="false">G74+H74</f>
        <v>0</v>
      </c>
      <c r="J74" s="471" t="n">
        <v>0</v>
      </c>
      <c r="K74" s="408" t="n">
        <f aca="false">I74-J74</f>
        <v>0</v>
      </c>
      <c r="L74" s="406" t="e">
        <f aca="false">J74/I74</f>
        <v>#DIV/0!</v>
      </c>
      <c r="M74" s="377"/>
    </row>
    <row r="75" customFormat="false" ht="15" hidden="false" customHeight="true" outlineLevel="0" collapsed="false">
      <c r="A75" s="505"/>
      <c r="B75" s="512" t="s">
        <v>81</v>
      </c>
      <c r="C75" s="510" t="n">
        <v>1536.705</v>
      </c>
      <c r="D75" s="510" t="n">
        <v>0</v>
      </c>
      <c r="E75" s="511" t="n">
        <f aca="false">C75+D75</f>
        <v>1536.705</v>
      </c>
      <c r="F75" s="510" t="n">
        <v>403.118</v>
      </c>
      <c r="G75" s="470" t="n">
        <f aca="false">E75-F75</f>
        <v>1133.587</v>
      </c>
      <c r="H75" s="400" t="n">
        <f aca="false">-60-100-500</f>
        <v>-660</v>
      </c>
      <c r="I75" s="401" t="n">
        <f aca="false">G75+H75</f>
        <v>473.587</v>
      </c>
      <c r="J75" s="471" t="n">
        <v>163.626</v>
      </c>
      <c r="K75" s="401" t="n">
        <f aca="false">I75-J75</f>
        <v>309.961</v>
      </c>
      <c r="L75" s="406" t="n">
        <f aca="false">J75/I75</f>
        <v>0.345503571677432</v>
      </c>
      <c r="M75" s="377"/>
    </row>
    <row r="76" customFormat="false" ht="15" hidden="false" customHeight="true" outlineLevel="0" collapsed="false">
      <c r="A76" s="505"/>
      <c r="B76" s="512" t="s">
        <v>166</v>
      </c>
      <c r="C76" s="510" t="n">
        <v>354.882</v>
      </c>
      <c r="D76" s="510" t="n">
        <v>0</v>
      </c>
      <c r="E76" s="511" t="n">
        <f aca="false">C76+D76</f>
        <v>354.882</v>
      </c>
      <c r="F76" s="510" t="n">
        <v>0</v>
      </c>
      <c r="G76" s="470" t="n">
        <f aca="false">E76-F76</f>
        <v>354.882</v>
      </c>
      <c r="H76" s="400" t="n">
        <f aca="false">-118.394-118.394-118.394</f>
        <v>-355.182</v>
      </c>
      <c r="I76" s="401" t="n">
        <f aca="false">G76+H76</f>
        <v>-0.300000000000011</v>
      </c>
      <c r="J76" s="471" t="n">
        <v>0</v>
      </c>
      <c r="K76" s="401" t="n">
        <f aca="false">I76-J76</f>
        <v>-0.300000000000011</v>
      </c>
      <c r="L76" s="474" t="n">
        <f aca="false">J76/I76</f>
        <v>-0</v>
      </c>
      <c r="M76" s="377"/>
    </row>
    <row r="77" customFormat="false" ht="15" hidden="false" customHeight="true" outlineLevel="0" collapsed="false">
      <c r="A77" s="505"/>
      <c r="B77" s="512" t="s">
        <v>98</v>
      </c>
      <c r="C77" s="510" t="n">
        <v>111.193</v>
      </c>
      <c r="D77" s="510" t="n">
        <v>0</v>
      </c>
      <c r="E77" s="511" t="n">
        <f aca="false">C77+D77</f>
        <v>111.193</v>
      </c>
      <c r="F77" s="510" t="n">
        <v>62.911</v>
      </c>
      <c r="G77" s="470" t="n">
        <f aca="false">E77-F77</f>
        <v>48.282</v>
      </c>
      <c r="H77" s="407" t="n">
        <f aca="false">118.294</f>
        <v>118.294</v>
      </c>
      <c r="I77" s="401" t="n">
        <f aca="false">G77+H77</f>
        <v>166.576</v>
      </c>
      <c r="J77" s="471" t="n">
        <v>166.092</v>
      </c>
      <c r="K77" s="408" t="n">
        <f aca="false">I77-J77</f>
        <v>0.48399999999998</v>
      </c>
      <c r="L77" s="406" t="n">
        <f aca="false">J77/I77</f>
        <v>0.997094419364134</v>
      </c>
      <c r="M77" s="377"/>
    </row>
    <row r="78" customFormat="false" ht="15" hidden="false" customHeight="true" outlineLevel="0" collapsed="false">
      <c r="A78" s="505"/>
      <c r="B78" s="512" t="s">
        <v>70</v>
      </c>
      <c r="C78" s="510" t="n">
        <v>133.483</v>
      </c>
      <c r="D78" s="510" t="n">
        <v>0</v>
      </c>
      <c r="E78" s="511" t="n">
        <f aca="false">C78+D78</f>
        <v>133.483</v>
      </c>
      <c r="F78" s="510" t="n">
        <v>35.016</v>
      </c>
      <c r="G78" s="470" t="n">
        <f aca="false">E78-F78</f>
        <v>98.467</v>
      </c>
      <c r="H78" s="405" t="n">
        <v>0</v>
      </c>
      <c r="I78" s="401" t="n">
        <f aca="false">G78+H78</f>
        <v>98.467</v>
      </c>
      <c r="J78" s="471" t="n">
        <v>0</v>
      </c>
      <c r="K78" s="401" t="n">
        <f aca="false">I78-J78</f>
        <v>98.467</v>
      </c>
      <c r="L78" s="474" t="n">
        <f aca="false">J78/I78</f>
        <v>0</v>
      </c>
      <c r="M78" s="377"/>
    </row>
    <row r="79" customFormat="false" ht="15" hidden="false" customHeight="true" outlineLevel="0" collapsed="false">
      <c r="A79" s="505"/>
      <c r="B79" s="512" t="s">
        <v>139</v>
      </c>
      <c r="C79" s="510" t="n">
        <v>120.087</v>
      </c>
      <c r="D79" s="517" t="n">
        <v>-20.806</v>
      </c>
      <c r="E79" s="511" t="n">
        <f aca="false">C79+D79</f>
        <v>99.281</v>
      </c>
      <c r="F79" s="510" t="n">
        <v>32.859</v>
      </c>
      <c r="G79" s="470" t="n">
        <f aca="false">E79-F79</f>
        <v>66.422</v>
      </c>
      <c r="H79" s="400" t="n">
        <f aca="false">-66.423</f>
        <v>-66.423</v>
      </c>
      <c r="I79" s="401" t="n">
        <f aca="false">G79+H79</f>
        <v>-0.00100000000000477</v>
      </c>
      <c r="J79" s="471" t="n">
        <v>0.008</v>
      </c>
      <c r="K79" s="401" t="n">
        <f aca="false">I79-J79</f>
        <v>-0.00900000000000478</v>
      </c>
      <c r="L79" s="474" t="n">
        <f aca="false">J79/I79</f>
        <v>-7.9999999999618</v>
      </c>
      <c r="M79" s="377"/>
    </row>
    <row r="80" customFormat="false" ht="15" hidden="false" customHeight="true" outlineLevel="0" collapsed="false">
      <c r="A80" s="505"/>
      <c r="B80" s="518" t="s">
        <v>167</v>
      </c>
      <c r="C80" s="511" t="n">
        <v>291.601</v>
      </c>
      <c r="D80" s="511" t="n">
        <v>0</v>
      </c>
      <c r="E80" s="511" t="n">
        <f aca="false">C80+D80</f>
        <v>291.601</v>
      </c>
      <c r="F80" s="511" t="n">
        <v>0</v>
      </c>
      <c r="G80" s="470" t="n">
        <f aca="false">E80-F80</f>
        <v>291.601</v>
      </c>
      <c r="H80" s="400" t="n">
        <f aca="false">-291.601</f>
        <v>-291.601</v>
      </c>
      <c r="I80" s="401" t="n">
        <f aca="false">G80+H80</f>
        <v>0</v>
      </c>
      <c r="J80" s="471" t="n">
        <v>0</v>
      </c>
      <c r="K80" s="401" t="n">
        <f aca="false">I80-J80</f>
        <v>0</v>
      </c>
      <c r="L80" s="474" t="e">
        <f aca="false">J80/I80</f>
        <v>#DIV/0!</v>
      </c>
      <c r="M80" s="377"/>
    </row>
    <row r="81" customFormat="false" ht="15" hidden="false" customHeight="true" outlineLevel="0" collapsed="false">
      <c r="A81" s="505"/>
      <c r="B81" s="518" t="s">
        <v>168</v>
      </c>
      <c r="C81" s="511" t="n">
        <v>345.823</v>
      </c>
      <c r="D81" s="519" t="n">
        <v>-59.915</v>
      </c>
      <c r="E81" s="511" t="n">
        <f aca="false">C81+D81</f>
        <v>285.908</v>
      </c>
      <c r="F81" s="511" t="n">
        <v>94.626</v>
      </c>
      <c r="G81" s="470" t="n">
        <f aca="false">E81-F81</f>
        <v>191.282</v>
      </c>
      <c r="H81" s="400" t="n">
        <f aca="false">-175</f>
        <v>-175</v>
      </c>
      <c r="I81" s="401" t="n">
        <f aca="false">G81+H81</f>
        <v>16.282</v>
      </c>
      <c r="J81" s="401" t="n">
        <v>0.835</v>
      </c>
      <c r="K81" s="401" t="n">
        <f aca="false">I81-J81</f>
        <v>15.447</v>
      </c>
      <c r="L81" s="474" t="n">
        <f aca="false">J81/I81</f>
        <v>0.0512836260901611</v>
      </c>
      <c r="M81" s="377"/>
    </row>
    <row r="82" customFormat="false" ht="17.25" hidden="false" customHeight="true" outlineLevel="0" collapsed="false">
      <c r="A82" s="505"/>
      <c r="B82" s="518" t="s">
        <v>169</v>
      </c>
      <c r="C82" s="511" t="n">
        <v>0</v>
      </c>
      <c r="D82" s="511" t="n">
        <v>0</v>
      </c>
      <c r="E82" s="511" t="n">
        <f aca="false">C82+D82</f>
        <v>0</v>
      </c>
      <c r="F82" s="511" t="n">
        <v>0</v>
      </c>
      <c r="G82" s="470" t="n">
        <f aca="false">E82-F82</f>
        <v>0</v>
      </c>
      <c r="H82" s="407" t="n">
        <f aca="false">118.294+9.393</f>
        <v>127.687</v>
      </c>
      <c r="I82" s="401" t="n">
        <f aca="false">G82+H82</f>
        <v>127.687</v>
      </c>
      <c r="J82" s="520" t="n">
        <v>136.696</v>
      </c>
      <c r="K82" s="521" t="n">
        <f aca="false">I82-J82</f>
        <v>-9.009</v>
      </c>
      <c r="L82" s="404" t="n">
        <f aca="false">J82/I82</f>
        <v>1.07055534236062</v>
      </c>
      <c r="M82" s="377"/>
    </row>
    <row r="83" customFormat="false" ht="15" hidden="false" customHeight="false" outlineLevel="0" collapsed="false">
      <c r="A83" s="505"/>
      <c r="B83" s="522" t="s">
        <v>170</v>
      </c>
      <c r="C83" s="523" t="n">
        <v>0</v>
      </c>
      <c r="D83" s="523" t="n">
        <v>0</v>
      </c>
      <c r="E83" s="523" t="n">
        <f aca="false">C83+D83</f>
        <v>0</v>
      </c>
      <c r="F83" s="523" t="n">
        <v>0</v>
      </c>
      <c r="G83" s="483" t="n">
        <f aca="false">E83-F83</f>
        <v>0</v>
      </c>
      <c r="H83" s="429" t="n">
        <f aca="false">4.204</f>
        <v>4.204</v>
      </c>
      <c r="I83" s="413" t="n">
        <f aca="false">G83+H83</f>
        <v>4.204</v>
      </c>
      <c r="J83" s="413" t="n">
        <v>0</v>
      </c>
      <c r="K83" s="413" t="n">
        <f aca="false">I83-J83</f>
        <v>4.204</v>
      </c>
      <c r="L83" s="430" t="n">
        <f aca="false">J83/I83</f>
        <v>0</v>
      </c>
      <c r="M83" s="377"/>
    </row>
  </sheetData>
  <mergeCells count="13">
    <mergeCell ref="B2:L2"/>
    <mergeCell ref="G4:L4"/>
    <mergeCell ref="C5:F5"/>
    <mergeCell ref="G5:I5"/>
    <mergeCell ref="J5:L5"/>
    <mergeCell ref="A7:A11"/>
    <mergeCell ref="A13:A17"/>
    <mergeCell ref="A19:A23"/>
    <mergeCell ref="A25:A29"/>
    <mergeCell ref="A31:A34"/>
    <mergeCell ref="A36:A54"/>
    <mergeCell ref="A56:A60"/>
    <mergeCell ref="A62:A83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CCFF"/>
    <pageSetUpPr fitToPage="false"/>
  </sheetPr>
  <dimension ref="A2:K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5" activeCellId="0" sqref="D35"/>
    </sheetView>
  </sheetViews>
  <sheetFormatPr defaultColWidth="10.96484375" defaultRowHeight="14.4" customHeight="false" zeroHeight="false" outlineLevelRow="0" outlineLevelCol="0"/>
  <cols>
    <col collapsed="false" customWidth="true" hidden="false" outlineLevel="0" max="1" min="1" style="0" width="19.99"/>
    <col collapsed="false" customWidth="true" hidden="false" outlineLevel="0" max="2" min="2" style="0" width="13.43"/>
    <col collapsed="false" customWidth="true" hidden="false" outlineLevel="0" max="3" min="3" style="0" width="17.1"/>
    <col collapsed="false" customWidth="true" hidden="false" outlineLevel="0" max="4" min="4" style="0" width="17.55"/>
    <col collapsed="false" customWidth="true" hidden="false" outlineLevel="0" max="5" min="5" style="0" width="12.43"/>
    <col collapsed="false" customWidth="true" hidden="false" outlineLevel="0" max="8" min="8" style="0" width="24.43"/>
  </cols>
  <sheetData>
    <row r="2" customFormat="false" ht="14.4" hidden="false" customHeight="false" outlineLevel="0" collapsed="false">
      <c r="A2" s="524"/>
      <c r="B2" s="524"/>
      <c r="C2" s="525" t="s">
        <v>171</v>
      </c>
      <c r="D2" s="525"/>
      <c r="E2" s="525"/>
    </row>
    <row r="3" customFormat="false" ht="14.4" hidden="false" customHeight="false" outlineLevel="0" collapsed="false">
      <c r="K3" s="526"/>
    </row>
    <row r="4" customFormat="false" ht="14.4" hidden="false" customHeight="false" outlineLevel="0" collapsed="false">
      <c r="B4" s="527" t="s">
        <v>172</v>
      </c>
      <c r="C4" s="527"/>
      <c r="D4" s="527"/>
      <c r="E4" s="527"/>
      <c r="F4" s="527"/>
      <c r="K4" s="528"/>
    </row>
    <row r="5" customFormat="false" ht="27.75" hidden="false" customHeight="true" outlineLevel="0" collapsed="false">
      <c r="B5" s="525" t="s">
        <v>6</v>
      </c>
      <c r="C5" s="529" t="s">
        <v>173</v>
      </c>
      <c r="D5" s="525" t="s">
        <v>174</v>
      </c>
      <c r="E5" s="529" t="s">
        <v>175</v>
      </c>
      <c r="F5" s="529" t="s">
        <v>176</v>
      </c>
      <c r="H5" s="529" t="s">
        <v>177</v>
      </c>
      <c r="K5" s="526"/>
    </row>
    <row r="6" customFormat="false" ht="14.4" hidden="false" customHeight="false" outlineLevel="0" collapsed="false">
      <c r="A6" s="530" t="s">
        <v>33</v>
      </c>
      <c r="B6" s="531" t="s">
        <v>34</v>
      </c>
      <c r="C6" s="532" t="s">
        <v>178</v>
      </c>
      <c r="D6" s="531" t="n">
        <v>30</v>
      </c>
      <c r="E6" s="531" t="n">
        <v>20.125</v>
      </c>
      <c r="F6" s="531" t="n">
        <f aca="false">D6-E6</f>
        <v>9.875</v>
      </c>
      <c r="H6" s="533" t="s">
        <v>179</v>
      </c>
      <c r="K6" s="526"/>
    </row>
    <row r="7" customFormat="false" ht="14.4" hidden="false" customHeight="false" outlineLevel="0" collapsed="false">
      <c r="A7" s="530"/>
      <c r="B7" s="531" t="s">
        <v>180</v>
      </c>
      <c r="C7" s="532" t="s">
        <v>181</v>
      </c>
      <c r="D7" s="531" t="n">
        <v>45</v>
      </c>
      <c r="E7" s="531" t="n">
        <v>44.899</v>
      </c>
      <c r="F7" s="531" t="n">
        <f aca="false">D7-E7</f>
        <v>0.100999999999999</v>
      </c>
      <c r="H7" s="533" t="s">
        <v>182</v>
      </c>
      <c r="K7" s="528"/>
    </row>
    <row r="8" customFormat="false" ht="14.4" hidden="false" customHeight="false" outlineLevel="0" collapsed="false">
      <c r="A8" s="530" t="s">
        <v>35</v>
      </c>
      <c r="B8" s="531" t="s">
        <v>183</v>
      </c>
      <c r="C8" s="532" t="s">
        <v>178</v>
      </c>
      <c r="D8" s="531" t="n">
        <v>30</v>
      </c>
      <c r="E8" s="531" t="n">
        <v>19.5</v>
      </c>
      <c r="F8" s="531" t="n">
        <f aca="false">D8-E8</f>
        <v>10.5</v>
      </c>
      <c r="H8" s="533" t="s">
        <v>184</v>
      </c>
      <c r="K8" s="528"/>
    </row>
    <row r="9" customFormat="false" ht="14.4" hidden="false" customHeight="false" outlineLevel="0" collapsed="false">
      <c r="A9" s="530"/>
      <c r="B9" s="531" t="s">
        <v>180</v>
      </c>
      <c r="C9" s="532" t="s">
        <v>185</v>
      </c>
      <c r="D9" s="531" t="n">
        <v>50</v>
      </c>
      <c r="E9" s="520" t="n">
        <v>49.887</v>
      </c>
      <c r="F9" s="534" t="n">
        <f aca="false">D9-E9</f>
        <v>0.113</v>
      </c>
      <c r="H9" s="533" t="s">
        <v>186</v>
      </c>
      <c r="K9" s="526"/>
    </row>
    <row r="10" customFormat="false" ht="14.4" hidden="false" customHeight="false" outlineLevel="0" collapsed="false">
      <c r="A10" s="530" t="s">
        <v>187</v>
      </c>
      <c r="B10" s="531" t="s">
        <v>188</v>
      </c>
      <c r="C10" s="532" t="s">
        <v>178</v>
      </c>
      <c r="D10" s="531" t="n">
        <v>15</v>
      </c>
      <c r="E10" s="531" t="n">
        <v>0.283</v>
      </c>
      <c r="F10" s="531" t="n">
        <f aca="false">D10-E10</f>
        <v>14.717</v>
      </c>
      <c r="K10" s="526"/>
    </row>
    <row r="11" customFormat="false" ht="14.4" hidden="false" customHeight="false" outlineLevel="0" collapsed="false">
      <c r="A11" s="530" t="s">
        <v>189</v>
      </c>
      <c r="B11" s="531" t="s">
        <v>25</v>
      </c>
      <c r="C11" s="532" t="s">
        <v>178</v>
      </c>
      <c r="D11" s="531" t="n">
        <v>15</v>
      </c>
      <c r="E11" s="531" t="n">
        <v>10.51</v>
      </c>
      <c r="F11" s="531" t="n">
        <f aca="false">D11-E11</f>
        <v>4.49</v>
      </c>
      <c r="K11" s="526"/>
    </row>
    <row r="12" customFormat="false" ht="14.4" hidden="false" customHeight="false" outlineLevel="0" collapsed="false">
      <c r="K12" s="528"/>
    </row>
    <row r="13" customFormat="false" ht="14.4" hidden="false" customHeight="false" outlineLevel="0" collapsed="false">
      <c r="K13" s="528"/>
    </row>
    <row r="14" customFormat="false" ht="14.4" hidden="false" customHeight="false" outlineLevel="0" collapsed="false">
      <c r="B14" s="527" t="s">
        <v>190</v>
      </c>
      <c r="C14" s="527"/>
      <c r="D14" s="527"/>
      <c r="E14" s="527"/>
      <c r="F14" s="527"/>
      <c r="K14" s="535"/>
    </row>
    <row r="15" customFormat="false" ht="27.6" hidden="false" customHeight="false" outlineLevel="0" collapsed="false">
      <c r="B15" s="525" t="s">
        <v>6</v>
      </c>
      <c r="C15" s="529" t="s">
        <v>173</v>
      </c>
      <c r="D15" s="525" t="s">
        <v>174</v>
      </c>
      <c r="E15" s="529" t="s">
        <v>175</v>
      </c>
      <c r="F15" s="529" t="s">
        <v>176</v>
      </c>
      <c r="H15" s="529" t="s">
        <v>177</v>
      </c>
      <c r="K15" s="535"/>
    </row>
    <row r="16" customFormat="false" ht="14.4" hidden="false" customHeight="false" outlineLevel="0" collapsed="false">
      <c r="A16" s="530" t="s">
        <v>191</v>
      </c>
      <c r="B16" s="531" t="s">
        <v>192</v>
      </c>
      <c r="C16" s="531" t="s">
        <v>193</v>
      </c>
      <c r="D16" s="531" t="n">
        <v>30</v>
      </c>
      <c r="E16" s="531" t="n">
        <v>9.629</v>
      </c>
      <c r="F16" s="531" t="n">
        <f aca="false">D16-E16</f>
        <v>20.371</v>
      </c>
      <c r="H16" s="533" t="s">
        <v>194</v>
      </c>
      <c r="K16" s="526"/>
    </row>
    <row r="17" customFormat="false" ht="14.4" hidden="false" customHeight="false" outlineLevel="0" collapsed="false">
      <c r="K17" s="526"/>
    </row>
    <row r="18" customFormat="false" ht="14.4" hidden="false" customHeight="false" outlineLevel="0" collapsed="false">
      <c r="K18" s="526"/>
    </row>
    <row r="19" customFormat="false" ht="14.4" hidden="false" customHeight="false" outlineLevel="0" collapsed="false">
      <c r="K19" s="528"/>
    </row>
    <row r="20" customFormat="false" ht="14.4" hidden="false" customHeight="false" outlineLevel="0" collapsed="false">
      <c r="K20" s="528"/>
    </row>
    <row r="21" customFormat="false" ht="14.4" hidden="false" customHeight="false" outlineLevel="0" collapsed="false">
      <c r="B21" s="536" t="s">
        <v>195</v>
      </c>
      <c r="C21" s="536"/>
      <c r="D21" s="536"/>
      <c r="E21" s="536"/>
      <c r="F21" s="536"/>
      <c r="K21" s="526"/>
    </row>
    <row r="22" customFormat="false" ht="27.6" hidden="false" customHeight="false" outlineLevel="0" collapsed="false">
      <c r="B22" s="525" t="s">
        <v>6</v>
      </c>
      <c r="C22" s="529" t="s">
        <v>173</v>
      </c>
      <c r="D22" s="525" t="s">
        <v>174</v>
      </c>
      <c r="E22" s="529" t="s">
        <v>175</v>
      </c>
      <c r="F22" s="529" t="s">
        <v>176</v>
      </c>
      <c r="H22" s="529" t="s">
        <v>177</v>
      </c>
      <c r="I22" s="529" t="s">
        <v>196</v>
      </c>
      <c r="K22" s="526"/>
    </row>
    <row r="23" customFormat="false" ht="14.4" hidden="false" customHeight="false" outlineLevel="0" collapsed="false">
      <c r="A23" s="537" t="s">
        <v>33</v>
      </c>
      <c r="B23" s="534" t="s">
        <v>34</v>
      </c>
      <c r="C23" s="538" t="s">
        <v>197</v>
      </c>
      <c r="D23" s="534" t="n">
        <v>10</v>
      </c>
      <c r="E23" s="534" t="n">
        <v>16.545</v>
      </c>
      <c r="F23" s="539" t="n">
        <f aca="false">D23-E23</f>
        <v>-6.545</v>
      </c>
      <c r="H23" s="533" t="s">
        <v>179</v>
      </c>
      <c r="I23" s="533" t="s">
        <v>198</v>
      </c>
      <c r="K23" s="526"/>
    </row>
    <row r="24" customFormat="false" ht="14.4" hidden="false" customHeight="false" outlineLevel="0" collapsed="false">
      <c r="A24" s="537"/>
      <c r="B24" s="534" t="s">
        <v>180</v>
      </c>
      <c r="C24" s="538" t="s">
        <v>181</v>
      </c>
      <c r="D24" s="534" t="n">
        <v>15</v>
      </c>
      <c r="E24" s="534" t="n">
        <v>16.29</v>
      </c>
      <c r="F24" s="539" t="n">
        <f aca="false">D24-E24</f>
        <v>-1.29</v>
      </c>
      <c r="H24" s="533" t="s">
        <v>182</v>
      </c>
      <c r="I24" s="533" t="s">
        <v>199</v>
      </c>
      <c r="K24" s="528"/>
    </row>
    <row r="25" customFormat="false" ht="14.4" hidden="false" customHeight="false" outlineLevel="0" collapsed="false">
      <c r="A25" s="537" t="s">
        <v>35</v>
      </c>
      <c r="B25" s="534" t="s">
        <v>183</v>
      </c>
      <c r="C25" s="538" t="s">
        <v>197</v>
      </c>
      <c r="D25" s="534" t="n">
        <v>10</v>
      </c>
      <c r="E25" s="534" t="n">
        <v>0.307</v>
      </c>
      <c r="F25" s="534" t="n">
        <f aca="false">D25-E25</f>
        <v>9.693</v>
      </c>
      <c r="H25" s="533" t="s">
        <v>184</v>
      </c>
      <c r="I25" s="533" t="s">
        <v>199</v>
      </c>
      <c r="K25" s="528"/>
    </row>
    <row r="26" customFormat="false" ht="14.4" hidden="false" customHeight="false" outlineLevel="0" collapsed="false">
      <c r="A26" s="537"/>
      <c r="B26" s="534" t="s">
        <v>180</v>
      </c>
      <c r="C26" s="538" t="s">
        <v>185</v>
      </c>
      <c r="D26" s="534" t="n">
        <v>25</v>
      </c>
      <c r="E26" s="534" t="n">
        <v>13.276</v>
      </c>
      <c r="F26" s="534" t="n">
        <f aca="false">D26-E26</f>
        <v>11.724</v>
      </c>
      <c r="H26" s="533" t="s">
        <v>186</v>
      </c>
      <c r="I26" s="533" t="s">
        <v>198</v>
      </c>
      <c r="K26" s="526"/>
    </row>
    <row r="27" customFormat="false" ht="14.4" hidden="false" customHeight="false" outlineLevel="0" collapsed="false">
      <c r="A27" s="537" t="s">
        <v>187</v>
      </c>
      <c r="B27" s="534" t="s">
        <v>188</v>
      </c>
      <c r="C27" s="538" t="s">
        <v>197</v>
      </c>
      <c r="D27" s="534" t="n">
        <v>10</v>
      </c>
      <c r="E27" s="534" t="n">
        <v>0.029</v>
      </c>
      <c r="F27" s="534" t="n">
        <f aca="false">D27-E27</f>
        <v>9.971</v>
      </c>
      <c r="K27" s="528"/>
    </row>
    <row r="28" customFormat="false" ht="14.4" hidden="false" customHeight="false" outlineLevel="0" collapsed="false">
      <c r="A28" s="537" t="s">
        <v>189</v>
      </c>
      <c r="B28" s="534" t="s">
        <v>25</v>
      </c>
      <c r="C28" s="538" t="s">
        <v>197</v>
      </c>
      <c r="D28" s="534" t="n">
        <v>80</v>
      </c>
      <c r="E28" s="534" t="n">
        <v>61.071</v>
      </c>
      <c r="F28" s="534" t="n">
        <f aca="false">D28-E28</f>
        <v>18.929</v>
      </c>
      <c r="K28" s="535"/>
    </row>
    <row r="29" customFormat="false" ht="14.4" hidden="false" customHeight="false" outlineLevel="0" collapsed="false">
      <c r="K29" s="526"/>
    </row>
    <row r="30" customFormat="false" ht="14.4" hidden="false" customHeight="false" outlineLevel="0" collapsed="false">
      <c r="K30" s="528"/>
    </row>
    <row r="31" customFormat="false" ht="14.4" hidden="false" customHeight="false" outlineLevel="0" collapsed="false">
      <c r="K31" s="535"/>
    </row>
    <row r="32" customFormat="false" ht="14.4" hidden="false" customHeight="false" outlineLevel="0" collapsed="false">
      <c r="K32" s="526"/>
    </row>
    <row r="33" customFormat="false" ht="14.4" hidden="false" customHeight="false" outlineLevel="0" collapsed="false">
      <c r="K33" s="535"/>
    </row>
    <row r="34" customFormat="false" ht="14.4" hidden="false" customHeight="false" outlineLevel="0" collapsed="false">
      <c r="K34" s="526"/>
    </row>
    <row r="35" customFormat="false" ht="14.4" hidden="false" customHeight="false" outlineLevel="0" collapsed="false">
      <c r="K35" s="526"/>
    </row>
    <row r="36" customFormat="false" ht="14.4" hidden="false" customHeight="false" outlineLevel="0" collapsed="false">
      <c r="K36" s="526"/>
    </row>
    <row r="37" customFormat="false" ht="14.4" hidden="false" customHeight="false" outlineLevel="0" collapsed="false">
      <c r="K37" s="528"/>
    </row>
    <row r="38" customFormat="false" ht="14.4" hidden="false" customHeight="false" outlineLevel="0" collapsed="false">
      <c r="K38" s="535"/>
    </row>
    <row r="39" customFormat="false" ht="14.4" hidden="false" customHeight="false" outlineLevel="0" collapsed="false">
      <c r="K39" s="526"/>
    </row>
    <row r="40" customFormat="false" ht="14.4" hidden="false" customHeight="false" outlineLevel="0" collapsed="false">
      <c r="K40" s="535"/>
    </row>
    <row r="41" customFormat="false" ht="14.4" hidden="false" customHeight="false" outlineLevel="0" collapsed="false">
      <c r="K41" s="526"/>
    </row>
    <row r="42" customFormat="false" ht="14.4" hidden="false" customHeight="false" outlineLevel="0" collapsed="false">
      <c r="K42" s="526"/>
    </row>
    <row r="43" customFormat="false" ht="14.4" hidden="false" customHeight="false" outlineLevel="0" collapsed="false">
      <c r="K43" s="526"/>
    </row>
    <row r="44" customFormat="false" ht="14.4" hidden="false" customHeight="false" outlineLevel="0" collapsed="false">
      <c r="K44" s="526"/>
    </row>
    <row r="45" customFormat="false" ht="14.4" hidden="false" customHeight="false" outlineLevel="0" collapsed="false">
      <c r="K45" s="528"/>
    </row>
    <row r="46" customFormat="false" ht="14.4" hidden="false" customHeight="false" outlineLevel="0" collapsed="false">
      <c r="K46" s="528"/>
    </row>
    <row r="47" customFormat="false" ht="14.4" hidden="false" customHeight="false" outlineLevel="0" collapsed="false">
      <c r="K47" s="535"/>
    </row>
    <row r="48" customFormat="false" ht="14.4" hidden="false" customHeight="false" outlineLevel="0" collapsed="false">
      <c r="K48" s="535"/>
    </row>
    <row r="49" customFormat="false" ht="14.4" hidden="false" customHeight="false" outlineLevel="0" collapsed="false">
      <c r="K49" s="528"/>
    </row>
    <row r="50" customFormat="false" ht="14.4" hidden="false" customHeight="false" outlineLevel="0" collapsed="false">
      <c r="K50" s="535"/>
    </row>
    <row r="51" customFormat="false" ht="14.4" hidden="false" customHeight="false" outlineLevel="0" collapsed="false">
      <c r="K51" s="535"/>
    </row>
    <row r="52" customFormat="false" ht="14.4" hidden="false" customHeight="false" outlineLevel="0" collapsed="false">
      <c r="K52" s="535"/>
    </row>
    <row r="53" customFormat="false" ht="14.4" hidden="false" customHeight="false" outlineLevel="0" collapsed="false">
      <c r="K53" s="535"/>
    </row>
    <row r="54" customFormat="false" ht="14.4" hidden="false" customHeight="false" outlineLevel="0" collapsed="false">
      <c r="K54" s="535"/>
    </row>
    <row r="55" customFormat="false" ht="14.4" hidden="false" customHeight="false" outlineLevel="0" collapsed="false">
      <c r="K55" s="535"/>
    </row>
    <row r="56" customFormat="false" ht="14.4" hidden="false" customHeight="false" outlineLevel="0" collapsed="false">
      <c r="K56" s="535"/>
    </row>
    <row r="57" customFormat="false" ht="14.4" hidden="false" customHeight="false" outlineLevel="0" collapsed="false">
      <c r="K57" s="528"/>
    </row>
    <row r="58" customFormat="false" ht="14.4" hidden="false" customHeight="false" outlineLevel="0" collapsed="false">
      <c r="K58" s="528"/>
    </row>
    <row r="59" customFormat="false" ht="14.4" hidden="false" customHeight="false" outlineLevel="0" collapsed="false">
      <c r="K59" s="535"/>
    </row>
    <row r="60" customFormat="false" ht="14.4" hidden="false" customHeight="false" outlineLevel="0" collapsed="false">
      <c r="K60" s="535"/>
    </row>
    <row r="61" customFormat="false" ht="14.4" hidden="false" customHeight="false" outlineLevel="0" collapsed="false">
      <c r="K61" s="535"/>
    </row>
    <row r="62" customFormat="false" ht="14.4" hidden="false" customHeight="false" outlineLevel="0" collapsed="false">
      <c r="K62" s="535"/>
    </row>
  </sheetData>
  <mergeCells count="8">
    <mergeCell ref="C2:E2"/>
    <mergeCell ref="B4:F4"/>
    <mergeCell ref="A6:A7"/>
    <mergeCell ref="A8:A9"/>
    <mergeCell ref="B14:F14"/>
    <mergeCell ref="B21:F21"/>
    <mergeCell ref="A23:A24"/>
    <mergeCell ref="A25:A2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3:S27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K26" activeCellId="0" sqref="K26"/>
    </sheetView>
  </sheetViews>
  <sheetFormatPr defaultColWidth="10.96484375" defaultRowHeight="14.4" customHeight="false" zeroHeight="false" outlineLevelRow="0" outlineLevelCol="0"/>
  <cols>
    <col collapsed="false" customWidth="true" hidden="false" outlineLevel="0" max="1" min="1" style="0" width="20.66"/>
    <col collapsed="false" customWidth="true" hidden="false" outlineLevel="0" max="3" min="3" style="0" width="15.87"/>
    <col collapsed="false" customWidth="true" hidden="false" outlineLevel="0" max="4" min="4" style="0" width="10.87"/>
    <col collapsed="false" customWidth="true" hidden="false" outlineLevel="0" max="5" min="5" style="0" width="12.1"/>
    <col collapsed="false" customWidth="true" hidden="false" outlineLevel="0" max="6" min="6" style="0" width="11.66"/>
    <col collapsed="false" customWidth="true" hidden="false" outlineLevel="0" max="7" min="7" style="0" width="12.66"/>
    <col collapsed="false" customWidth="true" hidden="false" outlineLevel="0" max="9" min="8" style="0" width="13.1"/>
    <col collapsed="false" customWidth="true" hidden="false" outlineLevel="0" max="10" min="10" style="0" width="12.88"/>
    <col collapsed="false" customWidth="true" hidden="false" outlineLevel="0" max="11" min="11" style="0" width="13.99"/>
    <col collapsed="false" customWidth="true" hidden="false" outlineLevel="0" max="12" min="12" style="0" width="12.32"/>
    <col collapsed="false" customWidth="false" hidden="true" outlineLevel="0" max="16" min="13" style="0" width="10.97"/>
  </cols>
  <sheetData>
    <row r="3" customFormat="false" ht="104.25" hidden="false" customHeight="true" outlineLevel="0" collapsed="false">
      <c r="A3" s="18" t="s">
        <v>5</v>
      </c>
      <c r="B3" s="18" t="s">
        <v>6</v>
      </c>
      <c r="C3" s="383" t="s">
        <v>200</v>
      </c>
      <c r="D3" s="383" t="s">
        <v>201</v>
      </c>
      <c r="E3" s="383" t="s">
        <v>202</v>
      </c>
      <c r="F3" s="383" t="s">
        <v>203</v>
      </c>
      <c r="G3" s="383" t="s">
        <v>204</v>
      </c>
      <c r="H3" s="383" t="s">
        <v>205</v>
      </c>
      <c r="I3" s="383" t="s">
        <v>206</v>
      </c>
      <c r="J3" s="383" t="s">
        <v>207</v>
      </c>
      <c r="K3" s="383" t="s">
        <v>208</v>
      </c>
    </row>
    <row r="4" customFormat="false" ht="14.4" hidden="false" customHeight="false" outlineLevel="0" collapsed="false">
      <c r="A4" s="540" t="s">
        <v>20</v>
      </c>
      <c r="B4" s="541" t="s">
        <v>21</v>
      </c>
      <c r="C4" s="541" t="n">
        <v>668624</v>
      </c>
      <c r="D4" s="541" t="n">
        <v>0</v>
      </c>
      <c r="E4" s="542" t="n">
        <v>-30004.259</v>
      </c>
      <c r="F4" s="543" t="n">
        <f aca="false">C4+D4+E4</f>
        <v>638619.741</v>
      </c>
      <c r="G4" s="544" t="n">
        <v>56818.8</v>
      </c>
      <c r="H4" s="545" t="n">
        <v>517025.033</v>
      </c>
      <c r="I4" s="546" t="n">
        <f aca="false">(G4+H4)/F4</f>
        <v>0.898568891875204</v>
      </c>
      <c r="J4" s="545" t="n">
        <v>12241.451</v>
      </c>
      <c r="K4" s="546" t="n">
        <f aca="false">(G4+H4+J4)/F4</f>
        <v>0.917737499129392</v>
      </c>
      <c r="L4" s="547" t="s">
        <v>209</v>
      </c>
      <c r="M4" s="0" t="n">
        <f aca="false">F4+F5+F6</f>
        <v>665132.615</v>
      </c>
      <c r="N4" s="0" t="n">
        <f aca="false">G4+G5+G6+H4+H5+H6+J4+J5+J6</f>
        <v>591858.839</v>
      </c>
      <c r="O4" s="0" t="n">
        <f aca="false">M4-N4</f>
        <v>73273.776</v>
      </c>
      <c r="P4" s="548" t="n">
        <f aca="false">N4/M4</f>
        <v>0.889835839729495</v>
      </c>
    </row>
    <row r="5" customFormat="false" ht="14.4" hidden="false" customHeight="false" outlineLevel="0" collapsed="false">
      <c r="A5" s="540" t="s">
        <v>20</v>
      </c>
      <c r="B5" s="541" t="s">
        <v>22</v>
      </c>
      <c r="C5" s="541" t="n">
        <v>28393</v>
      </c>
      <c r="D5" s="542" t="n">
        <v>-26086.515</v>
      </c>
      <c r="E5" s="541" t="n">
        <v>0</v>
      </c>
      <c r="F5" s="543" t="n">
        <f aca="false">C5+D5+E5</f>
        <v>2306.485</v>
      </c>
      <c r="G5" s="544" t="n">
        <v>0</v>
      </c>
      <c r="H5" s="545" t="n">
        <v>0</v>
      </c>
      <c r="I5" s="546" t="n">
        <f aca="false">(G5+H5)/F5</f>
        <v>0</v>
      </c>
      <c r="J5" s="545" t="n">
        <v>0</v>
      </c>
      <c r="K5" s="546" t="n">
        <f aca="false">(G5+H5+J5)/F5</f>
        <v>0</v>
      </c>
      <c r="L5" s="547" t="s">
        <v>209</v>
      </c>
    </row>
    <row r="6" customFormat="false" ht="14.4" hidden="false" customHeight="false" outlineLevel="0" collapsed="false">
      <c r="A6" s="540" t="s">
        <v>20</v>
      </c>
      <c r="B6" s="541" t="s">
        <v>23</v>
      </c>
      <c r="C6" s="541" t="n">
        <v>25528</v>
      </c>
      <c r="D6" s="542" t="n">
        <v>-3083</v>
      </c>
      <c r="E6" s="549" t="n">
        <v>1761.389</v>
      </c>
      <c r="F6" s="543" t="n">
        <f aca="false">C6+D6+E6</f>
        <v>24206.389</v>
      </c>
      <c r="G6" s="544" t="n">
        <v>0</v>
      </c>
      <c r="H6" s="545" t="n">
        <v>5773.555</v>
      </c>
      <c r="I6" s="546" t="n">
        <f aca="false">(G6+H6)/F6</f>
        <v>0.238513683308981</v>
      </c>
      <c r="J6" s="545" t="n">
        <v>0</v>
      </c>
      <c r="K6" s="546" t="n">
        <f aca="false">(G6+H6+J6)/F6</f>
        <v>0.238513683308981</v>
      </c>
      <c r="L6" s="547" t="s">
        <v>209</v>
      </c>
    </row>
    <row r="7" customFormat="false" ht="14.4" hidden="false" customHeight="false" outlineLevel="0" collapsed="false">
      <c r="A7" s="540" t="s">
        <v>24</v>
      </c>
      <c r="B7" s="541" t="s">
        <v>25</v>
      </c>
      <c r="C7" s="541" t="n">
        <v>3725</v>
      </c>
      <c r="D7" s="541" t="n">
        <v>0</v>
      </c>
      <c r="E7" s="542" t="n">
        <v>-6.532</v>
      </c>
      <c r="F7" s="543" t="n">
        <f aca="false">C7+D7+E7</f>
        <v>3718.468</v>
      </c>
      <c r="G7" s="544" t="n">
        <v>632.34</v>
      </c>
      <c r="H7" s="545" t="n">
        <v>2633.334</v>
      </c>
      <c r="I7" s="546" t="n">
        <f aca="false">(G7+H7)/F7</f>
        <v>0.87823103493159</v>
      </c>
      <c r="J7" s="545" t="n">
        <v>137.235</v>
      </c>
      <c r="K7" s="546" t="n">
        <f aca="false">(G7+H7+J7)/F7</f>
        <v>0.915137363021546</v>
      </c>
      <c r="L7" s="547" t="s">
        <v>209</v>
      </c>
    </row>
    <row r="8" customFormat="false" ht="14.4" hidden="false" customHeight="false" outlineLevel="0" collapsed="false">
      <c r="A8" s="540" t="s">
        <v>26</v>
      </c>
      <c r="B8" s="541" t="s">
        <v>27</v>
      </c>
      <c r="C8" s="541" t="n">
        <v>554</v>
      </c>
      <c r="D8" s="541" t="n">
        <v>0</v>
      </c>
      <c r="E8" s="541" t="n">
        <v>0</v>
      </c>
      <c r="F8" s="543" t="n">
        <f aca="false">C8+D8+E8</f>
        <v>554</v>
      </c>
      <c r="G8" s="544" t="n">
        <v>11.4</v>
      </c>
      <c r="H8" s="545" t="n">
        <v>502.329</v>
      </c>
      <c r="I8" s="546" t="n">
        <f aca="false">(G8+H8)/F8</f>
        <v>0.927308664259928</v>
      </c>
      <c r="J8" s="545" t="n">
        <v>0</v>
      </c>
      <c r="K8" s="546" t="n">
        <f aca="false">(G8+H8+J8)/F8</f>
        <v>0.927308664259928</v>
      </c>
      <c r="L8" s="547" t="s">
        <v>209</v>
      </c>
      <c r="M8" s="0" t="n">
        <f aca="false">F8+F9</f>
        <v>881.13</v>
      </c>
      <c r="N8" s="0" t="n">
        <f aca="false">G8+G9+H8+H9+J8+J9</f>
        <v>767.473</v>
      </c>
      <c r="O8" s="0" t="n">
        <f aca="false">M8-N8</f>
        <v>113.657</v>
      </c>
      <c r="P8" s="548" t="n">
        <f aca="false">N8/M8</f>
        <v>0.871009953128369</v>
      </c>
    </row>
    <row r="9" customFormat="false" ht="14.4" hidden="false" customHeight="false" outlineLevel="0" collapsed="false">
      <c r="A9" s="540" t="s">
        <v>26</v>
      </c>
      <c r="B9" s="541" t="s">
        <v>28</v>
      </c>
      <c r="C9" s="541" t="n">
        <v>326.5</v>
      </c>
      <c r="D9" s="541" t="n">
        <v>0</v>
      </c>
      <c r="E9" s="541" t="n">
        <v>0.63</v>
      </c>
      <c r="F9" s="543" t="n">
        <f aca="false">C9+D9+E9</f>
        <v>327.13</v>
      </c>
      <c r="G9" s="544" t="n">
        <v>0</v>
      </c>
      <c r="H9" s="545" t="n">
        <v>253.744</v>
      </c>
      <c r="I9" s="546" t="n">
        <f aca="false">(G9+H9)/F9</f>
        <v>0.775667165958488</v>
      </c>
      <c r="J9" s="545" t="n">
        <v>0</v>
      </c>
      <c r="K9" s="546" t="n">
        <f aca="false">(G9+H9+J9)/F9</f>
        <v>0.775667165958488</v>
      </c>
      <c r="L9" s="547" t="s">
        <v>209</v>
      </c>
    </row>
    <row r="10" customFormat="false" ht="14.4" hidden="false" customHeight="false" outlineLevel="0" collapsed="false">
      <c r="A10" s="540" t="s">
        <v>29</v>
      </c>
      <c r="B10" s="408" t="s">
        <v>30</v>
      </c>
      <c r="C10" s="408" t="n">
        <v>34825</v>
      </c>
      <c r="D10" s="403" t="n">
        <v>-5646.628</v>
      </c>
      <c r="E10" s="403" t="n">
        <v>-6525</v>
      </c>
      <c r="F10" s="543" t="n">
        <f aca="false">C10+D10+E10</f>
        <v>22653.372</v>
      </c>
      <c r="G10" s="544" t="n">
        <v>187.1</v>
      </c>
      <c r="H10" s="545" t="n">
        <v>16022.4</v>
      </c>
      <c r="I10" s="546" t="n">
        <f aca="false">(G10+H10)/F10</f>
        <v>0.715544688004947</v>
      </c>
      <c r="J10" s="545" t="n">
        <v>27.273</v>
      </c>
      <c r="K10" s="546" t="n">
        <f aca="false">(G10+H10+J10)/F10</f>
        <v>0.716748614731617</v>
      </c>
      <c r="L10" s="547" t="s">
        <v>209</v>
      </c>
      <c r="M10" s="0" t="n">
        <f aca="false">F10+F11+F12+F13</f>
        <v>224338.709</v>
      </c>
      <c r="N10" s="0" t="n">
        <f aca="false">G10+G11+G12+G13+H10+H11+H12+H13+J10+J11+J12+J13</f>
        <v>218641.165</v>
      </c>
      <c r="O10" s="0" t="n">
        <f aca="false">M10-N10</f>
        <v>5697.54399999997</v>
      </c>
      <c r="P10" s="548" t="n">
        <f aca="false">N10/M10</f>
        <v>0.974602938452321</v>
      </c>
      <c r="Q10" s="0" t="n">
        <f aca="false">F10+F11+F12+F13</f>
        <v>224338.709</v>
      </c>
      <c r="R10" s="0" t="n">
        <f aca="false">G10+G11+G12+G13+H10+H11+H12+H13+J10+J11+J12+J13</f>
        <v>218641.165</v>
      </c>
      <c r="S10" s="550" t="n">
        <f aca="false">R10/Q10</f>
        <v>0.974602938452321</v>
      </c>
    </row>
    <row r="11" customFormat="false" ht="14.4" hidden="false" customHeight="false" outlineLevel="0" collapsed="false">
      <c r="A11" s="540" t="s">
        <v>29</v>
      </c>
      <c r="B11" s="551" t="s">
        <v>22</v>
      </c>
      <c r="C11" s="551" t="n">
        <v>7322</v>
      </c>
      <c r="D11" s="552" t="n">
        <v>8231.924</v>
      </c>
      <c r="E11" s="553" t="n">
        <v>-38.188</v>
      </c>
      <c r="F11" s="543" t="n">
        <f aca="false">C11+D11+E11</f>
        <v>15515.736</v>
      </c>
      <c r="G11" s="544" t="n">
        <v>2256.5</v>
      </c>
      <c r="H11" s="545" t="n">
        <v>12539.973</v>
      </c>
      <c r="I11" s="546" t="n">
        <f aca="false">(G11+H11)/F11</f>
        <v>0.953642998308298</v>
      </c>
      <c r="J11" s="545" t="n">
        <v>0</v>
      </c>
      <c r="K11" s="546" t="n">
        <f aca="false">(G11+H11+J11)/F11</f>
        <v>0.953642998308298</v>
      </c>
      <c r="L11" s="547" t="s">
        <v>209</v>
      </c>
    </row>
    <row r="12" customFormat="false" ht="14.4" hidden="false" customHeight="false" outlineLevel="0" collapsed="false">
      <c r="A12" s="540" t="s">
        <v>29</v>
      </c>
      <c r="B12" s="551" t="s">
        <v>31</v>
      </c>
      <c r="C12" s="551" t="n">
        <v>156707</v>
      </c>
      <c r="D12" s="552" t="n">
        <v>11816.128</v>
      </c>
      <c r="E12" s="552" t="n">
        <v>7991.385</v>
      </c>
      <c r="F12" s="543" t="n">
        <f aca="false">C12+D12+E12</f>
        <v>176514.513</v>
      </c>
      <c r="G12" s="544" t="n">
        <v>32188.8</v>
      </c>
      <c r="H12" s="545" t="n">
        <v>135507.051</v>
      </c>
      <c r="I12" s="546" t="n">
        <f aca="false">(G12+H12)/F12</f>
        <v>0.950040017389392</v>
      </c>
      <c r="J12" s="545" t="n">
        <v>10223.589</v>
      </c>
      <c r="K12" s="546" t="n">
        <f aca="false">(G12+H12+J12)/F12</f>
        <v>1.00795927188151</v>
      </c>
      <c r="L12" s="547" t="s">
        <v>209</v>
      </c>
    </row>
    <row r="13" customFormat="false" ht="14.4" hidden="false" customHeight="false" outlineLevel="0" collapsed="false">
      <c r="A13" s="540" t="s">
        <v>29</v>
      </c>
      <c r="B13" s="551" t="s">
        <v>32</v>
      </c>
      <c r="C13" s="551" t="n">
        <v>21969</v>
      </c>
      <c r="D13" s="553" t="n">
        <v>-11314.415</v>
      </c>
      <c r="E13" s="553" t="n">
        <v>-999.497</v>
      </c>
      <c r="F13" s="543" t="n">
        <f aca="false">C13+D13+E13</f>
        <v>9655.088</v>
      </c>
      <c r="G13" s="544" t="n">
        <v>4538.5</v>
      </c>
      <c r="H13" s="545" t="n">
        <v>4652.377</v>
      </c>
      <c r="I13" s="546" t="n">
        <f aca="false">(G13+H13)/F13</f>
        <v>0.951920583219956</v>
      </c>
      <c r="J13" s="545" t="n">
        <v>497.602</v>
      </c>
      <c r="K13" s="546" t="n">
        <f aca="false">(G13+H13+J13)/F13</f>
        <v>1.00345838380758</v>
      </c>
      <c r="L13" s="547" t="s">
        <v>209</v>
      </c>
    </row>
    <row r="14" customFormat="false" ht="14.4" hidden="false" customHeight="false" outlineLevel="0" collapsed="false">
      <c r="A14" s="540" t="s">
        <v>33</v>
      </c>
      <c r="B14" s="541" t="s">
        <v>34</v>
      </c>
      <c r="C14" s="541" t="n">
        <v>1182</v>
      </c>
      <c r="D14" s="542" t="n">
        <v>-60</v>
      </c>
      <c r="E14" s="542" t="n">
        <v>-85</v>
      </c>
      <c r="F14" s="543" t="n">
        <f aca="false">C14+D14+E14</f>
        <v>1037</v>
      </c>
      <c r="G14" s="544" t="n">
        <v>0</v>
      </c>
      <c r="H14" s="545" t="n">
        <v>912.269</v>
      </c>
      <c r="I14" s="546" t="n">
        <f aca="false">(G14+H14)/F14</f>
        <v>0.879719382835101</v>
      </c>
      <c r="J14" s="545" t="n">
        <v>0</v>
      </c>
      <c r="K14" s="546" t="n">
        <f aca="false">(G14+H14+J14)/F14</f>
        <v>0.879719382835101</v>
      </c>
      <c r="L14" s="547" t="s">
        <v>209</v>
      </c>
    </row>
    <row r="15" customFormat="false" ht="14.4" hidden="false" customHeight="false" outlineLevel="0" collapsed="false">
      <c r="A15" s="554" t="s">
        <v>35</v>
      </c>
      <c r="B15" s="541" t="s">
        <v>36</v>
      </c>
      <c r="C15" s="541" t="n">
        <v>1154</v>
      </c>
      <c r="D15" s="541" t="n">
        <v>0</v>
      </c>
      <c r="E15" s="542" t="n">
        <v>-16.5</v>
      </c>
      <c r="F15" s="543" t="n">
        <f aca="false">C15+D15+E15</f>
        <v>1137.5</v>
      </c>
      <c r="G15" s="544" t="n">
        <v>0</v>
      </c>
      <c r="H15" s="545" t="n">
        <v>713.09</v>
      </c>
      <c r="I15" s="546" t="n">
        <f aca="false">(G15+H15)/F15</f>
        <v>0.626892307692308</v>
      </c>
      <c r="J15" s="545" t="n">
        <v>0</v>
      </c>
      <c r="K15" s="546" t="n">
        <f aca="false">(G15+H15+J15)/F15</f>
        <v>0.626892307692308</v>
      </c>
      <c r="L15" s="547" t="s">
        <v>209</v>
      </c>
    </row>
    <row r="16" customFormat="false" ht="14.4" hidden="false" customHeight="false" outlineLevel="0" collapsed="false">
      <c r="A16" s="540" t="s">
        <v>37</v>
      </c>
      <c r="B16" s="541" t="s">
        <v>38</v>
      </c>
      <c r="C16" s="541" t="n">
        <v>23540</v>
      </c>
      <c r="D16" s="541" t="n">
        <v>0</v>
      </c>
      <c r="E16" s="542" t="n">
        <v>-0.300000000000034</v>
      </c>
      <c r="F16" s="543" t="n">
        <f aca="false">C16+D16+E16</f>
        <v>23539.7</v>
      </c>
      <c r="G16" s="544" t="n">
        <v>2624.4</v>
      </c>
      <c r="H16" s="545" t="n">
        <v>20308.804</v>
      </c>
      <c r="I16" s="546" t="n">
        <f aca="false">(G16+H16)/F16</f>
        <v>0.974235185665068</v>
      </c>
      <c r="J16" s="545" t="n">
        <v>557.422</v>
      </c>
      <c r="K16" s="546" t="n">
        <f aca="false">(G16+H16+J16)/F16</f>
        <v>0.997915266549701</v>
      </c>
      <c r="L16" s="547" t="s">
        <v>209</v>
      </c>
    </row>
    <row r="17" customFormat="false" ht="14.4" hidden="false" customHeight="false" outlineLevel="0" collapsed="false">
      <c r="A17" s="540" t="s">
        <v>39</v>
      </c>
      <c r="B17" s="541" t="s">
        <v>40</v>
      </c>
      <c r="C17" s="541" t="n">
        <v>35400</v>
      </c>
      <c r="D17" s="542" t="n">
        <v>-3639.442</v>
      </c>
      <c r="E17" s="541" t="n">
        <v>0</v>
      </c>
      <c r="F17" s="543" t="n">
        <f aca="false">C17+D17+E17</f>
        <v>31760.558</v>
      </c>
      <c r="G17" s="544" t="n">
        <v>1092.108</v>
      </c>
      <c r="H17" s="545" t="n">
        <v>19939.132</v>
      </c>
      <c r="I17" s="546" t="n">
        <f aca="false">(G17+H17)/F17</f>
        <v>0.66218106117657</v>
      </c>
      <c r="J17" s="545" t="n">
        <v>625.403</v>
      </c>
      <c r="K17" s="546" t="n">
        <f aca="false">(G17+H17+J17)/F17</f>
        <v>0.681872245443547</v>
      </c>
      <c r="L17" s="547" t="s">
        <v>209</v>
      </c>
      <c r="M17" s="0" t="n">
        <f aca="false">F17+F18</f>
        <v>61010.86</v>
      </c>
      <c r="N17" s="0" t="n">
        <f aca="false">G17+G18+H17+H18+J17+J18</f>
        <v>49132.056</v>
      </c>
      <c r="O17" s="0" t="n">
        <f aca="false">M17-N17</f>
        <v>11878.804</v>
      </c>
      <c r="P17" s="548" t="n">
        <f aca="false">N17/M17</f>
        <v>0.805300171149858</v>
      </c>
    </row>
    <row r="18" customFormat="false" ht="14.4" hidden="false" customHeight="false" outlineLevel="0" collapsed="false">
      <c r="A18" s="540" t="s">
        <v>39</v>
      </c>
      <c r="B18" s="541" t="s">
        <v>41</v>
      </c>
      <c r="C18" s="541" t="n">
        <v>23610.107</v>
      </c>
      <c r="D18" s="549" t="n">
        <v>5640.195</v>
      </c>
      <c r="E18" s="541" t="n">
        <v>0</v>
      </c>
      <c r="F18" s="543" t="n">
        <f aca="false">C18+D18+E18</f>
        <v>29250.302</v>
      </c>
      <c r="G18" s="544" t="n">
        <v>0.803</v>
      </c>
      <c r="H18" s="545" t="n">
        <v>27474.61</v>
      </c>
      <c r="I18" s="546" t="n">
        <f aca="false">(G18+H18)/F18</f>
        <v>0.939320660689247</v>
      </c>
      <c r="J18" s="545" t="n">
        <v>0</v>
      </c>
      <c r="K18" s="546" t="n">
        <f aca="false">(G18+H18+J18)/F18</f>
        <v>0.939320660689247</v>
      </c>
      <c r="L18" s="547" t="s">
        <v>209</v>
      </c>
    </row>
    <row r="19" customFormat="false" ht="14.4" hidden="false" customHeight="false" outlineLevel="0" collapsed="false">
      <c r="A19" s="540" t="s">
        <v>42</v>
      </c>
      <c r="B19" s="541" t="s">
        <v>43</v>
      </c>
      <c r="C19" s="541" t="n">
        <v>24857.5</v>
      </c>
      <c r="D19" s="541" t="n">
        <v>0</v>
      </c>
      <c r="E19" s="541" t="n">
        <v>0</v>
      </c>
      <c r="F19" s="543" t="n">
        <f aca="false">C19+D19+E19</f>
        <v>24857.5</v>
      </c>
      <c r="G19" s="544" t="n">
        <v>0</v>
      </c>
      <c r="H19" s="545" t="n">
        <v>15303.326</v>
      </c>
      <c r="I19" s="546" t="n">
        <f aca="false">(G19+H19)/F19</f>
        <v>0.615642200543096</v>
      </c>
      <c r="J19" s="545" t="n">
        <v>0</v>
      </c>
      <c r="K19" s="546" t="n">
        <f aca="false">(G19+H19+J19)/F19</f>
        <v>0.615642200543096</v>
      </c>
      <c r="L19" s="547" t="s">
        <v>209</v>
      </c>
    </row>
    <row r="20" customFormat="false" ht="14.4" hidden="false" customHeight="false" outlineLevel="0" collapsed="false">
      <c r="A20" s="555" t="s">
        <v>44</v>
      </c>
      <c r="B20" s="556" t="s">
        <v>27</v>
      </c>
      <c r="C20" s="556" t="n">
        <v>5046</v>
      </c>
      <c r="D20" s="557" t="n">
        <v>2857.707</v>
      </c>
      <c r="E20" s="557" t="n">
        <v>3279.02</v>
      </c>
      <c r="F20" s="558" t="n">
        <f aca="false">C20+D20+E20</f>
        <v>11182.727</v>
      </c>
      <c r="G20" s="556" t="n">
        <v>430</v>
      </c>
      <c r="H20" s="559" t="n">
        <v>10050.032</v>
      </c>
      <c r="I20" s="560" t="n">
        <f aca="false">(G20+H20)/F20</f>
        <v>0.937162464933643</v>
      </c>
      <c r="J20" s="545" t="n">
        <v>90.187</v>
      </c>
      <c r="K20" s="546" t="n">
        <f aca="false">(G20+H20+J20)/F20</f>
        <v>0.94522731351664</v>
      </c>
      <c r="L20" s="547" t="s">
        <v>209</v>
      </c>
      <c r="M20" s="0" t="n">
        <f aca="false">F20+F21</f>
        <v>14237.81</v>
      </c>
      <c r="N20" s="0" t="n">
        <f aca="false">G20+G21+H20+H21+J20+J21</f>
        <v>13522.921</v>
      </c>
      <c r="O20" s="0" t="n">
        <f aca="false">M20-N20</f>
        <v>714.889000000003</v>
      </c>
      <c r="P20" s="548" t="n">
        <f aca="false">N20/M20</f>
        <v>0.949789398790966</v>
      </c>
    </row>
    <row r="21" customFormat="false" ht="14.4" hidden="false" customHeight="false" outlineLevel="0" collapsed="false">
      <c r="A21" s="555" t="s">
        <v>44</v>
      </c>
      <c r="B21" s="556" t="s">
        <v>28</v>
      </c>
      <c r="C21" s="556" t="n">
        <v>3218</v>
      </c>
      <c r="D21" s="557" t="n">
        <v>276.344</v>
      </c>
      <c r="E21" s="561" t="n">
        <v>-439.261</v>
      </c>
      <c r="F21" s="558" t="n">
        <f aca="false">C21+D21+E21</f>
        <v>3055.083</v>
      </c>
      <c r="G21" s="556" t="n">
        <v>0</v>
      </c>
      <c r="H21" s="559" t="n">
        <v>2952.702</v>
      </c>
      <c r="I21" s="560" t="n">
        <f aca="false">(G21+H21)/F21</f>
        <v>0.966488308173624</v>
      </c>
      <c r="J21" s="545" t="n">
        <v>0</v>
      </c>
      <c r="K21" s="546" t="n">
        <f aca="false">(G21+H21+J21)/F21</f>
        <v>0.966488308173624</v>
      </c>
      <c r="L21" s="547" t="s">
        <v>209</v>
      </c>
    </row>
    <row r="22" customFormat="false" ht="14.4" hidden="false" customHeight="false" outlineLevel="0" collapsed="false">
      <c r="A22" s="540" t="s">
        <v>45</v>
      </c>
      <c r="B22" s="541" t="s">
        <v>46</v>
      </c>
      <c r="C22" s="541" t="n">
        <v>128462</v>
      </c>
      <c r="D22" s="542" t="n">
        <v>-31116.99</v>
      </c>
      <c r="E22" s="549" t="n">
        <v>15800.702</v>
      </c>
      <c r="F22" s="543" t="n">
        <f aca="false">C22+D22+E22</f>
        <v>113145.712</v>
      </c>
      <c r="G22" s="544" t="n">
        <v>0</v>
      </c>
      <c r="H22" s="545" t="n">
        <v>54272.682</v>
      </c>
      <c r="I22" s="546" t="n">
        <f aca="false">(G22+H22)/F22</f>
        <v>0.479670692248594</v>
      </c>
      <c r="J22" s="545" t="n">
        <v>0</v>
      </c>
      <c r="K22" s="546" t="n">
        <f aca="false">(G22+H22+J22)/F22</f>
        <v>0.479670692248594</v>
      </c>
      <c r="L22" s="547" t="s">
        <v>209</v>
      </c>
    </row>
    <row r="23" customFormat="false" ht="14.4" hidden="false" customHeight="false" outlineLevel="0" collapsed="false">
      <c r="A23" s="540" t="s">
        <v>47</v>
      </c>
      <c r="B23" s="541" t="s">
        <v>21</v>
      </c>
      <c r="C23" s="541" t="n">
        <v>1470</v>
      </c>
      <c r="D23" s="541" t="n">
        <v>0</v>
      </c>
      <c r="E23" s="541" t="n">
        <v>0</v>
      </c>
      <c r="F23" s="543" t="n">
        <f aca="false">C23+D23+E23</f>
        <v>1470</v>
      </c>
      <c r="G23" s="544" t="n">
        <v>0</v>
      </c>
      <c r="H23" s="545" t="n">
        <v>0</v>
      </c>
      <c r="I23" s="546" t="n">
        <f aca="false">(G23+H23)/F23</f>
        <v>0</v>
      </c>
      <c r="J23" s="545" t="n">
        <v>0</v>
      </c>
      <c r="K23" s="546" t="n">
        <f aca="false">(G23+H23+J23)/F23</f>
        <v>0</v>
      </c>
      <c r="L23" s="547" t="s">
        <v>209</v>
      </c>
    </row>
    <row r="24" customFormat="false" ht="14.4" hidden="false" customHeight="false" outlineLevel="0" collapsed="false">
      <c r="A24" s="540" t="s">
        <v>47</v>
      </c>
      <c r="B24" s="541" t="s">
        <v>22</v>
      </c>
      <c r="C24" s="541" t="n">
        <v>625</v>
      </c>
      <c r="D24" s="542" t="n">
        <v>-159.596</v>
      </c>
      <c r="E24" s="541" t="n">
        <v>0</v>
      </c>
      <c r="F24" s="543" t="n">
        <f aca="false">C24+D24+E24</f>
        <v>465.404</v>
      </c>
      <c r="G24" s="544" t="n">
        <v>0</v>
      </c>
      <c r="H24" s="545" t="n">
        <v>0</v>
      </c>
      <c r="I24" s="546" t="n">
        <f aca="false">(G24+H24)/F24</f>
        <v>0</v>
      </c>
      <c r="J24" s="545" t="n">
        <v>0</v>
      </c>
      <c r="K24" s="546" t="n">
        <f aca="false">(G24+H24+J24)/F24</f>
        <v>0</v>
      </c>
      <c r="L24" s="547" t="s">
        <v>209</v>
      </c>
    </row>
    <row r="26" customFormat="false" ht="14.4" hidden="false" customHeight="false" outlineLevel="0" collapsed="false">
      <c r="D26" s="90" t="n">
        <f aca="false">+D20+E20</f>
        <v>6136.727</v>
      </c>
      <c r="I26" s="90" t="n">
        <f aca="false">+(G20+H20+J20)</f>
        <v>10570.219</v>
      </c>
    </row>
    <row r="27" customFormat="false" ht="14.4" hidden="false" customHeight="false" outlineLevel="0" collapsed="false">
      <c r="D27" s="90" t="n">
        <f aca="false">+D21+E21</f>
        <v>-162.917</v>
      </c>
      <c r="I27" s="90" t="n">
        <f aca="false">+(G21+H21+J21)</f>
        <v>2952.702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E5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5" activeCellId="0" sqref="G5:G25"/>
    </sheetView>
  </sheetViews>
  <sheetFormatPr defaultColWidth="10.96484375" defaultRowHeight="14.4" customHeight="false" zeroHeight="false" outlineLevelRow="0" outlineLevelCol="0"/>
  <sheetData>
    <row r="5" customFormat="false" ht="14.4" hidden="false" customHeight="false" outlineLevel="0" collapsed="false">
      <c r="E5" s="0" t="n">
        <v>598733.199</v>
      </c>
      <c r="F5" s="0" t="n">
        <v>0</v>
      </c>
      <c r="G5" s="0" t="n">
        <v>169072.55</v>
      </c>
    </row>
    <row r="6" customFormat="false" ht="14.4" hidden="false" customHeight="false" outlineLevel="0" collapsed="false">
      <c r="E6" s="0" t="n">
        <v>28393.001</v>
      </c>
      <c r="F6" s="0" t="n">
        <v>-26086.515</v>
      </c>
      <c r="G6" s="0" t="n">
        <v>0</v>
      </c>
    </row>
    <row r="7" customFormat="false" ht="14.4" hidden="false" customHeight="false" outlineLevel="0" collapsed="false">
      <c r="E7" s="0" t="n">
        <v>25527.998</v>
      </c>
      <c r="F7" s="0" t="n">
        <v>-3083</v>
      </c>
      <c r="G7" s="0" t="n">
        <v>1551.163</v>
      </c>
    </row>
    <row r="8" customFormat="false" ht="14.4" hidden="false" customHeight="false" outlineLevel="0" collapsed="false">
      <c r="E8" s="0" t="n">
        <v>3051.7</v>
      </c>
      <c r="F8" s="0" t="n">
        <v>0</v>
      </c>
      <c r="G8" s="0" t="n">
        <v>1420.984</v>
      </c>
    </row>
    <row r="9" customFormat="false" ht="14.4" hidden="false" customHeight="false" outlineLevel="0" collapsed="false">
      <c r="E9" s="0" t="n">
        <v>542.601</v>
      </c>
      <c r="F9" s="0" t="n">
        <v>0</v>
      </c>
      <c r="G9" s="0" t="n">
        <v>46.949</v>
      </c>
    </row>
    <row r="10" customFormat="false" ht="14.4" hidden="false" customHeight="false" outlineLevel="0" collapsed="false">
      <c r="E10" s="0" t="n">
        <v>326.5</v>
      </c>
      <c r="F10" s="0" t="n">
        <v>0</v>
      </c>
      <c r="G10" s="0" t="n">
        <v>158.571</v>
      </c>
    </row>
    <row r="11" customFormat="false" ht="14.4" hidden="false" customHeight="false" outlineLevel="0" collapsed="false">
      <c r="E11" s="0" t="n">
        <v>33953.904</v>
      </c>
      <c r="F11" s="0" t="n">
        <v>-5646.628</v>
      </c>
      <c r="G11" s="0" t="n">
        <v>15304.6</v>
      </c>
    </row>
    <row r="12" customFormat="false" ht="14.4" hidden="false" customHeight="false" outlineLevel="0" collapsed="false">
      <c r="E12" s="0" t="n">
        <v>4921.498</v>
      </c>
      <c r="F12" s="0" t="n">
        <v>8231.924</v>
      </c>
      <c r="G12" s="0" t="n">
        <v>12514.743</v>
      </c>
    </row>
    <row r="13" customFormat="false" ht="14.4" hidden="false" customHeight="false" outlineLevel="0" collapsed="false">
      <c r="E13" s="0" t="n">
        <v>121428.201</v>
      </c>
      <c r="F13" s="0" t="n">
        <v>11816.128</v>
      </c>
      <c r="G13" s="0" t="n">
        <v>126136.175</v>
      </c>
    </row>
    <row r="14" customFormat="false" ht="14.4" hidden="false" customHeight="false" outlineLevel="0" collapsed="false">
      <c r="E14" s="0" t="n">
        <v>16994.588</v>
      </c>
      <c r="F14" s="0" t="n">
        <v>-11314.415</v>
      </c>
      <c r="G14" s="0" t="n">
        <v>4479.645</v>
      </c>
    </row>
    <row r="15" customFormat="false" ht="14.4" hidden="false" customHeight="false" outlineLevel="0" collapsed="false">
      <c r="E15" s="0" t="n">
        <v>1167.997</v>
      </c>
      <c r="F15" s="0" t="n">
        <v>-60</v>
      </c>
      <c r="G15" s="0" t="n">
        <v>728.272</v>
      </c>
    </row>
    <row r="16" customFormat="false" ht="14.4" hidden="false" customHeight="false" outlineLevel="0" collapsed="false">
      <c r="E16" s="0" t="n">
        <v>1132.998</v>
      </c>
      <c r="F16" s="0" t="n">
        <v>0</v>
      </c>
      <c r="G16" s="0" t="n">
        <v>551.798</v>
      </c>
    </row>
    <row r="17" customFormat="false" ht="14.4" hidden="false" customHeight="false" outlineLevel="0" collapsed="false">
      <c r="E17" s="0" t="n">
        <v>20915.602</v>
      </c>
      <c r="F17" s="0" t="n">
        <v>0</v>
      </c>
      <c r="G17" s="0" t="n">
        <v>12431.975</v>
      </c>
    </row>
    <row r="18" customFormat="false" ht="14.4" hidden="false" customHeight="false" outlineLevel="0" collapsed="false">
      <c r="E18" s="0" t="n">
        <v>34307.898</v>
      </c>
      <c r="F18" s="0" t="n">
        <v>-3639.442</v>
      </c>
      <c r="G18" s="0" t="n">
        <v>10342.455</v>
      </c>
    </row>
    <row r="19" customFormat="false" ht="14.4" hidden="false" customHeight="false" outlineLevel="0" collapsed="false">
      <c r="E19" s="0" t="n">
        <v>23609.307</v>
      </c>
      <c r="F19" s="0" t="n">
        <v>5640.195</v>
      </c>
      <c r="G19" s="0" t="n">
        <v>18723.427</v>
      </c>
    </row>
    <row r="20" customFormat="false" ht="14.4" hidden="false" customHeight="false" outlineLevel="0" collapsed="false">
      <c r="E20" s="0" t="n">
        <v>24857.5</v>
      </c>
      <c r="F20" s="0" t="n">
        <v>0</v>
      </c>
      <c r="G20" s="0" t="n">
        <v>951.784</v>
      </c>
    </row>
    <row r="21" customFormat="false" ht="14.4" hidden="false" customHeight="false" outlineLevel="0" collapsed="false">
      <c r="E21" s="0" t="n">
        <v>4616.001</v>
      </c>
      <c r="F21" s="0" t="n">
        <v>2857.707</v>
      </c>
      <c r="G21" s="0" t="n">
        <v>4867.654</v>
      </c>
    </row>
    <row r="22" customFormat="false" ht="14.4" hidden="false" customHeight="false" outlineLevel="0" collapsed="false">
      <c r="E22" s="0" t="n">
        <v>3217.999</v>
      </c>
      <c r="F22" s="0" t="n">
        <v>276.344</v>
      </c>
      <c r="G22" s="0" t="n">
        <v>2071.849</v>
      </c>
    </row>
    <row r="23" customFormat="false" ht="14.4" hidden="false" customHeight="false" outlineLevel="0" collapsed="false">
      <c r="E23" s="0" t="n">
        <v>128462</v>
      </c>
      <c r="F23" s="0" t="n">
        <v>-31116.99</v>
      </c>
      <c r="G23" s="0" t="n">
        <v>14099.565</v>
      </c>
    </row>
    <row r="24" customFormat="false" ht="14.4" hidden="false" customHeight="false" outlineLevel="0" collapsed="false">
      <c r="E24" s="0" t="n">
        <v>1439.999</v>
      </c>
      <c r="F24" s="0" t="n">
        <v>0</v>
      </c>
      <c r="G24" s="0" t="n">
        <v>0</v>
      </c>
    </row>
    <row r="25" customFormat="false" ht="14.4" hidden="false" customHeight="false" outlineLevel="0" collapsed="false">
      <c r="E25" s="0" t="n">
        <v>625</v>
      </c>
      <c r="F25" s="0" t="n">
        <v>-159.596</v>
      </c>
      <c r="G25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2013-07-18T15:01:42Z</dcterms:created>
  <dc:creator>dcatalan</dc:creator>
  <dc:description/>
  <dc:language>en-US</dc:language>
  <cp:lastModifiedBy>rgarcia</cp:lastModifiedBy>
  <cp:lastPrinted>2013-11-15T19:47:22Z</cp:lastPrinted>
  <dcterms:modified xsi:type="dcterms:W3CDTF">2019-08-19T21:51:56Z</dcterms:modified>
  <cp:revision>0</cp:revision>
  <dc:subject/>
  <dc:title/>
</cp:coreProperties>
</file>