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comments3.xml" ContentType="application/vnd.openxmlformats-officedocument.spreadsheetml.comments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7.xml" ContentType="application/vnd.openxmlformats-officedocument.spreadsheetml.comments+xml"/>
  <Override PartName="/xl/comments13.xml" ContentType="application/vnd.openxmlformats-officedocument.spreadsheetml.comments+xml"/>
  <Override PartName="/xl/comments9.xml" ContentType="application/vnd.openxmlformats-officedocument.spreadsheetml.comments+xml"/>
  <Override PartName="/xl/drawings/vmlDrawing13.vml" ContentType="application/vnd.openxmlformats-officedocument.vmlDrawing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drawing6.xml" ContentType="application/vnd.openxmlformats-officedocument.drawing+xml"/>
  <Override PartName="/xl/drawings/vmlDrawing6.vml" ContentType="application/vnd.openxmlformats-officedocument.vmlDrawing"/>
  <Override PartName="/xl/drawings/drawing16.xml" ContentType="application/vnd.openxmlformats-officedocument.drawing+xml"/>
  <Override PartName="/xl/drawings/vmlDrawing12.vml" ContentType="application/vnd.openxmlformats-officedocument.vmlDrawing"/>
  <Override PartName="/xl/drawings/vmlDrawing2.vml" ContentType="application/vnd.openxmlformats-officedocument.vmlDrawing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9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11.vml" ContentType="application/vnd.openxmlformats-officedocument.vmlDrawing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 LMC" sheetId="1" state="visible" r:id="rId3"/>
    <sheet name="Res LMC" sheetId="2" state="visible" r:id="rId4"/>
    <sheet name="C.globales" sheetId="3" state="visible" r:id="rId5"/>
    <sheet name="C.regionales" sheetId="4" state="visible" r:id="rId6"/>
    <sheet name="C.licitadas" sheetId="5" state="visible" r:id="rId7"/>
    <sheet name="Anchoveta" sheetId="6" state="visible" r:id="rId8"/>
    <sheet name="Jurel" sheetId="7" state="visible" r:id="rId9"/>
    <sheet name="C.nailon" sheetId="8" state="visible" r:id="rId10"/>
    <sheet name="C.dorado" sheetId="9" state="visible" r:id="rId11"/>
    <sheet name="L.amarillo" sheetId="10" state="visible" r:id="rId12"/>
    <sheet name="L.colorado" sheetId="11" state="visible" r:id="rId13"/>
    <sheet name="M.común" sheetId="12" state="visible" r:id="rId14"/>
    <sheet name="M.cola" sheetId="13" state="visible" r:id="rId15"/>
    <sheet name="M.sur" sheetId="14" state="visible" r:id="rId16"/>
    <sheet name="M.tres aletas" sheetId="15" state="visible" r:id="rId17"/>
    <sheet name="S.común" sheetId="16" state="visible" r:id="rId18"/>
    <sheet name="S.española" sheetId="17" state="visible" r:id="rId19"/>
    <sheet name="Hoja1" sheetId="18" state="visible" r:id="rId20"/>
  </sheets>
  <definedNames>
    <definedName function="false" hidden="false" localSheetId="0" name="Excel_BuiltIn__FilterDatabase" vbProcedure="false">'Global LMC'!$A$5:$H$26</definedName>
    <definedName function="false" hidden="false" localSheetId="3" name="Excel_BuiltIn__FilterDatabase" vbProcedure="false">'C.regionales'!$A$6:$K$52</definedName>
    <definedName function="false" hidden="false" localSheetId="12" name="Excel_BuiltIn__FilterDatabase" vbProcedure="false">'M.cola'!$A$6:$L$24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3</xdr:row>
                <xdr:rowOff>7</xdr:rowOff>
              </xdr:from>
              <xdr:to>
                <xdr:col>2</xdr:col>
                <xdr:colOff>49</xdr:colOff>
                <xdr:row>7</xdr:row>
                <xdr:rowOff>2</xdr:rowOff>
              </xdr:to>
            </anchor>
          </commentPr>
        </mc:Choice>
        <mc:Fallback/>
      </mc:AlternateContent>
    </comment>
    <comment ref="A1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D Ex 101-12 + D Ex 378-12 + D.Ex 447-12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15</xdr:row>
                <xdr:rowOff>10</xdr:rowOff>
              </xdr:from>
              <xdr:to>
                <xdr:col>2</xdr:col>
                <xdr:colOff>49</xdr:colOff>
                <xdr:row>19</xdr:row>
                <xdr:rowOff>3</xdr:rowOff>
              </xdr:to>
            </anchor>
          </commentPr>
        </mc:Choice>
        <mc:Fallback/>
      </mc:AlternateContent>
    </comment>
    <comment ref="B14" authorId="0">
      <text>
        <r>
          <rPr>
            <b val="true"/>
            <sz val="8"/>
            <color rgb="FF000000"/>
            <rFont val="Tahoma"/>
            <family val="2"/>
          </rPr>
          <t xml:space="preserve">msolisp:
</t>
        </r>
        <r>
          <rPr>
            <sz val="8"/>
            <color rgb="FF000000"/>
            <rFont val="Tahoma"/>
            <family val="2"/>
          </rPr>
          <t xml:space="preserve">Regiones XV, I, II, IX, XIV y 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19</xdr:colOff>
                <xdr:row>14</xdr:row>
                <xdr:rowOff>10</xdr:rowOff>
              </xdr:from>
              <xdr:to>
                <xdr:col>3</xdr:col>
                <xdr:colOff>27</xdr:colOff>
                <xdr:row>18</xdr:row>
                <xdr:rowOff>6</xdr:rowOff>
              </xdr:to>
            </anchor>
          </commentPr>
        </mc:Choice>
        <mc:Fallback/>
      </mc:AlternateContent>
    </comment>
    <comment ref="B15" authorId="0">
      <text>
        <r>
          <rPr>
            <b val="true"/>
            <sz val="8"/>
            <color rgb="FF000000"/>
            <rFont val="Tahoma"/>
            <family val="2"/>
          </rPr>
          <t xml:space="preserve">msolisp:
</t>
        </r>
        <r>
          <rPr>
            <sz val="8"/>
            <color rgb="FF000000"/>
            <rFont val="Tahoma"/>
            <family val="2"/>
          </rPr>
          <t xml:space="preserve">Regiones XV, I, II, IX, XIV y 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17</xdr:colOff>
                <xdr:row>13</xdr:row>
                <xdr:rowOff>6</xdr:rowOff>
              </xdr:from>
              <xdr:to>
                <xdr:col>3</xdr:col>
                <xdr:colOff>26</xdr:colOff>
                <xdr:row>17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b val="true"/>
            <sz val="8"/>
            <color rgb="FF000000"/>
            <rFont val="Tahoma"/>
            <family val="2"/>
          </rPr>
          <t xml:space="preserve">msolisp:
</t>
        </r>
        <r>
          <rPr>
            <sz val="8"/>
            <color rgb="FF000000"/>
            <rFont val="Tahoma"/>
            <family val="2"/>
          </rPr>
          <t xml:space="preserve">A ser extraídas en el área marítima comprendida fuera de las unidades y fuera de las aguas interiores de la X, XI y XII regiones.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186</xdr:colOff>
                <xdr:row>27</xdr:row>
                <xdr:rowOff>4</xdr:rowOff>
              </xdr:from>
              <xdr:to>
                <xdr:col>2</xdr:col>
                <xdr:colOff>38</xdr:colOff>
                <xdr:row>33</xdr:row>
                <xdr:rowOff>2</xdr:rowOff>
              </xdr:to>
            </anchor>
          </commentPr>
        </mc:Choice>
        <mc:Fallback/>
      </mc:AlternateContent>
    </comment>
    <comment ref="C1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aumento 60 tone,ladas por D.E 378-12 (para artesanales). Mas 75 ton por D.Ex. 447 (para artesanales)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17</xdr:colOff>
                <xdr:row>15</xdr:row>
                <xdr:rowOff>10</xdr:rowOff>
              </xdr:from>
              <xdr:to>
                <xdr:col>4</xdr:col>
                <xdr:colOff>24</xdr:colOff>
                <xdr:row>19</xdr:row>
                <xdr:rowOff>3</xdr:rowOff>
              </xdr:to>
            </anchor>
          </commentPr>
        </mc:Choice>
        <mc:Fallback/>
      </mc:AlternateContent>
    </comment>
    <comment ref="J1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hubo 2 cierres debido a que la cuota se aumento segundo cierre 20.04.12. tercer cierre respecto a D.Ex 447-12 15.05.12 (excepto región XIV)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17</xdr:colOff>
                <xdr:row>15</xdr:row>
                <xdr:rowOff>10</xdr:rowOff>
              </xdr:from>
              <xdr:to>
                <xdr:col>12</xdr:col>
                <xdr:colOff>37</xdr:colOff>
                <xdr:row>21</xdr:row>
                <xdr:rowOff>11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Periodos modificados por D.Ex. 826-2012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32</xdr:row>
                <xdr:rowOff>10</xdr:rowOff>
              </xdr:from>
              <xdr:to>
                <xdr:col>2</xdr:col>
                <xdr:colOff>106</xdr:colOff>
                <xdr:row>36</xdr:row>
                <xdr:rowOff>14</xdr:rowOff>
              </xdr:to>
            </anchor>
          </commentPr>
        </mc:Choice>
        <mc:Fallback/>
      </mc:AlternateContent>
    </comment>
    <comment ref="A4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Modificada por D.Ex 962 a 2100 ton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36</xdr:row>
                <xdr:rowOff>10</xdr:rowOff>
              </xdr:from>
              <xdr:to>
                <xdr:col>2</xdr:col>
                <xdr:colOff>106</xdr:colOff>
                <xdr:row>46</xdr:row>
                <xdr:rowOff>15</xdr:rowOff>
              </xdr:to>
            </anchor>
          </commentPr>
        </mc:Choice>
        <mc:Fallback/>
      </mc:AlternateContent>
    </comment>
    <comment ref="J3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Primer cierre 03.07.12. luego cambian los periodos por D.E. 826/12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17</xdr:colOff>
                <xdr:row>33</xdr:row>
                <xdr:rowOff>11</xdr:rowOff>
              </xdr:from>
              <xdr:to>
                <xdr:col>11</xdr:col>
                <xdr:colOff>45</xdr:colOff>
                <xdr:row>43</xdr:row>
                <xdr:rowOff>15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12"/>
            <color rgb="FF000000"/>
            <rFont val="Tahoma"/>
            <family val="2"/>
          </rPr>
          <t xml:space="preserve">dcatalan:
</t>
        </r>
        <r>
          <rPr>
            <sz val="12"/>
            <color rgb="FF000000"/>
            <rFont val="Tahoma"/>
            <family val="2"/>
          </rPr>
          <t xml:space="preserve">D.E.  Nº 1058-11 Establece cuota global anual de captura Lang. amarillo.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3</xdr:row>
                <xdr:rowOff>6</xdr:rowOff>
              </xdr:from>
              <xdr:to>
                <xdr:col>3</xdr:col>
                <xdr:colOff>129</xdr:colOff>
                <xdr:row>7</xdr:row>
                <xdr:rowOff>4</xdr:rowOff>
              </xdr:to>
            </anchor>
          </commentPr>
        </mc:Choice>
        <mc:Fallback/>
      </mc:AlternateContent>
    </comment>
    <comment ref="A26" authorId="0">
      <text>
        <r>
          <rPr>
            <b val="true"/>
            <sz val="12"/>
            <color rgb="FF000000"/>
            <rFont val="Tahoma"/>
            <family val="2"/>
          </rPr>
          <t xml:space="preserve">dcatalan:
</t>
        </r>
        <r>
          <rPr>
            <sz val="12"/>
            <color rgb="FF000000"/>
            <rFont val="Tahoma"/>
            <family val="2"/>
          </rPr>
          <t xml:space="preserve">D.E. Nº 1057-11 Establece cuota global anual de captura Lang. Colorado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24</xdr:row>
                <xdr:rowOff>6</xdr:rowOff>
              </xdr:from>
              <xdr:to>
                <xdr:col>3</xdr:col>
                <xdr:colOff>66</xdr:colOff>
                <xdr:row>28</xdr:row>
                <xdr:rowOff>9</xdr:rowOff>
              </xdr:to>
            </anchor>
          </commentPr>
        </mc:Choice>
        <mc:Fallback/>
      </mc:AlternateContent>
    </comment>
    <comment ref="A46" authorId="0">
      <text>
        <r>
          <rPr>
            <b val="true"/>
            <sz val="12"/>
            <color rgb="FF000000"/>
            <rFont val="Tahoma"/>
            <family val="2"/>
          </rPr>
          <t xml:space="preserve">dcatalan:
</t>
        </r>
        <r>
          <rPr>
            <sz val="12"/>
            <color rgb="FF000000"/>
            <rFont val="Tahoma"/>
            <family val="2"/>
          </rPr>
          <t xml:space="preserve">D.E. 1109-11. Establece cuota anual de captura de bacalao de profundidad.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45</xdr:row>
                <xdr:rowOff>10</xdr:rowOff>
              </xdr:from>
              <xdr:to>
                <xdr:col>3</xdr:col>
                <xdr:colOff>107</xdr:colOff>
                <xdr:row>48</xdr:row>
                <xdr:rowOff>1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-20000 ton</t>
        </r>
        <r>
          <rPr>
            <sz val="8"/>
            <color rgb="FF000000"/>
            <rFont val="Tahoma"/>
            <family val="2"/>
          </rPr>
          <t xml:space="preserve"> a traves de Res Nº 1397. Cede </t>
        </r>
        <r>
          <rPr>
            <b val="true"/>
            <sz val="8"/>
            <color rgb="FF000000"/>
            <rFont val="Tahoma"/>
            <family val="2"/>
          </rPr>
          <t xml:space="preserve">-20000 ton</t>
        </r>
        <r>
          <rPr>
            <sz val="8"/>
            <color rgb="FF000000"/>
            <rFont val="Tahoma"/>
            <family val="2"/>
          </rPr>
          <t xml:space="preserve"> a traves de Res Nº 1695. Cede </t>
        </r>
        <r>
          <rPr>
            <b val="true"/>
            <sz val="8"/>
            <color rgb="FF000000"/>
            <rFont val="Tahoma"/>
            <family val="2"/>
          </rPr>
          <t xml:space="preserve">-12000 ton</t>
        </r>
        <r>
          <rPr>
            <sz val="8"/>
            <color rgb="FF000000"/>
            <rFont val="Tahoma"/>
            <family val="2"/>
          </rPr>
          <t xml:space="preserve"> a traves de Res N º 2883. Incremento de </t>
        </r>
        <r>
          <rPr>
            <b val="true"/>
            <sz val="8"/>
            <color rgb="FF000000"/>
            <rFont val="Tahoma"/>
            <family val="2"/>
          </rPr>
          <t xml:space="preserve">17085.86 ton</t>
        </r>
        <r>
          <rPr>
            <sz val="8"/>
            <color rgb="FF000000"/>
            <rFont val="Tahoma"/>
            <family val="2"/>
          </rPr>
          <t xml:space="preserve"> por D.Ex Nº 1132.
Cede</t>
        </r>
        <r>
          <rPr>
            <b val="true"/>
            <sz val="8"/>
            <color rgb="FF000000"/>
            <rFont val="Tahoma"/>
            <family val="2"/>
          </rPr>
          <t xml:space="preserve"> -10000 ton </t>
        </r>
        <r>
          <rPr>
            <sz val="8"/>
            <color rgb="FF000000"/>
            <rFont val="Tahoma"/>
            <family val="2"/>
          </rPr>
          <t xml:space="preserve">a traves de Res Nº 3068
RES N°3385-12 CEDE </t>
        </r>
        <r>
          <rPr>
            <b val="true"/>
            <sz val="8"/>
            <color rgb="FF000000"/>
            <rFont val="Tahoma"/>
            <family val="2"/>
          </rPr>
          <t xml:space="preserve">-5000</t>
        </r>
        <r>
          <rPr>
            <sz val="8"/>
            <color rgb="FF000000"/>
            <rFont val="Tahoma"/>
            <family val="2"/>
          </rPr>
          <t xml:space="preserve"> TON A ARTESANALES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84</xdr:colOff>
                <xdr:row>4</xdr:row>
                <xdr:rowOff>2</xdr:rowOff>
              </xdr:from>
              <xdr:to>
                <xdr:col>12</xdr:col>
                <xdr:colOff>132</xdr:colOff>
                <xdr:row>10</xdr:row>
                <xdr:rowOff>3</xdr:rowOff>
              </xdr:to>
            </anchor>
          </commentPr>
        </mc:Choice>
        <mc:Fallback/>
      </mc:AlternateContent>
    </comment>
    <comment ref="A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Incrementada de </t>
        </r>
        <r>
          <rPr>
            <b val="true"/>
            <sz val="8"/>
            <color rgb="FF000000"/>
            <rFont val="Tahoma"/>
            <family val="2"/>
          </rPr>
          <t xml:space="preserve">4195.138</t>
        </r>
        <r>
          <rPr>
            <sz val="8"/>
            <color rgb="FF000000"/>
            <rFont val="Tahoma"/>
            <family val="2"/>
          </rPr>
          <t xml:space="preserve"> ton a traves de  D.Ex 1132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7</xdr:row>
                <xdr:rowOff>16</xdr:rowOff>
              </xdr:from>
              <xdr:to>
                <xdr:col>4</xdr:col>
                <xdr:colOff>28</xdr:colOff>
                <xdr:row>10</xdr:row>
                <xdr:rowOff>13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Ceden -</t>
        </r>
        <r>
          <rPr>
            <b val="true"/>
            <sz val="8"/>
            <color rgb="FF000000"/>
            <rFont val="Tahoma"/>
            <family val="2"/>
          </rPr>
          <t xml:space="preserve">12266.251 ton</t>
        </r>
        <r>
          <rPr>
            <sz val="8"/>
            <color rgb="FF000000"/>
            <rFont val="Tahoma"/>
            <family val="2"/>
          </rPr>
          <t xml:space="preserve"> a través de Res Nº 698.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17</xdr:row>
                <xdr:rowOff>7</xdr:rowOff>
              </xdr:from>
              <xdr:to>
                <xdr:col>5</xdr:col>
                <xdr:colOff>0</xdr:colOff>
                <xdr:row>20</xdr:row>
                <xdr:rowOff>5</xdr:rowOff>
              </xdr:to>
            </anchor>
          </commentPr>
        </mc:Choice>
        <mc:Fallback/>
      </mc:AlternateContent>
    </comment>
    <comment ref="A2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-1400 ton</t>
        </r>
        <r>
          <rPr>
            <sz val="8"/>
            <color rgb="FF000000"/>
            <rFont val="Tahoma"/>
            <family val="2"/>
          </rPr>
          <t xml:space="preserve"> a traves de Res 1970. Cede </t>
        </r>
        <r>
          <rPr>
            <b val="true"/>
            <sz val="8"/>
            <color rgb="FF000000"/>
            <rFont val="Tahoma"/>
            <family val="2"/>
          </rPr>
          <t xml:space="preserve">-533.54 ton </t>
        </r>
        <r>
          <rPr>
            <sz val="8"/>
            <color rgb="FF000000"/>
            <rFont val="Tahoma"/>
            <family val="2"/>
          </rPr>
          <t xml:space="preserve">a traves de Res Nº 2838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19</xdr:row>
                <xdr:rowOff>14</xdr:rowOff>
              </xdr:from>
              <xdr:to>
                <xdr:col>4</xdr:col>
                <xdr:colOff>36</xdr:colOff>
                <xdr:row>22</xdr:row>
                <xdr:rowOff>8</xdr:rowOff>
              </xdr:to>
            </anchor>
          </commentPr>
        </mc:Choice>
        <mc:Fallback/>
      </mc:AlternateContent>
    </comment>
    <comment ref="A2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</t>
        </r>
        <r>
          <rPr>
            <b val="true"/>
            <sz val="8"/>
            <color rgb="FF000000"/>
            <rFont val="Tahoma"/>
            <family val="2"/>
          </rPr>
          <t xml:space="preserve"> -6286.426</t>
        </r>
        <r>
          <rPr>
            <sz val="8"/>
            <color rgb="FF000000"/>
            <rFont val="Tahoma"/>
            <family val="2"/>
          </rPr>
          <t xml:space="preserve"> a traves de Res Nº 1410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21</xdr:row>
                <xdr:rowOff>12</xdr:rowOff>
              </xdr:from>
              <xdr:to>
                <xdr:col>4</xdr:col>
                <xdr:colOff>56</xdr:colOff>
                <xdr:row>24</xdr:row>
                <xdr:rowOff>7</xdr:rowOff>
              </xdr:to>
            </anchor>
          </commentPr>
        </mc:Choice>
        <mc:Fallback/>
      </mc:AlternateContent>
    </comment>
    <comment ref="A2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-330.777 ton</t>
        </r>
        <r>
          <rPr>
            <sz val="8"/>
            <color rgb="FF000000"/>
            <rFont val="Tahoma"/>
            <family val="2"/>
          </rPr>
          <t xml:space="preserve"> a travçes de Res Nº 3058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23</xdr:row>
                <xdr:rowOff>12</xdr:rowOff>
              </xdr:from>
              <xdr:to>
                <xdr:col>3</xdr:col>
                <xdr:colOff>47</xdr:colOff>
                <xdr:row>26</xdr:row>
                <xdr:rowOff>9</xdr:rowOff>
              </xdr:to>
            </anchor>
          </commentPr>
        </mc:Choice>
        <mc:Fallback/>
      </mc:AlternateContent>
    </comment>
    <comment ref="A2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</t>
        </r>
        <r>
          <rPr>
            <b val="true"/>
            <sz val="8"/>
            <color rgb="FF000000"/>
            <rFont val="Tahoma"/>
            <family val="2"/>
          </rPr>
          <t xml:space="preserve"> -8045.590</t>
        </r>
        <r>
          <rPr>
            <sz val="8"/>
            <color rgb="FF000000"/>
            <rFont val="Tahoma"/>
            <family val="2"/>
          </rPr>
          <t xml:space="preserve"> ton a traves de Res Nº 1493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25</xdr:row>
                <xdr:rowOff>12</xdr:rowOff>
              </xdr:from>
              <xdr:to>
                <xdr:col>4</xdr:col>
                <xdr:colOff>52</xdr:colOff>
                <xdr:row>28</xdr:row>
                <xdr:rowOff>7</xdr:rowOff>
              </xdr:to>
            </anchor>
          </commentPr>
        </mc:Choice>
        <mc:Fallback/>
      </mc:AlternateContent>
    </comment>
    <comment ref="A4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-0.16 ton</t>
        </r>
        <r>
          <rPr>
            <sz val="8"/>
            <color rgb="FF000000"/>
            <rFont val="Tahoma"/>
            <family val="2"/>
          </rPr>
          <t xml:space="preserve"> a traves de Res 645.  Cede </t>
        </r>
        <r>
          <rPr>
            <b val="true"/>
            <sz val="8"/>
            <color rgb="FF000000"/>
            <rFont val="Tahoma"/>
            <family val="2"/>
          </rPr>
          <t xml:space="preserve">-0.12 ton</t>
        </r>
        <r>
          <rPr>
            <sz val="8"/>
            <color rgb="FF000000"/>
            <rFont val="Tahoma"/>
            <family val="2"/>
          </rPr>
          <t xml:space="preserve"> a través de Res 646. 
Cede </t>
        </r>
        <r>
          <rPr>
            <b val="true"/>
            <sz val="8"/>
            <color rgb="FF000000"/>
            <rFont val="Tahoma"/>
            <family val="2"/>
          </rPr>
          <t xml:space="preserve">-0.08 ton</t>
        </r>
        <r>
          <rPr>
            <sz val="8"/>
            <color rgb="FF000000"/>
            <rFont val="Tahoma"/>
            <family val="2"/>
          </rPr>
          <t xml:space="preserve"> a traves de Res 894. Cede</t>
        </r>
        <r>
          <rPr>
            <b val="true"/>
            <sz val="8"/>
            <color rgb="FF000000"/>
            <rFont val="Tahoma"/>
            <family val="2"/>
          </rPr>
          <t xml:space="preserve"> -0.26 ton</t>
        </r>
        <r>
          <rPr>
            <sz val="8"/>
            <color rgb="FF000000"/>
            <rFont val="Tahoma"/>
            <family val="2"/>
          </rPr>
          <t xml:space="preserve"> a traves de Res 1230. Cede </t>
        </r>
        <r>
          <rPr>
            <b val="true"/>
            <sz val="8"/>
            <color rgb="FF000000"/>
            <rFont val="Tahoma"/>
            <family val="2"/>
          </rPr>
          <t xml:space="preserve">-0.08 ton</t>
        </r>
        <r>
          <rPr>
            <sz val="8"/>
            <color rgb="FF000000"/>
            <rFont val="Tahoma"/>
            <family val="2"/>
          </rPr>
          <t xml:space="preserve">  a traves de Res 1667. Cede </t>
        </r>
        <r>
          <rPr>
            <b val="true"/>
            <sz val="8"/>
            <color rgb="FF000000"/>
            <rFont val="Tahoma"/>
            <family val="2"/>
          </rPr>
          <t xml:space="preserve">-0.1 ton</t>
        </r>
        <r>
          <rPr>
            <sz val="8"/>
            <color rgb="FF000000"/>
            <rFont val="Tahoma"/>
            <family val="2"/>
          </rPr>
          <t xml:space="preserve"> a traves de Res 1862. Cede -</t>
        </r>
        <r>
          <rPr>
            <b val="true"/>
            <sz val="8"/>
            <color rgb="FF000000"/>
            <rFont val="Tahoma"/>
            <family val="2"/>
          </rPr>
          <t xml:space="preserve">0.24 ton</t>
        </r>
        <r>
          <rPr>
            <sz val="8"/>
            <color rgb="FF000000"/>
            <rFont val="Tahoma"/>
            <family val="2"/>
          </rPr>
          <t xml:space="preserve"> a través de Res 2246. Cede </t>
        </r>
        <r>
          <rPr>
            <b val="true"/>
            <sz val="8"/>
            <color rgb="FF000000"/>
            <rFont val="Tahoma"/>
            <family val="2"/>
          </rPr>
          <t xml:space="preserve">-0.160 ton</t>
        </r>
        <r>
          <rPr>
            <sz val="8"/>
            <color rgb="FF000000"/>
            <rFont val="Tahoma"/>
            <family val="2"/>
          </rPr>
          <t xml:space="preserve"> a traves de Res 2477. Cede -</t>
        </r>
        <r>
          <rPr>
            <b val="true"/>
            <sz val="8"/>
            <color rgb="FF000000"/>
            <rFont val="Tahoma"/>
            <family val="2"/>
          </rPr>
          <t xml:space="preserve">0.2 ton</t>
        </r>
        <r>
          <rPr>
            <sz val="8"/>
            <color rgb="FF000000"/>
            <rFont val="Tahoma"/>
            <family val="2"/>
          </rPr>
          <t xml:space="preserve"> a traves de Res 2547. Cede </t>
        </r>
        <r>
          <rPr>
            <b val="true"/>
            <sz val="8"/>
            <color rgb="FF000000"/>
            <rFont val="Tahoma"/>
            <family val="2"/>
          </rPr>
          <t xml:space="preserve">-0.160 ton</t>
        </r>
        <r>
          <rPr>
            <sz val="8"/>
            <color rgb="FF000000"/>
            <rFont val="Tahoma"/>
            <family val="2"/>
          </rPr>
          <t xml:space="preserve"> a traves de Res 2751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40</xdr:row>
                <xdr:rowOff>4</xdr:rowOff>
              </xdr:from>
              <xdr:to>
                <xdr:col>4</xdr:col>
                <xdr:colOff>26</xdr:colOff>
                <xdr:row>51</xdr:row>
                <xdr:rowOff>3</xdr:rowOff>
              </xdr:to>
            </anchor>
          </commentPr>
        </mc:Choice>
        <mc:Fallback/>
      </mc:AlternateContent>
    </comment>
    <comment ref="A4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</t>
        </r>
        <r>
          <rPr>
            <b val="true"/>
            <sz val="8"/>
            <color rgb="FF000000"/>
            <rFont val="Tahoma"/>
            <family val="2"/>
          </rPr>
          <t xml:space="preserve"> -200 ton</t>
        </r>
        <r>
          <rPr>
            <sz val="8"/>
            <color rgb="FF000000"/>
            <rFont val="Tahoma"/>
            <family val="2"/>
          </rPr>
          <t xml:space="preserve"> a traves de Res 1672. Cede </t>
        </r>
        <r>
          <rPr>
            <b val="true"/>
            <sz val="8"/>
            <color rgb="FF000000"/>
            <rFont val="Tahoma"/>
            <family val="2"/>
          </rPr>
          <t xml:space="preserve">-710.001 ton</t>
        </r>
        <r>
          <rPr>
            <sz val="8"/>
            <color rgb="FF000000"/>
            <rFont val="Tahoma"/>
            <family val="2"/>
          </rPr>
          <t xml:space="preserve"> a traves de es 1673. Cede </t>
        </r>
        <r>
          <rPr>
            <b val="true"/>
            <sz val="8"/>
            <color rgb="FF000000"/>
            <rFont val="Tahoma"/>
            <family val="2"/>
          </rPr>
          <t xml:space="preserve">-500 ton</t>
        </r>
        <r>
          <rPr>
            <sz val="8"/>
            <color rgb="FF000000"/>
            <rFont val="Tahoma"/>
            <family val="2"/>
          </rPr>
          <t xml:space="preserve"> a traves de Res 1674. Cede </t>
        </r>
        <r>
          <rPr>
            <b val="true"/>
            <sz val="8"/>
            <color rgb="FF000000"/>
            <rFont val="Tahoma"/>
            <family val="2"/>
          </rPr>
          <t xml:space="preserve">-740 ton</t>
        </r>
        <r>
          <rPr>
            <sz val="8"/>
            <color rgb="FF000000"/>
            <rFont val="Tahoma"/>
            <family val="2"/>
          </rPr>
          <t xml:space="preserve"> a traves de Res 1696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43</xdr:row>
                <xdr:rowOff>3</xdr:rowOff>
              </xdr:from>
              <xdr:to>
                <xdr:col>4</xdr:col>
                <xdr:colOff>34</xdr:colOff>
                <xdr:row>47</xdr:row>
                <xdr:rowOff>3</xdr:rowOff>
              </xdr:to>
            </anchor>
          </commentPr>
        </mc:Choice>
        <mc:Fallback/>
      </mc:AlternateContent>
    </comment>
    <comment ref="A5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Mediante Res 954-12 cede </t>
        </r>
        <r>
          <rPr>
            <b val="true"/>
            <sz val="8"/>
            <color rgb="FF000000"/>
            <rFont val="Tahoma"/>
            <family val="2"/>
          </rPr>
          <t xml:space="preserve">2499 ton</t>
        </r>
        <r>
          <rPr>
            <sz val="8"/>
            <color rgb="FF000000"/>
            <rFont val="Tahoma"/>
            <family val="2"/>
          </rPr>
          <t xml:space="preserve"> a armadores artesanales. Mediante Res Nº 2794 cede </t>
        </r>
        <r>
          <rPr>
            <b val="true"/>
            <sz val="8"/>
            <color rgb="FF000000"/>
            <rFont val="Tahoma"/>
            <family val="2"/>
          </rPr>
          <t xml:space="preserve">-2174 ton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49</xdr:row>
                <xdr:rowOff>4</xdr:rowOff>
              </xdr:from>
              <xdr:to>
                <xdr:col>5</xdr:col>
                <xdr:colOff>11</xdr:colOff>
                <xdr:row>53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-918 ton</t>
        </r>
        <r>
          <rPr>
            <sz val="8"/>
            <color rgb="FF000000"/>
            <rFont val="Tahoma"/>
            <family val="2"/>
          </rPr>
          <t xml:space="preserve"> a traves de Res Nº 1462. Cede </t>
        </r>
        <r>
          <rPr>
            <b val="true"/>
            <sz val="8"/>
            <color rgb="FF000000"/>
            <rFont val="Tahoma"/>
            <family val="2"/>
          </rPr>
          <t xml:space="preserve">-500 ton</t>
        </r>
        <r>
          <rPr>
            <sz val="8"/>
            <color rgb="FF000000"/>
            <rFont val="Tahoma"/>
            <family val="2"/>
          </rPr>
          <t xml:space="preserve"> a traves de Res Nº 1890.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52</xdr:row>
                <xdr:rowOff>4</xdr:rowOff>
              </xdr:from>
              <xdr:to>
                <xdr:col>4</xdr:col>
                <xdr:colOff>49</xdr:colOff>
                <xdr:row>56</xdr:row>
                <xdr:rowOff>2</xdr:rowOff>
              </xdr:to>
            </anchor>
          </commentPr>
        </mc:Choice>
        <mc:Fallback/>
      </mc:AlternateContent>
    </comment>
    <comment ref="A5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-250 ton</t>
        </r>
        <r>
          <rPr>
            <sz val="8"/>
            <color rgb="FF000000"/>
            <rFont val="Tahoma"/>
            <family val="2"/>
          </rPr>
          <t xml:space="preserve"> a traves de res Nº 3137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55</xdr:row>
                <xdr:rowOff>3</xdr:rowOff>
              </xdr:from>
              <xdr:to>
                <xdr:col>4</xdr:col>
                <xdr:colOff>60</xdr:colOff>
                <xdr:row>59</xdr:row>
                <xdr:rowOff>11</xdr:rowOff>
              </xdr:to>
            </anchor>
          </commentPr>
        </mc:Choice>
        <mc:Fallback/>
      </mc:AlternateContent>
    </comment>
    <comment ref="D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se hizo el descuento completo a este periodo de Res Nº2883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17</xdr:colOff>
                <xdr:row>6</xdr:row>
                <xdr:rowOff>16</xdr:rowOff>
              </xdr:from>
              <xdr:to>
                <xdr:col>5</xdr:col>
                <xdr:colOff>63</xdr:colOff>
                <xdr:row>9</xdr:row>
                <xdr:rowOff>13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-680 ton</t>
        </r>
        <r>
          <rPr>
            <sz val="8"/>
            <color rgb="FF000000"/>
            <rFont val="Tahoma"/>
            <family val="2"/>
          </rPr>
          <t xml:space="preserve"> a traves de Res Nº 3310-12. Cede -</t>
        </r>
        <r>
          <rPr>
            <b val="true"/>
            <sz val="8"/>
            <color rgb="FF000000"/>
            <rFont val="Tahoma"/>
            <family val="2"/>
          </rPr>
          <t xml:space="preserve">10000 ton</t>
        </r>
        <r>
          <rPr>
            <sz val="8"/>
            <color rgb="FF000000"/>
            <rFont val="Tahoma"/>
            <family val="2"/>
          </rPr>
          <t xml:space="preserve"> a traves de Res Nº 3340-12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5</xdr:row>
                <xdr:rowOff>11</xdr:rowOff>
              </xdr:from>
              <xdr:to>
                <xdr:col>5</xdr:col>
                <xdr:colOff>1</xdr:colOff>
                <xdr:row>8</xdr:row>
                <xdr:rowOff>6</xdr:rowOff>
              </xdr:to>
            </anchor>
          </commentPr>
        </mc:Choice>
        <mc:Fallback/>
      </mc:AlternateContent>
    </comment>
    <comment ref="A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-3500 ton</t>
        </r>
        <r>
          <rPr>
            <sz val="8"/>
            <color rgb="FF000000"/>
            <rFont val="Tahoma"/>
            <family val="2"/>
          </rPr>
          <t xml:space="preserve"> a través de Res Nº 3439.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7</xdr:row>
                <xdr:rowOff>19</xdr:rowOff>
              </xdr:from>
              <xdr:to>
                <xdr:col>4</xdr:col>
                <xdr:colOff>67</xdr:colOff>
                <xdr:row>10</xdr:row>
                <xdr:rowOff>6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2500 ton</t>
        </r>
        <r>
          <rPr>
            <sz val="8"/>
            <color rgb="FF000000"/>
            <rFont val="Tahoma"/>
            <family val="2"/>
          </rPr>
          <t xml:space="preserve"> a traves de Res Nº 952. Incremento de 4000 ton a traves de Res Nº 3340.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17</xdr:row>
                <xdr:rowOff>11</xdr:rowOff>
              </xdr:from>
              <xdr:to>
                <xdr:col>5</xdr:col>
                <xdr:colOff>27</xdr:colOff>
                <xdr:row>21</xdr:row>
                <xdr:rowOff>4</xdr:rowOff>
              </xdr:to>
            </anchor>
          </commentPr>
        </mc:Choice>
        <mc:Fallback/>
      </mc:AlternateContent>
    </comment>
    <comment ref="A2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</t>
        </r>
        <r>
          <rPr>
            <b val="true"/>
            <sz val="8"/>
            <color rgb="FF000000"/>
            <rFont val="Tahoma"/>
            <family val="2"/>
          </rPr>
          <t xml:space="preserve"> -700 ton</t>
        </r>
        <r>
          <rPr>
            <sz val="8"/>
            <color rgb="FF000000"/>
            <rFont val="Tahoma"/>
            <family val="2"/>
          </rPr>
          <t xml:space="preserve"> a traves de Res Nº 1197-12.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21</xdr:row>
                <xdr:rowOff>10</xdr:rowOff>
              </xdr:from>
              <xdr:to>
                <xdr:col>5</xdr:col>
                <xdr:colOff>8</xdr:colOff>
                <xdr:row>25</xdr:row>
                <xdr:rowOff>4</xdr:rowOff>
              </xdr:to>
            </anchor>
          </commentPr>
        </mc:Choice>
        <mc:Fallback/>
      </mc:AlternateContent>
    </comment>
    <comment ref="A2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-1788.407 </t>
        </r>
        <r>
          <rPr>
            <sz val="8"/>
            <color rgb="FF000000"/>
            <rFont val="Tahoma"/>
            <family val="2"/>
          </rPr>
          <t xml:space="preserve">ton a traves de Res 589.
Incremento de </t>
        </r>
        <r>
          <rPr>
            <b val="true"/>
            <sz val="8"/>
            <color rgb="FF000000"/>
            <rFont val="Tahoma"/>
            <family val="2"/>
          </rPr>
          <t xml:space="preserve">827 ton</t>
        </r>
        <r>
          <rPr>
            <sz val="8"/>
            <color rgb="FF000000"/>
            <rFont val="Tahoma"/>
            <family val="2"/>
          </rPr>
          <t xml:space="preserve"> a través de Res Nº 1498.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27</xdr:row>
                <xdr:rowOff>10</xdr:rowOff>
              </xdr:from>
              <xdr:to>
                <xdr:col>5</xdr:col>
                <xdr:colOff>37</xdr:colOff>
                <xdr:row>31</xdr:row>
                <xdr:rowOff>4</xdr:rowOff>
              </xdr:to>
            </anchor>
          </commentPr>
        </mc:Choice>
        <mc:Fallback/>
      </mc:AlternateContent>
    </comment>
    <comment ref="A4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-100 ton a traves de Res Nº 3386-12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45</xdr:row>
                <xdr:rowOff>11</xdr:rowOff>
              </xdr:from>
              <xdr:to>
                <xdr:col>3</xdr:col>
                <xdr:colOff>49</xdr:colOff>
                <xdr:row>48</xdr:row>
                <xdr:rowOff>24</xdr:rowOff>
              </xdr:to>
            </anchor>
          </commentPr>
        </mc:Choice>
        <mc:Fallback/>
      </mc:AlternateContent>
    </comment>
    <comment ref="A5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6983.823 ton</t>
        </r>
        <r>
          <rPr>
            <sz val="8"/>
            <color rgb="FF000000"/>
            <rFont val="Tahoma"/>
            <family val="2"/>
          </rPr>
          <t xml:space="preserve"> a través de Res Nº 589.
Cede </t>
        </r>
        <r>
          <rPr>
            <b val="true"/>
            <sz val="8"/>
            <color rgb="FF000000"/>
            <rFont val="Tahoma"/>
            <family val="2"/>
          </rPr>
          <t xml:space="preserve">-500 ton</t>
        </r>
        <r>
          <rPr>
            <sz val="8"/>
            <color rgb="FF000000"/>
            <rFont val="Tahoma"/>
            <family val="2"/>
          </rPr>
          <t xml:space="preserve"> a traves de Res Nº 606-12.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49</xdr:row>
                <xdr:rowOff>10</xdr:rowOff>
              </xdr:from>
              <xdr:to>
                <xdr:col>5</xdr:col>
                <xdr:colOff>64</xdr:colOff>
                <xdr:row>53</xdr:row>
                <xdr:rowOff>4</xdr:rowOff>
              </xdr:to>
            </anchor>
          </commentPr>
        </mc:Choice>
        <mc:Fallback/>
      </mc:AlternateContent>
    </comment>
    <comment ref="A5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100 ton a través de Res Nº 3386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53</xdr:row>
                <xdr:rowOff>10</xdr:rowOff>
              </xdr:from>
              <xdr:to>
                <xdr:col>3</xdr:col>
                <xdr:colOff>49</xdr:colOff>
                <xdr:row>57</xdr:row>
                <xdr:rowOff>4</xdr:rowOff>
              </xdr:to>
            </anchor>
          </commentPr>
        </mc:Choice>
        <mc:Fallback/>
      </mc:AlternateContent>
    </comment>
    <comment ref="A5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580 ton</t>
        </r>
        <r>
          <rPr>
            <sz val="8"/>
            <color rgb="FF000000"/>
            <rFont val="Tahoma"/>
            <family val="2"/>
          </rPr>
          <t xml:space="preserve"> a traves de Res 2374.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55</xdr:row>
                <xdr:rowOff>10</xdr:rowOff>
              </xdr:from>
              <xdr:to>
                <xdr:col>5</xdr:col>
                <xdr:colOff>6</xdr:colOff>
                <xdr:row>59</xdr:row>
                <xdr:rowOff>4</xdr:rowOff>
              </xdr:to>
            </anchor>
          </commentPr>
        </mc:Choice>
        <mc:Fallback/>
      </mc:AlternateContent>
    </comment>
    <comment ref="A5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 Incremento de </t>
        </r>
        <r>
          <rPr>
            <b val="true"/>
            <sz val="8"/>
            <color rgb="FF000000"/>
            <rFont val="Tahoma"/>
            <family val="2"/>
          </rPr>
          <t xml:space="preserve">5000 ton</t>
        </r>
        <r>
          <rPr>
            <sz val="8"/>
            <color rgb="FF000000"/>
            <rFont val="Tahoma"/>
            <family val="2"/>
          </rPr>
          <t xml:space="preserve"> de Res Nº 586. Menos  -</t>
        </r>
        <r>
          <rPr>
            <b val="true"/>
            <sz val="8"/>
            <color rgb="FF000000"/>
            <rFont val="Tahoma"/>
            <family val="2"/>
          </rPr>
          <t xml:space="preserve">2500 ton</t>
        </r>
        <r>
          <rPr>
            <sz val="8"/>
            <color rgb="FF000000"/>
            <rFont val="Tahoma"/>
            <family val="2"/>
          </rPr>
          <t xml:space="preserve"> a traves de Res Nº 952. Incremento de </t>
        </r>
        <r>
          <rPr>
            <b val="true"/>
            <sz val="8"/>
            <color rgb="FF000000"/>
            <rFont val="Tahoma"/>
            <family val="2"/>
          </rPr>
          <t xml:space="preserve">6000 ton</t>
        </r>
        <r>
          <rPr>
            <sz val="8"/>
            <color rgb="FF000000"/>
            <rFont val="Tahoma"/>
            <family val="2"/>
          </rPr>
          <t xml:space="preserve"> a traves de Res Nº 3340.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57</xdr:row>
                <xdr:rowOff>10</xdr:rowOff>
              </xdr:from>
              <xdr:to>
                <xdr:col>5</xdr:col>
                <xdr:colOff>14</xdr:colOff>
                <xdr:row>61</xdr:row>
                <xdr:rowOff>4</xdr:rowOff>
              </xdr:to>
            </anchor>
          </commentPr>
        </mc:Choice>
        <mc:Fallback/>
      </mc:AlternateContent>
    </comment>
    <comment ref="A6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2700 ton </t>
        </r>
        <r>
          <rPr>
            <sz val="8"/>
            <color rgb="FF000000"/>
            <rFont val="Tahoma"/>
            <family val="2"/>
          </rPr>
          <t xml:space="preserve">a traves de Res 1197-12. 
Incremento de </t>
        </r>
        <r>
          <rPr>
            <b val="true"/>
            <sz val="8"/>
            <color rgb="FF000000"/>
            <rFont val="Tahoma"/>
            <family val="2"/>
          </rPr>
          <t xml:space="preserve">753 ton </t>
        </r>
        <r>
          <rPr>
            <sz val="8"/>
            <color rgb="FF000000"/>
            <rFont val="Tahoma"/>
            <family val="2"/>
          </rPr>
          <t xml:space="preserve">a traves de Res Nº 1409-12.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67</xdr:row>
                <xdr:rowOff>10</xdr:rowOff>
              </xdr:from>
              <xdr:to>
                <xdr:col>5</xdr:col>
                <xdr:colOff>47</xdr:colOff>
                <xdr:row>72</xdr:row>
                <xdr:rowOff>21</xdr:rowOff>
              </xdr:to>
            </anchor>
          </commentPr>
        </mc:Choice>
        <mc:Fallback/>
      </mc:AlternateContent>
    </comment>
    <comment ref="A7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-55 ton</t>
        </r>
        <r>
          <rPr>
            <sz val="8"/>
            <color rgb="FF000000"/>
            <rFont val="Tahoma"/>
            <family val="2"/>
          </rPr>
          <t xml:space="preserve"> a traves de Res Nº 3386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77</xdr:row>
                <xdr:rowOff>11</xdr:rowOff>
              </xdr:from>
              <xdr:to>
                <xdr:col>3</xdr:col>
                <xdr:colOff>49</xdr:colOff>
                <xdr:row>81</xdr:row>
                <xdr:rowOff>6</xdr:rowOff>
              </xdr:to>
            </anchor>
          </commentPr>
        </mc:Choice>
        <mc:Fallback/>
      </mc:AlternateContent>
    </comment>
    <comment ref="A8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-2000 ton</t>
        </r>
        <r>
          <rPr>
            <sz val="8"/>
            <color rgb="FF000000"/>
            <rFont val="Tahoma"/>
            <family val="2"/>
          </rPr>
          <t xml:space="preserve"> a traves de Res 1197-12 . 
Cede </t>
        </r>
        <r>
          <rPr>
            <b val="true"/>
            <sz val="8"/>
            <color rgb="FF000000"/>
            <rFont val="Tahoma"/>
            <family val="2"/>
          </rPr>
          <t xml:space="preserve">-753 ton</t>
        </r>
        <r>
          <rPr>
            <sz val="8"/>
            <color rgb="FF000000"/>
            <rFont val="Tahoma"/>
            <family val="2"/>
          </rPr>
          <t xml:space="preserve"> a traves de Res Nº 1409-12.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81</xdr:row>
                <xdr:rowOff>9</xdr:rowOff>
              </xdr:from>
              <xdr:to>
                <xdr:col>4</xdr:col>
                <xdr:colOff>74</xdr:colOff>
                <xdr:row>87</xdr:row>
                <xdr:rowOff>11</xdr:rowOff>
              </xdr:to>
            </anchor>
          </commentPr>
        </mc:Choice>
        <mc:Fallback/>
      </mc:AlternateContent>
    </comment>
    <comment ref="A8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5195.416 ton </t>
        </r>
        <r>
          <rPr>
            <sz val="8"/>
            <color rgb="FF000000"/>
            <rFont val="Tahoma"/>
            <family val="2"/>
          </rPr>
          <t xml:space="preserve">a traves de Res Nº 589.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87</xdr:row>
                <xdr:rowOff>9</xdr:rowOff>
              </xdr:from>
              <xdr:to>
                <xdr:col>5</xdr:col>
                <xdr:colOff>1</xdr:colOff>
                <xdr:row>91</xdr:row>
                <xdr:rowOff>12</xdr:rowOff>
              </xdr:to>
            </anchor>
          </commentPr>
        </mc:Choice>
        <mc:Fallback/>
      </mc:AlternateContent>
    </comment>
    <comment ref="A9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</t>
        </r>
        <r>
          <rPr>
            <b val="true"/>
            <sz val="8"/>
            <color rgb="FF000000"/>
            <rFont val="Tahoma"/>
            <family val="2"/>
          </rPr>
          <t xml:space="preserve"> 55 ton</t>
        </r>
        <r>
          <rPr>
            <sz val="8"/>
            <color rgb="FF000000"/>
            <rFont val="Tahoma"/>
            <family val="2"/>
          </rPr>
          <t xml:space="preserve"> a traves de Res Nº 3386.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89</xdr:row>
                <xdr:rowOff>9</xdr:rowOff>
              </xdr:from>
              <xdr:to>
                <xdr:col>3</xdr:col>
                <xdr:colOff>65</xdr:colOff>
                <xdr:row>93</xdr:row>
                <xdr:rowOff>12</xdr:rowOff>
              </xdr:to>
            </anchor>
          </commentPr>
        </mc:Choice>
        <mc:Fallback/>
      </mc:AlternateContent>
    </comment>
    <comment ref="A10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Menos </t>
        </r>
        <r>
          <rPr>
            <b val="true"/>
            <sz val="8"/>
            <color rgb="FF000000"/>
            <rFont val="Tahoma"/>
            <family val="2"/>
          </rPr>
          <t xml:space="preserve">-5000 ton </t>
        </r>
        <r>
          <rPr>
            <sz val="8"/>
            <color rgb="FF000000"/>
            <rFont val="Tahoma"/>
            <family val="2"/>
          </rPr>
          <t xml:space="preserve">a traves de Res Nº 586. Menos </t>
        </r>
        <r>
          <rPr>
            <b val="true"/>
            <sz val="8"/>
            <color rgb="FF000000"/>
            <rFont val="Tahoma"/>
            <family val="2"/>
          </rPr>
          <t xml:space="preserve">-500 ton </t>
        </r>
        <r>
          <rPr>
            <sz val="8"/>
            <color rgb="FF000000"/>
            <rFont val="Tahoma"/>
            <family val="2"/>
          </rPr>
          <t xml:space="preserve">a traves de Res Nº 693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101</xdr:row>
                <xdr:rowOff>9</xdr:rowOff>
              </xdr:from>
              <xdr:to>
                <xdr:col>4</xdr:col>
                <xdr:colOff>80</xdr:colOff>
                <xdr:row>105</xdr:row>
                <xdr:rowOff>11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-60 ton a Sunrise a traves de Res Nº2714. Cede -70 ton a Sunrise a traves de Res Nº 2982.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11</xdr:row>
                <xdr:rowOff>9</xdr:rowOff>
              </xdr:from>
              <xdr:to>
                <xdr:col>5</xdr:col>
                <xdr:colOff>52</xdr:colOff>
                <xdr:row>15</xdr:row>
                <xdr:rowOff>12</xdr:rowOff>
              </xdr:to>
            </anchor>
          </commentPr>
        </mc:Choice>
        <mc:Fallback/>
      </mc:AlternateContent>
    </comment>
    <comment ref="A1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60 ton a traves de Res Nº2714. Incremento de 70 ton a traves de Res Nº 2982.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14</xdr:row>
                <xdr:rowOff>9</xdr:rowOff>
              </xdr:from>
              <xdr:to>
                <xdr:col>5</xdr:col>
                <xdr:colOff>38</xdr:colOff>
                <xdr:row>18</xdr:row>
                <xdr:rowOff>12</xdr:rowOff>
              </xdr:to>
            </anchor>
          </commentPr>
        </mc:Choice>
        <mc:Fallback/>
      </mc:AlternateContent>
    </comment>
    <comment ref="A3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-55 ton</t>
        </r>
        <r>
          <rPr>
            <sz val="8"/>
            <color rgb="FF000000"/>
            <rFont val="Tahoma"/>
            <family val="2"/>
          </rPr>
          <t xml:space="preserve"> a traves de Res Nº 3057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29</xdr:row>
                <xdr:rowOff>9</xdr:rowOff>
              </xdr:from>
              <xdr:to>
                <xdr:col>4</xdr:col>
                <xdr:colOff>59</xdr:colOff>
                <xdr:row>33</xdr:row>
                <xdr:rowOff>9</xdr:rowOff>
              </xdr:to>
            </anchor>
          </commentPr>
        </mc:Choice>
        <mc:Fallback/>
      </mc:AlternateContent>
    </comment>
    <comment ref="A4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- 45.365 ton a traves de Res Nº 2376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44</xdr:row>
                <xdr:rowOff>9</xdr:rowOff>
              </xdr:from>
              <xdr:to>
                <xdr:col>3</xdr:col>
                <xdr:colOff>45</xdr:colOff>
                <xdr:row>48</xdr:row>
                <xdr:rowOff>9</xdr:rowOff>
              </xdr:to>
            </anchor>
          </commentPr>
        </mc:Choice>
        <mc:Fallback/>
      </mc:AlternateContent>
    </comment>
    <comment ref="A4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45.365 a traves de Res Nº 2376.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47</xdr:row>
                <xdr:rowOff>9</xdr:rowOff>
              </xdr:from>
              <xdr:to>
                <xdr:col>3</xdr:col>
                <xdr:colOff>45</xdr:colOff>
                <xdr:row>51</xdr:row>
                <xdr:rowOff>9</xdr:rowOff>
              </xdr:to>
            </anchor>
          </commentPr>
        </mc:Choice>
        <mc:Fallback/>
      </mc:AlternateContent>
    </comment>
    <comment ref="D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traspaso de 43.366 ton a Sunrise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16</xdr:colOff>
                <xdr:row>5</xdr:row>
                <xdr:rowOff>11</xdr:rowOff>
              </xdr:from>
              <xdr:to>
                <xdr:col>5</xdr:col>
                <xdr:colOff>84</xdr:colOff>
                <xdr:row>9</xdr:row>
                <xdr:rowOff>12</xdr:rowOff>
              </xdr:to>
            </anchor>
          </commentPr>
        </mc:Choice>
        <mc:Fallback/>
      </mc:AlternateContent>
    </comment>
    <comment ref="D8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traspaso de 24.095 ton a sunrise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16</xdr:colOff>
                <xdr:row>6</xdr:row>
                <xdr:rowOff>9</xdr:rowOff>
              </xdr:from>
              <xdr:to>
                <xdr:col>5</xdr:col>
                <xdr:colOff>84</xdr:colOff>
                <xdr:row>10</xdr:row>
                <xdr:rowOff>12</xdr:rowOff>
              </xdr:to>
            </anchor>
          </commentPr>
        </mc:Choice>
        <mc:Fallback/>
      </mc:AlternateContent>
    </comment>
    <comment ref="D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traspaso de 28.919 ton a sunrise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16</xdr:colOff>
                <xdr:row>7</xdr:row>
                <xdr:rowOff>9</xdr:rowOff>
              </xdr:from>
              <xdr:to>
                <xdr:col>5</xdr:col>
                <xdr:colOff>84</xdr:colOff>
                <xdr:row>11</xdr:row>
                <xdr:rowOff>12</xdr:rowOff>
              </xdr:to>
            </anchor>
          </commentPr>
        </mc:Choice>
        <mc:Fallback/>
      </mc:AlternateContent>
    </comment>
    <comment ref="I1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Costa Brava cedio toda su cuota de 96.38 ton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81</xdr:colOff>
                <xdr:row>14</xdr:row>
                <xdr:rowOff>9</xdr:rowOff>
              </xdr:from>
              <xdr:to>
                <xdr:col>9</xdr:col>
                <xdr:colOff>123</xdr:colOff>
                <xdr:row>18</xdr:row>
                <xdr:rowOff>12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-10 ton</t>
        </r>
        <r>
          <rPr>
            <sz val="8"/>
            <color rgb="FF000000"/>
            <rFont val="Tahoma"/>
            <family val="2"/>
          </rPr>
          <t xml:space="preserve"> a través de Res Nº3309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17</xdr:row>
                <xdr:rowOff>11</xdr:rowOff>
              </xdr:from>
              <xdr:to>
                <xdr:col>3</xdr:col>
                <xdr:colOff>48</xdr:colOff>
                <xdr:row>20</xdr:row>
                <xdr:rowOff>6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-7.5 ton</t>
        </r>
        <r>
          <rPr>
            <sz val="8"/>
            <color rgb="FF000000"/>
            <rFont val="Tahoma"/>
            <family val="2"/>
          </rPr>
          <t xml:space="preserve"> a través de Res Nº 3407.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11</xdr:row>
                <xdr:rowOff>9</xdr:rowOff>
              </xdr:from>
              <xdr:to>
                <xdr:col>5</xdr:col>
                <xdr:colOff>11</xdr:colOff>
                <xdr:row>15</xdr:row>
                <xdr:rowOff>9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7.5 ton</t>
        </r>
        <r>
          <rPr>
            <sz val="8"/>
            <color rgb="FF000000"/>
            <rFont val="Tahoma"/>
            <family val="2"/>
          </rPr>
          <t xml:space="preserve"> a través de Res Nº 3407.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17</xdr:row>
                <xdr:rowOff>9</xdr:rowOff>
              </xdr:from>
              <xdr:to>
                <xdr:col>5</xdr:col>
                <xdr:colOff>45</xdr:colOff>
                <xdr:row>21</xdr:row>
                <xdr:rowOff>9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modificada por D.Ex. Nº 964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3</xdr:row>
                <xdr:rowOff>9</xdr:rowOff>
              </xdr:from>
              <xdr:to>
                <xdr:col>4</xdr:col>
                <xdr:colOff>17</xdr:colOff>
                <xdr:row>7</xdr:row>
                <xdr:rowOff>1</xdr:rowOff>
              </xdr:to>
            </anchor>
          </commentPr>
        </mc:Choice>
        <mc:Fallback/>
      </mc:AlternateContent>
    </comment>
    <comment ref="A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</t>
        </r>
        <r>
          <rPr>
            <b val="true"/>
            <sz val="8"/>
            <color rgb="FF000000"/>
            <rFont val="Tahoma"/>
            <family val="2"/>
          </rPr>
          <t xml:space="preserve">30.871 to</t>
        </r>
        <r>
          <rPr>
            <sz val="8"/>
            <color rgb="FF000000"/>
            <rFont val="Tahoma"/>
            <family val="2"/>
          </rPr>
          <t xml:space="preserve">n a traves de Res Nº 2961.
Cede -</t>
        </r>
        <r>
          <rPr>
            <b val="true"/>
            <sz val="8"/>
            <color rgb="FF000000"/>
            <rFont val="Tahoma"/>
            <family val="2"/>
          </rPr>
          <t xml:space="preserve">50 ton </t>
        </r>
        <r>
          <rPr>
            <sz val="8"/>
            <color rgb="FF000000"/>
            <rFont val="Tahoma"/>
            <family val="2"/>
          </rPr>
          <t xml:space="preserve">a traves de Res Nº 3054. 
Falta Resolucion 
Cede </t>
        </r>
        <r>
          <rPr>
            <b val="true"/>
            <sz val="8"/>
            <color rgb="FF000000"/>
            <rFont val="Tahoma"/>
            <family val="2"/>
          </rPr>
          <t xml:space="preserve">-1.5 ton</t>
        </r>
        <r>
          <rPr>
            <sz val="8"/>
            <color rgb="FF000000"/>
            <rFont val="Tahoma"/>
            <family val="2"/>
          </rPr>
          <t xml:space="preserve"> a traves de Res Nº 3388. Cede -</t>
        </r>
        <r>
          <rPr>
            <b val="true"/>
            <sz val="8"/>
            <color rgb="FF000000"/>
            <rFont val="Tahoma"/>
            <family val="2"/>
          </rPr>
          <t xml:space="preserve">30 ton</t>
        </r>
        <r>
          <rPr>
            <sz val="8"/>
            <color rgb="FF000000"/>
            <rFont val="Tahoma"/>
            <family val="2"/>
          </rPr>
          <t xml:space="preserve"> a traves de Res Nº 3389.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5</xdr:row>
                <xdr:rowOff>11</xdr:rowOff>
              </xdr:from>
              <xdr:to>
                <xdr:col>5</xdr:col>
                <xdr:colOff>20</xdr:colOff>
                <xdr:row>9</xdr:row>
                <xdr:rowOff>9</xdr:rowOff>
              </xdr:to>
            </anchor>
          </commentPr>
        </mc:Choice>
        <mc:Fallback/>
      </mc:AlternateContent>
    </comment>
    <comment ref="A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-2.981 ton a traves de Res Nº 2961. Incremento de </t>
        </r>
        <r>
          <rPr>
            <b val="true"/>
            <sz val="8"/>
            <color rgb="FF000000"/>
            <rFont val="Tahoma"/>
            <family val="2"/>
          </rPr>
          <t xml:space="preserve">1.5 ton</t>
        </r>
        <r>
          <rPr>
            <sz val="8"/>
            <color rgb="FF000000"/>
            <rFont val="Tahoma"/>
            <family val="2"/>
          </rPr>
          <t xml:space="preserve"> a traves de Res Nº 3388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8</xdr:row>
                <xdr:rowOff>9</xdr:rowOff>
              </xdr:from>
              <xdr:to>
                <xdr:col>5</xdr:col>
                <xdr:colOff>54</xdr:colOff>
                <xdr:row>15</xdr:row>
                <xdr:rowOff>9</xdr:rowOff>
              </xdr:to>
            </anchor>
          </commentPr>
        </mc:Choice>
        <mc:Fallback/>
      </mc:AlternateContent>
    </comment>
    <comment ref="A1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- 70.784 ton</t>
        </r>
        <r>
          <rPr>
            <sz val="8"/>
            <color rgb="FF000000"/>
            <rFont val="Tahoma"/>
            <family val="2"/>
          </rPr>
          <t xml:space="preserve"> a traves de Res Nº 2961. Cede </t>
        </r>
        <r>
          <rPr>
            <b val="true"/>
            <sz val="8"/>
            <color rgb="FF000000"/>
            <rFont val="Tahoma"/>
            <family val="2"/>
          </rPr>
          <t xml:space="preserve">-80 ton </t>
        </r>
        <r>
          <rPr>
            <sz val="8"/>
            <color rgb="FF000000"/>
            <rFont val="Tahoma"/>
            <family val="2"/>
          </rPr>
          <t xml:space="preserve">a travès de Res Nº 2960. 
Res nº 3056 deja sin efecto Res 2960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11</xdr:row>
                <xdr:rowOff>9</xdr:rowOff>
              </xdr:from>
              <xdr:to>
                <xdr:col>5</xdr:col>
                <xdr:colOff>63</xdr:colOff>
                <xdr:row>18</xdr:row>
                <xdr:rowOff>10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-35.364 ton</t>
        </r>
        <r>
          <rPr>
            <sz val="8"/>
            <color rgb="FF000000"/>
            <rFont val="Tahoma"/>
            <family val="2"/>
          </rPr>
          <t xml:space="preserve"> a traves de Res Nº 2961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17</xdr:row>
                <xdr:rowOff>9</xdr:rowOff>
              </xdr:from>
              <xdr:to>
                <xdr:col>3</xdr:col>
                <xdr:colOff>45</xdr:colOff>
                <xdr:row>21</xdr:row>
                <xdr:rowOff>12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200 ton</t>
        </r>
        <r>
          <rPr>
            <sz val="8"/>
            <color rgb="FF000000"/>
            <rFont val="Tahoma"/>
            <family val="2"/>
          </rPr>
          <t xml:space="preserve"> a traves de Res Nº 2959.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5</xdr:row>
                <xdr:rowOff>11</xdr:rowOff>
              </xdr:from>
              <xdr:to>
                <xdr:col>5</xdr:col>
                <xdr:colOff>8</xdr:colOff>
                <xdr:row>7</xdr:row>
                <xdr:rowOff>31</xdr:rowOff>
              </xdr:to>
            </anchor>
          </commentPr>
        </mc:Choice>
        <mc:Fallback/>
      </mc:AlternateContent>
    </comment>
    <comment ref="A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-100 ton</t>
        </r>
        <r>
          <rPr>
            <sz val="8"/>
            <color rgb="FF000000"/>
            <rFont val="Tahoma"/>
            <family val="2"/>
          </rPr>
          <t xml:space="preserve"> a traves de Res Nº 3045.
Cede </t>
        </r>
        <r>
          <rPr>
            <b val="true"/>
            <sz val="8"/>
            <color rgb="FF000000"/>
            <rFont val="Tahoma"/>
            <family val="2"/>
          </rPr>
          <t xml:space="preserve">-50. ton</t>
        </r>
        <r>
          <rPr>
            <sz val="8"/>
            <color rgb="FF000000"/>
            <rFont val="Tahoma"/>
            <family val="2"/>
          </rPr>
          <t xml:space="preserve"> a través de Res Nº 3184. Cede </t>
        </r>
        <r>
          <rPr>
            <b val="true"/>
            <sz val="8"/>
            <color rgb="FF000000"/>
            <rFont val="Tahoma"/>
            <family val="2"/>
          </rPr>
          <t xml:space="preserve">-4.5 ton</t>
        </r>
        <r>
          <rPr>
            <sz val="8"/>
            <color rgb="FF000000"/>
            <rFont val="Tahoma"/>
            <family val="2"/>
          </rPr>
          <t xml:space="preserve"> a través de Res Nº 3307. Cede </t>
        </r>
        <r>
          <rPr>
            <b val="true"/>
            <sz val="8"/>
            <color rgb="FF000000"/>
            <rFont val="Tahoma"/>
            <family val="2"/>
          </rPr>
          <t xml:space="preserve">-15.5 ton</t>
        </r>
        <r>
          <rPr>
            <sz val="8"/>
            <color rgb="FF000000"/>
            <rFont val="Tahoma"/>
            <family val="2"/>
          </rPr>
          <t xml:space="preserve"> a través de Res Nº 3308. Cede</t>
        </r>
        <r>
          <rPr>
            <b val="true"/>
            <sz val="8"/>
            <color rgb="FF000000"/>
            <rFont val="Tahoma"/>
            <family val="2"/>
          </rPr>
          <t xml:space="preserve"> -6.3 ton</t>
        </r>
        <r>
          <rPr>
            <sz val="8"/>
            <color rgb="FF000000"/>
            <rFont val="Tahoma"/>
            <family val="2"/>
          </rPr>
          <t xml:space="preserve"> a través de Res Nº 3536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7</xdr:row>
                <xdr:rowOff>23</xdr:rowOff>
              </xdr:from>
              <xdr:to>
                <xdr:col>4</xdr:col>
                <xdr:colOff>78</xdr:colOff>
                <xdr:row>9</xdr:row>
                <xdr:rowOff>31</xdr:rowOff>
              </xdr:to>
            </anchor>
          </commentPr>
        </mc:Choice>
        <mc:Fallback/>
      </mc:AlternateContent>
    </comment>
    <comment ref="A1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40.9 ton</t>
        </r>
        <r>
          <rPr>
            <sz val="8"/>
            <color rgb="FF000000"/>
            <rFont val="Tahoma"/>
            <family val="2"/>
          </rPr>
          <t xml:space="preserve"> a traves de Res Nº 2981.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15</xdr:row>
                <xdr:rowOff>23</xdr:rowOff>
              </xdr:from>
              <xdr:to>
                <xdr:col>5</xdr:col>
                <xdr:colOff>8</xdr:colOff>
                <xdr:row>17</xdr:row>
                <xdr:rowOff>31</xdr:rowOff>
              </xdr:to>
            </anchor>
          </commentPr>
        </mc:Choice>
        <mc:Fallback/>
      </mc:AlternateContent>
    </comment>
    <comment ref="A2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-40.9 ton</t>
        </r>
        <r>
          <rPr>
            <sz val="8"/>
            <color rgb="FF000000"/>
            <rFont val="Tahoma"/>
            <family val="2"/>
          </rPr>
          <t xml:space="preserve"> a traves de Res Nº 2981.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27</xdr:row>
                <xdr:rowOff>23</xdr:rowOff>
              </xdr:from>
              <xdr:to>
                <xdr:col>4</xdr:col>
                <xdr:colOff>67</xdr:colOff>
                <xdr:row>29</xdr:row>
                <xdr:rowOff>31</xdr:rowOff>
              </xdr:to>
            </anchor>
          </commentPr>
        </mc:Choice>
        <mc:Fallback/>
      </mc:AlternateContent>
    </comment>
    <comment ref="A3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Cece </t>
        </r>
        <r>
          <rPr>
            <b val="true"/>
            <sz val="8"/>
            <color rgb="FF000000"/>
            <rFont val="Tahoma"/>
            <family val="2"/>
          </rPr>
          <t xml:space="preserve">-200 ton</t>
        </r>
        <r>
          <rPr>
            <sz val="8"/>
            <color rgb="FF000000"/>
            <rFont val="Tahoma"/>
            <family val="2"/>
          </rPr>
          <t xml:space="preserve"> a traves de Res Nº 2959d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35</xdr:row>
                <xdr:rowOff>23</xdr:rowOff>
              </xdr:from>
              <xdr:to>
                <xdr:col>5</xdr:col>
                <xdr:colOff>30</xdr:colOff>
                <xdr:row>37</xdr:row>
                <xdr:rowOff>31</xdr:rowOff>
              </xdr:to>
            </anchor>
          </commentPr>
        </mc:Choice>
        <mc:Fallback/>
      </mc:AlternateContent>
    </comment>
    <comment ref="I11" authorId="0">
      <text>
        <r>
          <rPr>
            <b val="true"/>
            <sz val="8"/>
            <color rgb="FF000000"/>
            <rFont val="Tahoma"/>
            <family val="2"/>
          </rPr>
          <t xml:space="preserve">LDIAZ:
</t>
        </r>
        <r>
          <rPr>
            <sz val="8"/>
            <color rgb="FF000000"/>
            <rFont val="Tahoma"/>
            <family val="2"/>
          </rPr>
          <t xml:space="preserve">REVISAR
Daniela:  valor esta ok, deben corregirlo en SIEP, ya fue consultado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78</xdr:colOff>
                <xdr:row>9</xdr:row>
                <xdr:rowOff>23</xdr:rowOff>
              </xdr:from>
              <xdr:to>
                <xdr:col>9</xdr:col>
                <xdr:colOff>123</xdr:colOff>
                <xdr:row>11</xdr:row>
                <xdr:rowOff>30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Cuotas LMC Modificadas por D.Ex 36-2012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3</xdr:row>
                <xdr:rowOff>9</xdr:rowOff>
              </xdr:from>
              <xdr:to>
                <xdr:col>5</xdr:col>
                <xdr:colOff>25</xdr:colOff>
                <xdr:row>6</xdr:row>
                <xdr:rowOff>21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-240 ton</t>
        </r>
        <r>
          <rPr>
            <sz val="8"/>
            <color rgb="FF000000"/>
            <rFont val="Tahoma"/>
            <family val="2"/>
          </rPr>
          <t xml:space="preserve"> a traves de Res Nº 2983.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17</xdr:row>
                <xdr:rowOff>23</xdr:rowOff>
              </xdr:from>
              <xdr:to>
                <xdr:col>5</xdr:col>
                <xdr:colOff>7</xdr:colOff>
                <xdr:row>19</xdr:row>
                <xdr:rowOff>31</xdr:rowOff>
              </xdr:to>
            </anchor>
          </commentPr>
        </mc:Choice>
        <mc:Fallback/>
      </mc:AlternateContent>
    </comment>
    <comment ref="A2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-4000 ton</t>
        </r>
        <r>
          <rPr>
            <sz val="8"/>
            <color rgb="FF000000"/>
            <rFont val="Tahoma"/>
            <family val="2"/>
          </rPr>
          <t xml:space="preserve"> a través de Res 1396-12.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19</xdr:row>
                <xdr:rowOff>23</xdr:rowOff>
              </xdr:from>
              <xdr:to>
                <xdr:col>5</xdr:col>
                <xdr:colOff>19</xdr:colOff>
                <xdr:row>21</xdr:row>
                <xdr:rowOff>31</xdr:rowOff>
              </xdr:to>
            </anchor>
          </commentPr>
        </mc:Choice>
        <mc:Fallback/>
      </mc:AlternateContent>
    </comment>
    <comment ref="A31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Cuotas LMC modificadas por D.Ex. 36-2012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29</xdr:row>
                <xdr:rowOff>9</xdr:rowOff>
              </xdr:from>
              <xdr:to>
                <xdr:col>5</xdr:col>
                <xdr:colOff>48</xdr:colOff>
                <xdr:row>31</xdr:row>
                <xdr:rowOff>15</xdr:rowOff>
              </xdr:to>
            </anchor>
          </commentPr>
        </mc:Choice>
        <mc:Fallback/>
      </mc:AlternateContent>
    </comment>
    <comment ref="A3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4000 ton </t>
        </r>
        <r>
          <rPr>
            <sz val="8"/>
            <color rgb="FF000000"/>
            <rFont val="Tahoma"/>
            <family val="2"/>
          </rPr>
          <t xml:space="preserve">a traves de Res Nº 1396-12. Incremento de </t>
        </r>
        <r>
          <rPr>
            <b val="true"/>
            <sz val="8"/>
            <color rgb="FF000000"/>
            <rFont val="Tahoma"/>
            <family val="2"/>
          </rPr>
          <t xml:space="preserve">240 ton</t>
        </r>
        <r>
          <rPr>
            <sz val="8"/>
            <color rgb="FF000000"/>
            <rFont val="Tahoma"/>
            <family val="2"/>
          </rPr>
          <t xml:space="preserve"> a traves de Res Nº 2983-12.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31</xdr:row>
                <xdr:rowOff>11</xdr:rowOff>
              </xdr:from>
              <xdr:to>
                <xdr:col>5</xdr:col>
                <xdr:colOff>82</xdr:colOff>
                <xdr:row>33</xdr:row>
                <xdr:rowOff>31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103.86 ton</t>
        </r>
        <r>
          <rPr>
            <sz val="8"/>
            <color rgb="FF000000"/>
            <rFont val="Tahoma"/>
            <family val="2"/>
          </rPr>
          <t xml:space="preserve"> a traves de Res 527. incremento de </t>
        </r>
        <r>
          <rPr>
            <b val="true"/>
            <sz val="8"/>
            <color rgb="FF000000"/>
            <rFont val="Tahoma"/>
            <family val="2"/>
          </rPr>
          <t xml:space="preserve">110.248 ton</t>
        </r>
        <r>
          <rPr>
            <sz val="8"/>
            <color rgb="FF000000"/>
            <rFont val="Tahoma"/>
            <family val="2"/>
          </rPr>
          <t xml:space="preserve"> a traves de Res Nº 619.  incremento de  </t>
        </r>
        <r>
          <rPr>
            <b val="true"/>
            <sz val="8"/>
            <color rgb="FF000000"/>
            <rFont val="Tahoma"/>
            <family val="2"/>
          </rPr>
          <t xml:space="preserve">50.536 ton</t>
        </r>
        <r>
          <rPr>
            <sz val="8"/>
            <color rgb="FF000000"/>
            <rFont val="Tahoma"/>
            <family val="2"/>
          </rPr>
          <t xml:space="preserve"> a traves de Res Nº 642. 
Incremento de </t>
        </r>
        <r>
          <rPr>
            <b val="true"/>
            <sz val="8"/>
            <color rgb="FF000000"/>
            <rFont val="Tahoma"/>
            <family val="2"/>
          </rPr>
          <t xml:space="preserve">2.773 ton</t>
        </r>
        <r>
          <rPr>
            <sz val="8"/>
            <color rgb="FF000000"/>
            <rFont val="Tahoma"/>
            <family val="2"/>
          </rPr>
          <t xml:space="preserve"> a traves de Res 1138-12.  Incremento de </t>
        </r>
        <r>
          <rPr>
            <b val="true"/>
            <sz val="8"/>
            <color rgb="FF000000"/>
            <rFont val="Tahoma"/>
            <family val="2"/>
          </rPr>
          <t xml:space="preserve">60.672 ton </t>
        </r>
        <r>
          <rPr>
            <sz val="8"/>
            <color rgb="FF000000"/>
            <rFont val="Tahoma"/>
            <family val="2"/>
          </rPr>
          <t xml:space="preserve">a traves de Res 1394. Incremento de </t>
        </r>
        <r>
          <rPr>
            <b val="true"/>
            <sz val="8"/>
            <color rgb="FF000000"/>
            <rFont val="Tahoma"/>
            <family val="2"/>
          </rPr>
          <t xml:space="preserve">63.934 ton</t>
        </r>
        <r>
          <rPr>
            <sz val="8"/>
            <color rgb="FF000000"/>
            <rFont val="Tahoma"/>
            <family val="2"/>
          </rPr>
          <t xml:space="preserve"> a traves de Res 1391. Incremento de </t>
        </r>
        <r>
          <rPr>
            <b val="true"/>
            <sz val="8"/>
            <color rgb="FF000000"/>
            <rFont val="Tahoma"/>
            <family val="2"/>
          </rPr>
          <t xml:space="preserve">400 ton </t>
        </r>
        <r>
          <rPr>
            <sz val="8"/>
            <color rgb="FF000000"/>
            <rFont val="Tahoma"/>
            <family val="2"/>
          </rPr>
          <t xml:space="preserve">a traves de Res 1431. Incremento de </t>
        </r>
        <r>
          <rPr>
            <b val="true"/>
            <sz val="8"/>
            <color rgb="FF000000"/>
            <rFont val="Tahoma"/>
            <family val="2"/>
          </rPr>
          <t xml:space="preserve">345.9 ton</t>
        </r>
        <r>
          <rPr>
            <sz val="8"/>
            <color rgb="FF000000"/>
            <rFont val="Tahoma"/>
            <family val="2"/>
          </rPr>
          <t xml:space="preserve"> a traves de Res 1432.. Incremento de </t>
        </r>
        <r>
          <rPr>
            <b val="true"/>
            <sz val="8"/>
            <color rgb="FF000000"/>
            <rFont val="Tahoma"/>
            <family val="2"/>
          </rPr>
          <t xml:space="preserve">148.2 ton</t>
        </r>
        <r>
          <rPr>
            <sz val="8"/>
            <color rgb="FF000000"/>
            <rFont val="Tahoma"/>
            <family val="2"/>
          </rPr>
          <t xml:space="preserve"> a traves de Res Nº1433. Incremento de </t>
        </r>
        <r>
          <rPr>
            <b val="true"/>
            <sz val="8"/>
            <color rgb="FF000000"/>
            <rFont val="Tahoma"/>
            <family val="2"/>
          </rPr>
          <t xml:space="preserve">2.999 ton</t>
        </r>
        <r>
          <rPr>
            <sz val="8"/>
            <color rgb="FF000000"/>
            <rFont val="Tahoma"/>
            <family val="2"/>
          </rPr>
          <t xml:space="preserve"> a traves de Res 1694. 
Incremento de </t>
        </r>
        <r>
          <rPr>
            <b val="true"/>
            <sz val="8"/>
            <color rgb="FF000000"/>
            <rFont val="Tahoma"/>
            <family val="2"/>
          </rPr>
          <t xml:space="preserve">95.868 ton</t>
        </r>
        <r>
          <rPr>
            <sz val="8"/>
            <color rgb="FF000000"/>
            <rFont val="Tahoma"/>
            <family val="2"/>
          </rPr>
          <t xml:space="preserve"> a traves de Res 1887. Incremento de </t>
        </r>
        <r>
          <rPr>
            <b val="true"/>
            <sz val="8"/>
            <color rgb="FF000000"/>
            <rFont val="Tahoma"/>
            <family val="2"/>
          </rPr>
          <t xml:space="preserve">111.111 ton</t>
        </r>
        <r>
          <rPr>
            <sz val="8"/>
            <color rgb="FF000000"/>
            <rFont val="Tahoma"/>
            <family val="2"/>
          </rPr>
          <t xml:space="preserve"> a través de Res 2301. Incremento de </t>
        </r>
        <r>
          <rPr>
            <b val="true"/>
            <sz val="8"/>
            <color rgb="FF000000"/>
            <rFont val="Tahoma"/>
            <family val="2"/>
          </rPr>
          <t xml:space="preserve">75.091 ton</t>
        </r>
        <r>
          <rPr>
            <sz val="8"/>
            <color rgb="FF000000"/>
            <rFont val="Tahoma"/>
            <family val="2"/>
          </rPr>
          <t xml:space="preserve"> a través de Res 2302.
Incremento de </t>
        </r>
        <r>
          <rPr>
            <b val="true"/>
            <sz val="8"/>
            <color rgb="FF000000"/>
            <rFont val="Tahoma"/>
            <family val="2"/>
          </rPr>
          <t xml:space="preserve">34.496 ton</t>
        </r>
        <r>
          <rPr>
            <sz val="8"/>
            <color rgb="FF000000"/>
            <rFont val="Tahoma"/>
            <family val="2"/>
          </rPr>
          <t xml:space="preserve"> a traves de Res 2466.
Incremento de </t>
        </r>
        <r>
          <rPr>
            <b val="true"/>
            <sz val="8"/>
            <color rgb="FF000000"/>
            <rFont val="Tahoma"/>
            <family val="2"/>
          </rPr>
          <t xml:space="preserve">91.118 ton</t>
        </r>
        <r>
          <rPr>
            <sz val="8"/>
            <color rgb="FF000000"/>
            <rFont val="Tahoma"/>
            <family val="2"/>
          </rPr>
          <t xml:space="preserve"> a traves de Res 2659.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1</xdr:row>
                <xdr:rowOff>9</xdr:rowOff>
              </xdr:from>
              <xdr:to>
                <xdr:col>5</xdr:col>
                <xdr:colOff>47</xdr:colOff>
                <xdr:row>12</xdr:row>
                <xdr:rowOff>19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717.332 ton</t>
        </r>
        <r>
          <rPr>
            <sz val="8"/>
            <color rgb="FF000000"/>
            <rFont val="Tahoma"/>
            <family val="2"/>
          </rPr>
          <t xml:space="preserve"> a traves de Res 232-12. Mas incremento de </t>
        </r>
        <r>
          <rPr>
            <b val="true"/>
            <sz val="8"/>
            <color rgb="FF000000"/>
            <rFont val="Tahoma"/>
            <family val="2"/>
          </rPr>
          <t xml:space="preserve">34.140 ton</t>
        </r>
        <r>
          <rPr>
            <sz val="8"/>
            <color rgb="FF000000"/>
            <rFont val="Tahoma"/>
            <family val="2"/>
          </rPr>
          <t xml:space="preserve"> a traves de Res 1235.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17</xdr:row>
                <xdr:rowOff>11</xdr:rowOff>
              </xdr:from>
              <xdr:to>
                <xdr:col>4</xdr:col>
                <xdr:colOff>26</xdr:colOff>
                <xdr:row>20</xdr:row>
                <xdr:rowOff>6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Cuota incrementada para </t>
        </r>
        <r>
          <rPr>
            <b val="true"/>
            <sz val="8"/>
            <color rgb="FF000000"/>
            <rFont val="Tahoma"/>
            <family val="2"/>
          </rPr>
          <t xml:space="preserve">toda la pesqueria </t>
        </r>
        <r>
          <rPr>
            <sz val="8"/>
            <color rgb="FF000000"/>
            <rFont val="Tahoma"/>
            <family val="2"/>
          </rPr>
          <t xml:space="preserve">según decreto 425-12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3</xdr:row>
                <xdr:rowOff>9</xdr:rowOff>
              </xdr:from>
              <xdr:to>
                <xdr:col>4</xdr:col>
                <xdr:colOff>14</xdr:colOff>
                <xdr:row>7</xdr:row>
                <xdr:rowOff>1</xdr:rowOff>
              </xdr:to>
            </anchor>
          </commentPr>
        </mc:Choice>
        <mc:Fallback/>
      </mc:AlternateContent>
    </comment>
    <comment ref="A7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-3000 ton</t>
        </r>
        <r>
          <rPr>
            <sz val="8"/>
            <color rgb="FF000000"/>
            <rFont val="Tahoma"/>
            <family val="2"/>
          </rPr>
          <t xml:space="preserve"> a través de Res Nº 2879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17</xdr:colOff>
                <xdr:row>5</xdr:row>
                <xdr:rowOff>11</xdr:rowOff>
              </xdr:from>
              <xdr:to>
                <xdr:col>4</xdr:col>
                <xdr:colOff>51</xdr:colOff>
                <xdr:row>9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-3069 ton</t>
        </r>
        <r>
          <rPr>
            <sz val="8"/>
            <color rgb="FF000000"/>
            <rFont val="Tahoma"/>
            <family val="2"/>
          </rPr>
          <t xml:space="preserve"> a través de  Res 645. Cede </t>
        </r>
        <r>
          <rPr>
            <b val="true"/>
            <sz val="8"/>
            <color rgb="FF000000"/>
            <rFont val="Tahoma"/>
            <family val="2"/>
          </rPr>
          <t xml:space="preserve">-2248.88 ton</t>
        </r>
        <r>
          <rPr>
            <sz val="8"/>
            <color rgb="FF000000"/>
            <rFont val="Tahoma"/>
            <family val="2"/>
          </rPr>
          <t xml:space="preserve"> a través de Res 646. Cede </t>
        </r>
        <r>
          <rPr>
            <b val="true"/>
            <sz val="8"/>
            <color rgb="FF000000"/>
            <rFont val="Tahoma"/>
            <family val="2"/>
          </rPr>
          <t xml:space="preserve">-1599.92 ton</t>
        </r>
        <r>
          <rPr>
            <sz val="8"/>
            <color rgb="FF000000"/>
            <rFont val="Tahoma"/>
            <family val="2"/>
          </rPr>
          <t xml:space="preserve"> a través de Res Nº 894
Cede </t>
        </r>
        <r>
          <rPr>
            <b val="true"/>
            <sz val="8"/>
            <color rgb="FF000000"/>
            <rFont val="Tahoma"/>
            <family val="2"/>
          </rPr>
          <t xml:space="preserve">-3674.740 ton </t>
        </r>
        <r>
          <rPr>
            <sz val="8"/>
            <color rgb="FF000000"/>
            <rFont val="Tahoma"/>
            <family val="2"/>
          </rPr>
          <t xml:space="preserve">a través de Res 1230 Incremento </t>
        </r>
        <r>
          <rPr>
            <b val="true"/>
            <sz val="8"/>
            <color rgb="FF000000"/>
            <rFont val="Tahoma"/>
            <family val="2"/>
          </rPr>
          <t xml:space="preserve">13162.273 ton</t>
        </r>
        <r>
          <rPr>
            <sz val="8"/>
            <color rgb="FF000000"/>
            <rFont val="Tahoma"/>
            <family val="2"/>
          </rPr>
          <t xml:space="preserve"> por D.E 425-12
Cede </t>
        </r>
        <r>
          <rPr>
            <b val="true"/>
            <sz val="8"/>
            <color rgb="FF000000"/>
            <rFont val="Tahoma"/>
            <family val="2"/>
          </rPr>
          <t xml:space="preserve">-1499.92 ton</t>
        </r>
        <r>
          <rPr>
            <sz val="8"/>
            <color rgb="FF000000"/>
            <rFont val="Tahoma"/>
            <family val="2"/>
          </rPr>
          <t xml:space="preserve"> a traves de Res 1667.
Cede </t>
        </r>
        <r>
          <rPr>
            <b val="true"/>
            <sz val="8"/>
            <color rgb="FF000000"/>
            <rFont val="Tahoma"/>
            <family val="2"/>
          </rPr>
          <t xml:space="preserve">-949.9 ton</t>
        </r>
        <r>
          <rPr>
            <sz val="8"/>
            <color rgb="FF000000"/>
            <rFont val="Tahoma"/>
            <family val="2"/>
          </rPr>
          <t xml:space="preserve"> a traves de Res 1862. Cede </t>
        </r>
        <r>
          <rPr>
            <b val="true"/>
            <sz val="8"/>
            <color rgb="FF000000"/>
            <rFont val="Tahoma"/>
            <family val="2"/>
          </rPr>
          <t xml:space="preserve">-3299.76 ton</t>
        </r>
        <r>
          <rPr>
            <sz val="8"/>
            <color rgb="FF000000"/>
            <rFont val="Tahoma"/>
            <family val="2"/>
          </rPr>
          <t xml:space="preserve"> a través de Res 2246. Cede -</t>
        </r>
        <r>
          <rPr>
            <b val="true"/>
            <sz val="8"/>
            <color rgb="FF000000"/>
            <rFont val="Tahoma"/>
            <family val="2"/>
          </rPr>
          <t xml:space="preserve">1999.840 ton </t>
        </r>
        <r>
          <rPr>
            <sz val="8"/>
            <color rgb="FF000000"/>
            <rFont val="Tahoma"/>
            <family val="2"/>
          </rPr>
          <t xml:space="preserve">a traves de Res 2477. Cede -</t>
        </r>
        <r>
          <rPr>
            <b val="true"/>
            <sz val="8"/>
            <color rgb="FF000000"/>
            <rFont val="Tahoma"/>
            <family val="2"/>
          </rPr>
          <t xml:space="preserve">2299.8 ton</t>
        </r>
        <r>
          <rPr>
            <sz val="8"/>
            <color rgb="FF000000"/>
            <rFont val="Tahoma"/>
            <family val="2"/>
          </rPr>
          <t xml:space="preserve"> a traves de Res 2547. Cede </t>
        </r>
        <r>
          <rPr>
            <b val="true"/>
            <sz val="8"/>
            <color rgb="FF000000"/>
            <rFont val="Tahoma"/>
            <family val="2"/>
          </rPr>
          <t xml:space="preserve">-2249.841 ton</t>
        </r>
        <r>
          <rPr>
            <sz val="8"/>
            <color rgb="FF000000"/>
            <rFont val="Tahoma"/>
            <family val="2"/>
          </rPr>
          <t xml:space="preserve"> a traves de Res 2751.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8</xdr:row>
                <xdr:rowOff>10</xdr:rowOff>
              </xdr:from>
              <xdr:to>
                <xdr:col>4</xdr:col>
                <xdr:colOff>47</xdr:colOff>
                <xdr:row>19</xdr:row>
                <xdr:rowOff>3</xdr:rowOff>
              </xdr:to>
            </anchor>
          </commentPr>
        </mc:Choice>
        <mc:Fallback/>
      </mc:AlternateContent>
    </comment>
    <comment ref="A13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de </t>
        </r>
        <r>
          <rPr>
            <b val="true"/>
            <sz val="8"/>
            <color rgb="FF000000"/>
            <rFont val="Tahoma"/>
            <family val="2"/>
          </rPr>
          <t xml:space="preserve">33448.946 ton</t>
        </r>
        <r>
          <rPr>
            <sz val="8"/>
            <color rgb="FF000000"/>
            <rFont val="Tahoma"/>
            <family val="2"/>
          </rPr>
          <t xml:space="preserve"> por D.E. 425 Cede </t>
        </r>
        <r>
          <rPr>
            <b val="true"/>
            <sz val="8"/>
            <color rgb="FF000000"/>
            <rFont val="Tahoma"/>
            <family val="2"/>
          </rPr>
          <t xml:space="preserve">-2000 ton</t>
        </r>
        <r>
          <rPr>
            <sz val="8"/>
            <color rgb="FF000000"/>
            <rFont val="Tahoma"/>
            <family val="2"/>
          </rPr>
          <t xml:space="preserve"> a traves de Res 1672.        Cede</t>
        </r>
        <r>
          <rPr>
            <b val="true"/>
            <sz val="8"/>
            <color rgb="FF000000"/>
            <rFont val="Tahoma"/>
            <family val="2"/>
          </rPr>
          <t xml:space="preserve"> -6600 ton</t>
        </r>
        <r>
          <rPr>
            <sz val="8"/>
            <color rgb="FF000000"/>
            <rFont val="Tahoma"/>
            <family val="2"/>
          </rPr>
          <t xml:space="preserve"> a traves de Res 1673.        Cede </t>
        </r>
        <r>
          <rPr>
            <b val="true"/>
            <sz val="8"/>
            <color rgb="FF000000"/>
            <rFont val="Tahoma"/>
            <family val="2"/>
          </rPr>
          <t xml:space="preserve">-6860 ton</t>
        </r>
        <r>
          <rPr>
            <sz val="8"/>
            <color rgb="FF000000"/>
            <rFont val="Tahoma"/>
            <family val="2"/>
          </rPr>
          <t xml:space="preserve"> a traves de Res 1696.
Cede </t>
        </r>
        <r>
          <rPr>
            <b val="true"/>
            <sz val="8"/>
            <color rgb="FF000000"/>
            <rFont val="Tahoma"/>
            <family val="2"/>
          </rPr>
          <t xml:space="preserve">-6355 ton</t>
        </r>
        <r>
          <rPr>
            <sz val="8"/>
            <color rgb="FF000000"/>
            <rFont val="Tahoma"/>
            <family val="2"/>
          </rPr>
          <t xml:space="preserve"> a traves de Res Nº 2881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11</xdr:row>
                <xdr:rowOff>10</xdr:rowOff>
              </xdr:from>
              <xdr:to>
                <xdr:col>4</xdr:col>
                <xdr:colOff>52</xdr:colOff>
                <xdr:row>15</xdr:row>
                <xdr:rowOff>6</xdr:rowOff>
              </xdr:to>
            </anchor>
          </commentPr>
        </mc:Choice>
        <mc:Fallback/>
      </mc:AlternateContent>
    </comment>
    <comment ref="A16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Incremento </t>
        </r>
        <r>
          <rPr>
            <b val="true"/>
            <sz val="8"/>
            <color rgb="FF000000"/>
            <rFont val="Tahoma"/>
            <family val="2"/>
          </rPr>
          <t xml:space="preserve">28375.552 ton</t>
        </r>
        <r>
          <rPr>
            <sz val="8"/>
            <color rgb="FF000000"/>
            <rFont val="Tahoma"/>
            <family val="2"/>
          </rPr>
          <t xml:space="preserve"> por D.E. 425-12. Cede</t>
        </r>
        <r>
          <rPr>
            <b val="true"/>
            <sz val="8"/>
            <color rgb="FF000000"/>
            <rFont val="Tahoma"/>
            <family val="2"/>
          </rPr>
          <t xml:space="preserve"> -500 ton</t>
        </r>
        <r>
          <rPr>
            <sz val="8"/>
            <color rgb="FF000000"/>
            <rFont val="Tahoma"/>
            <family val="2"/>
          </rPr>
          <t xml:space="preserve"> a traves de Res 2042.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14</xdr:row>
                <xdr:rowOff>9</xdr:rowOff>
              </xdr:from>
              <xdr:to>
                <xdr:col>4</xdr:col>
                <xdr:colOff>85</xdr:colOff>
                <xdr:row>18</xdr:row>
                <xdr:rowOff>12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Mediante Res 954-12 cede </t>
        </r>
        <r>
          <rPr>
            <b val="true"/>
            <sz val="8"/>
            <color rgb="FF000000"/>
            <rFont val="Tahoma"/>
            <family val="2"/>
          </rPr>
          <t xml:space="preserve">7501 ton</t>
        </r>
        <r>
          <rPr>
            <sz val="8"/>
            <color rgb="FF000000"/>
            <rFont val="Tahoma"/>
            <family val="2"/>
          </rPr>
          <t xml:space="preserve"> a armadores artesanales.  Mediante Res 2794 Cede -</t>
        </r>
        <r>
          <rPr>
            <b val="true"/>
            <sz val="8"/>
            <color rgb="FF000000"/>
            <rFont val="Tahoma"/>
            <family val="2"/>
          </rPr>
          <t xml:space="preserve">5326 ton</t>
        </r>
        <r>
          <rPr>
            <sz val="8"/>
            <color rgb="FF000000"/>
            <rFont val="Tahoma"/>
            <family val="2"/>
          </rPr>
          <t xml:space="preserve"> a artesanales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17</xdr:row>
                <xdr:rowOff>9</xdr:rowOff>
              </xdr:from>
              <xdr:to>
                <xdr:col>4</xdr:col>
                <xdr:colOff>59</xdr:colOff>
                <xdr:row>21</xdr:row>
                <xdr:rowOff>10</xdr:rowOff>
              </xdr:to>
            </anchor>
          </commentPr>
        </mc:Choice>
        <mc:Fallback/>
      </mc:AlternateContent>
    </comment>
    <comment ref="A22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</t>
        </r>
        <r>
          <rPr>
            <b val="true"/>
            <sz val="8"/>
            <color rgb="FF000000"/>
            <rFont val="Tahoma"/>
            <family val="2"/>
          </rPr>
          <t xml:space="preserve">4428 ton</t>
        </r>
        <r>
          <rPr>
            <sz val="8"/>
            <color rgb="FF000000"/>
            <rFont val="Tahoma"/>
            <family val="2"/>
          </rPr>
          <t xml:space="preserve"> a traves de Res 2247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20</xdr:row>
                <xdr:rowOff>9</xdr:rowOff>
              </xdr:from>
              <xdr:to>
                <xdr:col>4</xdr:col>
                <xdr:colOff>51</xdr:colOff>
                <xdr:row>24</xdr:row>
                <xdr:rowOff>4</xdr:rowOff>
              </xdr:to>
            </anchor>
          </commentPr>
        </mc:Choice>
        <mc:Fallback/>
      </mc:AlternateContent>
    </comment>
    <comment ref="A25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 -</t>
        </r>
        <r>
          <rPr>
            <b val="true"/>
            <sz val="8"/>
            <color rgb="FF000000"/>
            <rFont val="Tahoma"/>
            <family val="2"/>
          </rPr>
          <t xml:space="preserve">8165 ton</t>
        </r>
        <r>
          <rPr>
            <sz val="8"/>
            <color rgb="FF000000"/>
            <rFont val="Tahoma"/>
            <family val="2"/>
          </rPr>
          <t xml:space="preserve"> a través de Res Nº 1462. Cede </t>
        </r>
        <r>
          <rPr>
            <b val="true"/>
            <sz val="8"/>
            <color rgb="FF000000"/>
            <rFont val="Tahoma"/>
            <family val="2"/>
          </rPr>
          <t xml:space="preserve">-417 ton</t>
        </r>
        <r>
          <rPr>
            <sz val="8"/>
            <color rgb="FF000000"/>
            <rFont val="Tahoma"/>
            <family val="2"/>
          </rPr>
          <t xml:space="preserve"> a traves de Res Nº 1890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23</xdr:row>
                <xdr:rowOff>10</xdr:rowOff>
              </xdr:from>
              <xdr:to>
                <xdr:col>4</xdr:col>
                <xdr:colOff>67</xdr:colOff>
                <xdr:row>27</xdr:row>
                <xdr:rowOff>4</xdr:rowOff>
              </xdr:to>
            </anchor>
          </commentPr>
        </mc:Choice>
        <mc:Fallback/>
      </mc:AlternateContent>
    </comment>
  </commentList>
</comments>
</file>

<file path=xl/comments1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9" authorId="0">
      <text>
        <r>
          <rPr>
            <b val="true"/>
            <sz val="8"/>
            <color rgb="FF000000"/>
            <rFont val="Tahoma"/>
            <family val="2"/>
          </rPr>
          <t xml:space="preserve">dcatalan:
</t>
        </r>
        <r>
          <rPr>
            <sz val="8"/>
            <color rgb="FF000000"/>
            <rFont val="Tahoma"/>
            <family val="2"/>
          </rPr>
          <t xml:space="preserve">Ceden </t>
        </r>
        <r>
          <rPr>
            <b val="true"/>
            <sz val="8"/>
            <color rgb="FF000000"/>
            <rFont val="Tahoma"/>
            <family val="2"/>
          </rPr>
          <t xml:space="preserve">-159.596 ton </t>
        </r>
        <r>
          <rPr>
            <sz val="8"/>
            <color rgb="FF000000"/>
            <rFont val="Tahoma"/>
            <family val="2"/>
          </rPr>
          <t xml:space="preserve">a través de</t>
        </r>
        <r>
          <rPr>
            <b val="true"/>
            <sz val="8"/>
            <color rgb="FF000000"/>
            <rFont val="Tahoma"/>
            <family val="2"/>
          </rPr>
          <t xml:space="preserve"> </t>
        </r>
        <r>
          <rPr>
            <sz val="8"/>
            <color rgb="FF000000"/>
            <rFont val="Tahoma"/>
            <family val="2"/>
          </rPr>
          <t xml:space="preserve">Res 698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17</xdr:row>
                <xdr:rowOff>11</xdr:rowOff>
              </xdr:from>
              <xdr:to>
                <xdr:col>5</xdr:col>
                <xdr:colOff>30</xdr:colOff>
                <xdr:row>20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<sst xmlns="http://schemas.openxmlformats.org/spreadsheetml/2006/main" count="1409" uniqueCount="374">
  <si>
    <t xml:space="preserve">Informe </t>
  </si>
  <si>
    <t xml:space="preserve">Resumen LMC 2012</t>
  </si>
  <si>
    <t xml:space="preserve">Al 31 de diciembre del 2012</t>
  </si>
  <si>
    <t xml:space="preserve">Unidad de Pesquería</t>
  </si>
  <si>
    <t xml:space="preserve">Zona</t>
  </si>
  <si>
    <t xml:space="preserve">Cuota Global (t)</t>
  </si>
  <si>
    <t xml:space="preserve">Desembarque total (t)</t>
  </si>
  <si>
    <t xml:space="preserve">Aguas internacionales</t>
  </si>
  <si>
    <t xml:space="preserve">Saldo total (t)</t>
  </si>
  <si>
    <t xml:space="preserve">% consumido 2012</t>
  </si>
  <si>
    <t xml:space="preserve">% consumido 2011</t>
  </si>
  <si>
    <t xml:space="preserve">Anchoveta</t>
  </si>
  <si>
    <t xml:space="preserve">XV- I - II</t>
  </si>
  <si>
    <t xml:space="preserve">III - IV</t>
  </si>
  <si>
    <t xml:space="preserve">V - X</t>
  </si>
  <si>
    <t xml:space="preserve">Camarón nailon</t>
  </si>
  <si>
    <t xml:space="preserve">II-VIII</t>
  </si>
  <si>
    <t xml:space="preserve">Congrio dorado</t>
  </si>
  <si>
    <t xml:space="preserve">NE F + H</t>
  </si>
  <si>
    <t xml:space="preserve"> SE</t>
  </si>
  <si>
    <t xml:space="preserve">Jurel</t>
  </si>
  <si>
    <t xml:space="preserve">XV - I - II</t>
  </si>
  <si>
    <t xml:space="preserve">V - IX</t>
  </si>
  <si>
    <t xml:space="preserve">XIV - X</t>
  </si>
  <si>
    <t xml:space="preserve">Langostino amarillo</t>
  </si>
  <si>
    <t xml:space="preserve">III-IV</t>
  </si>
  <si>
    <t xml:space="preserve"> </t>
  </si>
  <si>
    <t xml:space="preserve">Langostino colorado</t>
  </si>
  <si>
    <t xml:space="preserve">I -IV</t>
  </si>
  <si>
    <t xml:space="preserve">Merluza común</t>
  </si>
  <si>
    <t xml:space="preserve">IV- 41º 28, 6</t>
  </si>
  <si>
    <t xml:space="preserve">Merluza de cola</t>
  </si>
  <si>
    <t xml:space="preserve">V -X </t>
  </si>
  <si>
    <t xml:space="preserve">XI -XII</t>
  </si>
  <si>
    <t xml:space="preserve">Merluza de tres aletas</t>
  </si>
  <si>
    <t xml:space="preserve">41º28,6 - XII</t>
  </si>
  <si>
    <t xml:space="preserve">Merluza del sur</t>
  </si>
  <si>
    <t xml:space="preserve">Sardina común</t>
  </si>
  <si>
    <t xml:space="preserve">V -X</t>
  </si>
  <si>
    <t xml:space="preserve">Sardina española</t>
  </si>
  <si>
    <t xml:space="preserve">Nota: desembarque aguas internacionales Jurel desde III a X regiones, esta incorporado en la columna de desembarque total, solo se incorpora el dato para tenerlo de referencia</t>
  </si>
  <si>
    <t xml:space="preserve">RESUMEN LMC 2012</t>
  </si>
  <si>
    <t xml:space="preserve">Cuota Período</t>
  </si>
  <si>
    <t xml:space="preserve">Desembarque (t)</t>
  </si>
  <si>
    <t xml:space="preserve">Saldo (t)</t>
  </si>
  <si>
    <t xml:space="preserve">% Disponible </t>
  </si>
  <si>
    <t xml:space="preserve">Período</t>
  </si>
  <si>
    <t xml:space="preserve">autorizada (t)</t>
  </si>
  <si>
    <t xml:space="preserve">efectiva (t)</t>
  </si>
  <si>
    <t xml:space="preserve">XV -I - II</t>
  </si>
  <si>
    <t xml:space="preserve">enero - junio</t>
  </si>
  <si>
    <t xml:space="preserve">julio-diciembre</t>
  </si>
  <si>
    <t xml:space="preserve">enero  - octubre</t>
  </si>
  <si>
    <t xml:space="preserve">noviembre - diciembre</t>
  </si>
  <si>
    <t xml:space="preserve">enero-abril</t>
  </si>
  <si>
    <t xml:space="preserve">mayo-agosto</t>
  </si>
  <si>
    <t xml:space="preserve">septiembre-diciembre</t>
  </si>
  <si>
    <t xml:space="preserve">II - VIII</t>
  </si>
  <si>
    <t xml:space="preserve">enero - marzo</t>
  </si>
  <si>
    <t xml:space="preserve">abril - agosto</t>
  </si>
  <si>
    <t xml:space="preserve">septiembre - diciembre</t>
  </si>
  <si>
    <t xml:space="preserve">enero-febrero</t>
  </si>
  <si>
    <t xml:space="preserve">marzo - diciembre</t>
  </si>
  <si>
    <t xml:space="preserve">SE</t>
  </si>
  <si>
    <t xml:space="preserve">enero - septiembre</t>
  </si>
  <si>
    <t xml:space="preserve">octubre - diciembre</t>
  </si>
  <si>
    <t xml:space="preserve">abril - junio</t>
  </si>
  <si>
    <t xml:space="preserve">julio - septiembre</t>
  </si>
  <si>
    <t xml:space="preserve">octubre -diciembre</t>
  </si>
  <si>
    <t xml:space="preserve">II - IV</t>
  </si>
  <si>
    <t xml:space="preserve">IV - 41º 28,6'</t>
  </si>
  <si>
    <t xml:space="preserve">enero  - julio</t>
  </si>
  <si>
    <t xml:space="preserve">agosto - diciembre</t>
  </si>
  <si>
    <t xml:space="preserve">enero  - marzo</t>
  </si>
  <si>
    <t xml:space="preserve">abril - diciembre</t>
  </si>
  <si>
    <t xml:space="preserve">XI - XII</t>
  </si>
  <si>
    <t xml:space="preserve">enero</t>
  </si>
  <si>
    <t xml:space="preserve">febrero - diciembre</t>
  </si>
  <si>
    <t xml:space="preserve">Cuotas globales Sin LMC (en conjunto con artesanales), 2012</t>
  </si>
  <si>
    <t xml:space="preserve">Fecha cierre</t>
  </si>
  <si>
    <t xml:space="preserve">autorizada</t>
  </si>
  <si>
    <t xml:space="preserve">efectiva</t>
  </si>
  <si>
    <t xml:space="preserve">Alfonsino</t>
  </si>
  <si>
    <t xml:space="preserve">Mar Terr y ZEE </t>
  </si>
  <si>
    <t xml:space="preserve">enero  - septiembre</t>
  </si>
  <si>
    <t xml:space="preserve">Veda</t>
  </si>
  <si>
    <t xml:space="preserve">industrial</t>
  </si>
  <si>
    <t xml:space="preserve">artesanal</t>
  </si>
  <si>
    <t xml:space="preserve">Besugo</t>
  </si>
  <si>
    <t xml:space="preserve">III - X</t>
  </si>
  <si>
    <t xml:space="preserve">F. De area</t>
  </si>
  <si>
    <t xml:space="preserve">febrero  - diciembre</t>
  </si>
  <si>
    <t xml:space="preserve">01.02.12</t>
  </si>
  <si>
    <t xml:space="preserve">enero - diciembre</t>
  </si>
  <si>
    <t xml:space="preserve">26.03.12</t>
  </si>
  <si>
    <t xml:space="preserve">Cuota</t>
  </si>
  <si>
    <t xml:space="preserve">Sector</t>
  </si>
  <si>
    <t xml:space="preserve">Desem. (ton)</t>
  </si>
  <si>
    <t xml:space="preserve">Total Desem. (ton)</t>
  </si>
  <si>
    <t xml:space="preserve">Saldo</t>
  </si>
  <si>
    <t xml:space="preserve">Caballa</t>
  </si>
  <si>
    <t xml:space="preserve">I-XII</t>
  </si>
  <si>
    <t xml:space="preserve">S/cuota</t>
  </si>
  <si>
    <t xml:space="preserve">enero  - diciembre</t>
  </si>
  <si>
    <t xml:space="preserve">Artesanal</t>
  </si>
  <si>
    <t xml:space="preserve">Industrial</t>
  </si>
  <si>
    <t xml:space="preserve">Reineta</t>
  </si>
  <si>
    <t xml:space="preserve">Pez espada</t>
  </si>
  <si>
    <t xml:space="preserve">Bacalao</t>
  </si>
  <si>
    <t xml:space="preserve">I a 47°</t>
  </si>
  <si>
    <t xml:space="preserve">Jibia o calamar rojo </t>
  </si>
  <si>
    <t xml:space="preserve">XV-XII</t>
  </si>
  <si>
    <t xml:space="preserve">febrero-diciembre</t>
  </si>
  <si>
    <t xml:space="preserve">Cuotas Regionales Crustaceos Industriales, 2012</t>
  </si>
  <si>
    <t xml:space="preserve">Al 31 de diciembre 2012</t>
  </si>
  <si>
    <t xml:space="preserve">Fecha cierre /Prom (t/día)</t>
  </si>
  <si>
    <t xml:space="preserve">II</t>
  </si>
  <si>
    <t xml:space="preserve">septiembre  - diciembre</t>
  </si>
  <si>
    <t xml:space="preserve">III</t>
  </si>
  <si>
    <t xml:space="preserve">IV</t>
  </si>
  <si>
    <t xml:space="preserve">12.03.12</t>
  </si>
  <si>
    <t xml:space="preserve">12.06.12</t>
  </si>
  <si>
    <t xml:space="preserve">30.11.12</t>
  </si>
  <si>
    <t xml:space="preserve">V</t>
  </si>
  <si>
    <t xml:space="preserve">12.02.12</t>
  </si>
  <si>
    <t xml:space="preserve">06.06.12</t>
  </si>
  <si>
    <t xml:space="preserve">28.09.12</t>
  </si>
  <si>
    <t xml:space="preserve">VI</t>
  </si>
  <si>
    <t xml:space="preserve">19.06.12</t>
  </si>
  <si>
    <t xml:space="preserve">30.10.12</t>
  </si>
  <si>
    <t xml:space="preserve">VII</t>
  </si>
  <si>
    <t xml:space="preserve">17.02.12</t>
  </si>
  <si>
    <t xml:space="preserve">19.11.12</t>
  </si>
  <si>
    <t xml:space="preserve">VIII</t>
  </si>
  <si>
    <t xml:space="preserve">15.06.12</t>
  </si>
  <si>
    <t xml:space="preserve">30.07.12</t>
  </si>
  <si>
    <t xml:space="preserve">17.10.12</t>
  </si>
  <si>
    <t xml:space="preserve">Langostino amarillo                                            Licitado</t>
  </si>
  <si>
    <t xml:space="preserve">24.04.12</t>
  </si>
  <si>
    <t xml:space="preserve">julio - diciembre</t>
  </si>
  <si>
    <t xml:space="preserve">06.09.12</t>
  </si>
  <si>
    <t xml:space="preserve">25.06.12</t>
  </si>
  <si>
    <t xml:space="preserve">Langostino colorado                                           Licitado</t>
  </si>
  <si>
    <t xml:space="preserve">27.06.12</t>
  </si>
  <si>
    <t xml:space="preserve">07.08.12</t>
  </si>
  <si>
    <t xml:space="preserve">13.08.12</t>
  </si>
  <si>
    <t xml:space="preserve">08.11.12</t>
  </si>
  <si>
    <t xml:space="preserve">Cuotas Industriales Licitadas, año 2012</t>
  </si>
  <si>
    <t xml:space="preserve">Al 31 de diciembre  2012</t>
  </si>
  <si>
    <t xml:space="preserve">Langostino amarillo V-VIII</t>
  </si>
  <si>
    <t xml:space="preserve">Armador</t>
  </si>
  <si>
    <t xml:space="preserve">% Licitado</t>
  </si>
  <si>
    <t xml:space="preserve">Cuota licitada (t)</t>
  </si>
  <si>
    <t xml:space="preserve">Sanción (t)</t>
  </si>
  <si>
    <t xml:space="preserve">Transferencias</t>
  </si>
  <si>
    <t xml:space="preserve">Cuota efectiva (t)</t>
  </si>
  <si>
    <t xml:space="preserve">Operación</t>
  </si>
  <si>
    <t xml:space="preserve">Ingresos (t)</t>
  </si>
  <si>
    <t xml:space="preserve">Egresos (t)</t>
  </si>
  <si>
    <t xml:space="preserve">% consumido</t>
  </si>
  <si>
    <t xml:space="preserve">Camanchaca Pesca Sur</t>
  </si>
  <si>
    <t xml:space="preserve">Camanchaca  </t>
  </si>
  <si>
    <t xml:space="preserve">BLUMAR</t>
  </si>
  <si>
    <t xml:space="preserve">Viento Sur</t>
  </si>
  <si>
    <t xml:space="preserve">Sunise</t>
  </si>
  <si>
    <t xml:space="preserve">Bracpesca</t>
  </si>
  <si>
    <t xml:space="preserve">Isladamas</t>
  </si>
  <si>
    <t xml:space="preserve">Veliz y veliz</t>
  </si>
  <si>
    <t xml:space="preserve">Distrimar</t>
  </si>
  <si>
    <t xml:space="preserve">Antartic Seafood</t>
  </si>
  <si>
    <t xml:space="preserve">Friosur X</t>
  </si>
  <si>
    <t xml:space="preserve">Grimar S.A</t>
  </si>
  <si>
    <t xml:space="preserve">Rubio y Mauad Ltda.</t>
  </si>
  <si>
    <t xml:space="preserve">Resumen </t>
  </si>
  <si>
    <t xml:space="preserve">Langostino colorado V-VIII</t>
  </si>
  <si>
    <t xml:space="preserve">Camanchaca Pesca Sur S.A.</t>
  </si>
  <si>
    <t xml:space="preserve">Blumar (Ex El Golfo)</t>
  </si>
  <si>
    <t xml:space="preserve">Empacadora del pacifico</t>
  </si>
  <si>
    <t xml:space="preserve">Alimar</t>
  </si>
  <si>
    <t xml:space="preserve">Artic S.A Elaboradora</t>
  </si>
  <si>
    <t xml:space="preserve">Antartic Seafood S.A</t>
  </si>
  <si>
    <t xml:space="preserve">Bio Bio S.A</t>
  </si>
  <si>
    <t xml:space="preserve">RUBIO Y MAUAD LTDA.</t>
  </si>
  <si>
    <t xml:space="preserve">Bacalao de profundidad</t>
  </si>
  <si>
    <t xml:space="preserve">Antartic Sea Fisheries</t>
  </si>
  <si>
    <t xml:space="preserve">Pesquera Isla Edén</t>
  </si>
  <si>
    <t xml:space="preserve">Pesca Chile</t>
  </si>
  <si>
    <t xml:space="preserve">Pesca Cisne</t>
  </si>
  <si>
    <t xml:space="preserve">Suriberica</t>
  </si>
  <si>
    <t xml:space="preserve">Globalpesca</t>
  </si>
  <si>
    <t xml:space="preserve">Anchoveta LMC 2012</t>
  </si>
  <si>
    <t xml:space="preserve">Anchoveta XV - I - II</t>
  </si>
  <si>
    <t xml:space="preserve">Periodo</t>
  </si>
  <si>
    <t xml:space="preserve">Cuota (t)</t>
  </si>
  <si>
    <t xml:space="preserve">Global</t>
  </si>
  <si>
    <t xml:space="preserve">ASOC 35</t>
  </si>
  <si>
    <t xml:space="preserve">ENE-JUN</t>
  </si>
  <si>
    <t xml:space="preserve">JUL-DIC</t>
  </si>
  <si>
    <t xml:space="preserve">TOTAL</t>
  </si>
  <si>
    <t xml:space="preserve">Inicial</t>
  </si>
  <si>
    <t xml:space="preserve">Final</t>
  </si>
  <si>
    <t xml:space="preserve">Asignada</t>
  </si>
  <si>
    <t xml:space="preserve">Efectiva</t>
  </si>
  <si>
    <t xml:space="preserve">ARICA SF</t>
  </si>
  <si>
    <t xml:space="preserve">Arica S.Prod. S.A., Corpesca S.A, Orizon S.A. (Asociatividad 35)</t>
  </si>
  <si>
    <t xml:space="preserve">CORPESCA</t>
  </si>
  <si>
    <t xml:space="preserve">ORIZON</t>
  </si>
  <si>
    <t xml:space="preserve">Camanchaca S.A</t>
  </si>
  <si>
    <t xml:space="preserve">CUOTA ASIGNADA</t>
  </si>
  <si>
    <t xml:space="preserve">CESIONES IND-ART</t>
  </si>
  <si>
    <t xml:space="preserve">CUOTA EFECTIVA</t>
  </si>
  <si>
    <t xml:space="preserve">Anchoveta III - IV</t>
  </si>
  <si>
    <t xml:space="preserve">Corpesca S.A., Orizon S.A. (Asociatividad 95)</t>
  </si>
  <si>
    <t xml:space="preserve">Alimentos Marinos S.A., Camanchaca S.A (Asociatividad 28)</t>
  </si>
  <si>
    <t xml:space="preserve">Blumar S.A,.</t>
  </si>
  <si>
    <t xml:space="preserve">Inversiones Pesqueras S.A.</t>
  </si>
  <si>
    <t xml:space="preserve">Bahia Caldera S.A.</t>
  </si>
  <si>
    <t xml:space="preserve">Bio Bio S.A.</t>
  </si>
  <si>
    <t xml:space="preserve">Anchoveta V-X</t>
  </si>
  <si>
    <t xml:space="preserve">Berta Elena Ltda., Genmar Ltda., Inostroza Concha Pelantaro., Lota Protein S.A</t>
  </si>
  <si>
    <t xml:space="preserve">Centro Sur S.A., Inversiones Pesqueras S.A., Salmoalimentos S.A (Asociatividad 98)</t>
  </si>
  <si>
    <t xml:space="preserve">Blumar S.A.</t>
  </si>
  <si>
    <t xml:space="preserve">Landes S.A.</t>
  </si>
  <si>
    <t xml:space="preserve">San Antonio S.A, Mar Profundo S.A., Isla Quihua S.A., Alimentos Marinos S.A., Foodcorp S.A. (Asociatividad 80)</t>
  </si>
  <si>
    <t xml:space="preserve">Bio Bio S.A.Pesq., Camachaca S.A (asociatividad 103)</t>
  </si>
  <si>
    <t xml:space="preserve">Orizón S.A.</t>
  </si>
  <si>
    <t xml:space="preserve">Anchoveta V- X</t>
  </si>
  <si>
    <t xml:space="preserve">Jurel LMC 2012</t>
  </si>
  <si>
    <t xml:space="preserve">Jurel XV-I-II</t>
  </si>
  <si>
    <t xml:space="preserve">Arica Seafood Producer S.A., Corpesca S.A., Orizon S.A.</t>
  </si>
  <si>
    <t xml:space="preserve">Jurel III - IV</t>
  </si>
  <si>
    <t xml:space="preserve">Corpesca S.A., Orizon  S.A. </t>
  </si>
  <si>
    <t xml:space="preserve">oficiado 30.05.12</t>
  </si>
  <si>
    <t xml:space="preserve">Bahia Caldera S.A., </t>
  </si>
  <si>
    <t xml:space="preserve">Bio Bio S.A.Pesq., Camanchaca S.A. (Asociatividad 102)</t>
  </si>
  <si>
    <t xml:space="preserve">Alimentos Marinos S.A, Foodcorp S.A.</t>
  </si>
  <si>
    <t xml:space="preserve">oficiados 31.05.12</t>
  </si>
  <si>
    <t xml:space="preserve">Arica Seafood Producer S.A</t>
  </si>
  <si>
    <t xml:space="preserve">oficiado 31.05.12</t>
  </si>
  <si>
    <t xml:space="preserve">Lota Protein S.A.</t>
  </si>
  <si>
    <t xml:space="preserve">Isladamas S.A.</t>
  </si>
  <si>
    <t xml:space="preserve">Jurel V-IX</t>
  </si>
  <si>
    <t xml:space="preserve">Berta Elena Ltda., Genmar Ltda., Inostroza Concha Pelantaro., Lota Protein S.A.</t>
  </si>
  <si>
    <t xml:space="preserve">Centro Sur S.A., Inversiones Pesqueras S.A., Salmoalimentos S.A</t>
  </si>
  <si>
    <t xml:space="preserve">Blumar  S.A.</t>
  </si>
  <si>
    <t xml:space="preserve">Gonzalez Rivera Marcelino.</t>
  </si>
  <si>
    <t xml:space="preserve">Landes S.A</t>
  </si>
  <si>
    <t xml:space="preserve">Alimentos Marinos S.A., Isla Quihua S.A., Mar Profundo S.A., San Antonio S.A, Foodcorp S.A.</t>
  </si>
  <si>
    <t xml:space="preserve">Corpesca S.A., Orizon S.A. (Asociatividad 96)</t>
  </si>
  <si>
    <t xml:space="preserve">Sur Austral S.A. Pesq</t>
  </si>
  <si>
    <t xml:space="preserve">Nordio Ltda, </t>
  </si>
  <si>
    <t xml:space="preserve">Enfemar Ltda.,</t>
  </si>
  <si>
    <t xml:space="preserve">Da Venezia Retamales Antonio. </t>
  </si>
  <si>
    <t xml:space="preserve">Bio Bio S.A.Pesq., Camachaca S.A.</t>
  </si>
  <si>
    <t xml:space="preserve">Jurel V -IX</t>
  </si>
  <si>
    <t xml:space="preserve">Jurel XIV-X</t>
  </si>
  <si>
    <t xml:space="preserve">Berta Elena Ltda.,  Genmar Ltda., Inostroza Concha Pelantaro., Lota Protein S.A.,</t>
  </si>
  <si>
    <t xml:space="preserve">Bio Bio S.A., Camanchaca S.A</t>
  </si>
  <si>
    <t xml:space="preserve">Alimentos Marinos S.A., San Antonio S.A, Foodcorp S.A.</t>
  </si>
  <si>
    <t xml:space="preserve">Da Venezia Retamales Antonio.</t>
  </si>
  <si>
    <t xml:space="preserve">Enfemar Ltda.</t>
  </si>
  <si>
    <t xml:space="preserve">Nordio Ltda.</t>
  </si>
  <si>
    <t xml:space="preserve">Arancibia Fuentes Giovanni, </t>
  </si>
  <si>
    <t xml:space="preserve">Corpesca S.A., Orizon S.A (Asocitividad 97)</t>
  </si>
  <si>
    <t xml:space="preserve">Camarón nailon LMC 2012</t>
  </si>
  <si>
    <t xml:space="preserve">Camarón nailon II - VIII</t>
  </si>
  <si>
    <t xml:space="preserve">Costa Brava S.A.</t>
  </si>
  <si>
    <t xml:space="preserve">Grimar S.A.Pesq,</t>
  </si>
  <si>
    <t xml:space="preserve">Isladamas S.A., </t>
  </si>
  <si>
    <t xml:space="preserve">*</t>
  </si>
  <si>
    <t xml:space="preserve">Sunrise S.A</t>
  </si>
  <si>
    <t xml:space="preserve">Amancay Ltda</t>
  </si>
  <si>
    <t xml:space="preserve">Antarctic Seafood S.A., Inversiones y Alimentos Intermark Ltda</t>
  </si>
  <si>
    <t xml:space="preserve">Baycic Baycic Maria</t>
  </si>
  <si>
    <t xml:space="preserve">Bracpesca S.A</t>
  </si>
  <si>
    <t xml:space="preserve">Concepción S.A</t>
  </si>
  <si>
    <t xml:space="preserve">Gonzalez Rivera Marcelino</t>
  </si>
  <si>
    <t xml:space="preserve">Morozin Yurecic Mario</t>
  </si>
  <si>
    <t xml:space="preserve">oficiado 21.11.12</t>
  </si>
  <si>
    <t xml:space="preserve">Morozin Baycic Maria Ana</t>
  </si>
  <si>
    <t xml:space="preserve">Quintero Ltda, Soc Pesquera</t>
  </si>
  <si>
    <t xml:space="preserve">oficiado 04.10.12</t>
  </si>
  <si>
    <t xml:space="preserve">Quintero S.A., Pesquera</t>
  </si>
  <si>
    <t xml:space="preserve">F. Acompañante</t>
  </si>
  <si>
    <t xml:space="preserve">Camanchaca S.A. </t>
  </si>
  <si>
    <t xml:space="preserve">Congrio dorado LMC 2012</t>
  </si>
  <si>
    <t xml:space="preserve">Congrio dorado NE H/F</t>
  </si>
  <si>
    <t xml:space="preserve">Emdepes S.A., Grimar S.A.Pesq., Pesca Chile S.A., Sur Austral S.A</t>
  </si>
  <si>
    <t xml:space="preserve">Pesca Cisne S.A</t>
  </si>
  <si>
    <t xml:space="preserve">Congrio dorado NE</t>
  </si>
  <si>
    <t xml:space="preserve">Congrio dorado SE</t>
  </si>
  <si>
    <t xml:space="preserve">Langostino amarillo LMC 2012</t>
  </si>
  <si>
    <t xml:space="preserve">Langostino amarillo III-IV</t>
  </si>
  <si>
    <t xml:space="preserve">Grimar S.A.Pesq., Isladamas S.A., Sunrise S.A</t>
  </si>
  <si>
    <t xml:space="preserve">Antarctic Seafood S.A</t>
  </si>
  <si>
    <t xml:space="preserve">Mororzin Yurecic Mario</t>
  </si>
  <si>
    <t xml:space="preserve">Quinteros S.A</t>
  </si>
  <si>
    <t xml:space="preserve">Langostino Amarillo III - IV</t>
  </si>
  <si>
    <t xml:space="preserve">Langostino colorado LMC 2012</t>
  </si>
  <si>
    <t xml:space="preserve">Langostino coloradoXV- IV</t>
  </si>
  <si>
    <t xml:space="preserve">Isladamas S.A., Sunrise S.A</t>
  </si>
  <si>
    <t xml:space="preserve">Inversiones y Alimentos Intermark Ltda, Antarctic Seafood S.A</t>
  </si>
  <si>
    <t xml:space="preserve">Langostino colorado XV- IV</t>
  </si>
  <si>
    <t xml:space="preserve">Merluza común LMC 2012</t>
  </si>
  <si>
    <t xml:space="preserve">Al  31 de diciembre del 2012</t>
  </si>
  <si>
    <t xml:space="preserve">Merluza común IV a 41°28,6'LS</t>
  </si>
  <si>
    <t xml:space="preserve">Genmar Ltda., Inostroza Concha Pelantaro</t>
  </si>
  <si>
    <t xml:space="preserve">Grimar S.A.Pesq.,Pesca Chile., Sur Austral S.A.</t>
  </si>
  <si>
    <t xml:space="preserve">Gonzalez Rivera M., Gonzalez Silva M., Leucoton.</t>
  </si>
  <si>
    <t xml:space="preserve"> Landes,  Orizon S.A. </t>
  </si>
  <si>
    <t xml:space="preserve">Concepción Ltda.</t>
  </si>
  <si>
    <t xml:space="preserve">Da Venezia Retamales Antonio</t>
  </si>
  <si>
    <t xml:space="preserve">Enfemar Ltda., </t>
  </si>
  <si>
    <t xml:space="preserve">Alimentos Marinos S.A.</t>
  </si>
  <si>
    <t xml:space="preserve">Alvarez Armijo Jaime</t>
  </si>
  <si>
    <t xml:space="preserve">Inversiones y Alimentos Intermark Ltda</t>
  </si>
  <si>
    <t xml:space="preserve">Isladamas S.A</t>
  </si>
  <si>
    <t xml:space="preserve">Nordio Ltda</t>
  </si>
  <si>
    <t xml:space="preserve">Pessur Ltda</t>
  </si>
  <si>
    <t xml:space="preserve">Merluza común IV - 41º 28, 6'</t>
  </si>
  <si>
    <t xml:space="preserve">Amancay</t>
  </si>
  <si>
    <t xml:space="preserve">Baycic Baycic, Maria</t>
  </si>
  <si>
    <t xml:space="preserve">Morozin Baycicc, Maria Ana</t>
  </si>
  <si>
    <t xml:space="preserve">Morozin Yurecic, Mario</t>
  </si>
  <si>
    <t xml:space="preserve">Quintero Ltda, Soc, Pesq.</t>
  </si>
  <si>
    <t xml:space="preserve">Quintero S.A. Pesq.</t>
  </si>
  <si>
    <t xml:space="preserve">Sunrise S.A. Pesq.</t>
  </si>
  <si>
    <t xml:space="preserve">Omega</t>
  </si>
  <si>
    <t xml:space="preserve">Isladamas </t>
  </si>
  <si>
    <t xml:space="preserve">Concepción</t>
  </si>
  <si>
    <t xml:space="preserve">Merluza cola LMC 2012</t>
  </si>
  <si>
    <t xml:space="preserve">Merluza cola V-X</t>
  </si>
  <si>
    <t xml:space="preserve">Foodcorp S.A, Grimar S.A.Pesq, Sur Austral S.A (Asociatividad 72)</t>
  </si>
  <si>
    <t xml:space="preserve">Centro Sur S.A., Inversiones Pesq., Salmoalimentos S.A.  (Asociatividad 99)</t>
  </si>
  <si>
    <t xml:space="preserve">Alimentos Marinos S.A., Isla Quihua., Mar Profundo S.A., San Antonio S.A (Asociatividad 29)</t>
  </si>
  <si>
    <t xml:space="preserve">Inostroza Concha Pelantaro., Lota Protein S.A (Asociatividad 33)</t>
  </si>
  <si>
    <t xml:space="preserve">Camanchaca S.A., Bio Bio S.A.Pesq. (Asociatividad 106)</t>
  </si>
  <si>
    <t xml:space="preserve">Pesca Chile S.A.</t>
  </si>
  <si>
    <t xml:space="preserve">Orizon S.A.</t>
  </si>
  <si>
    <t xml:space="preserve">Landes Soc. Pesq.</t>
  </si>
  <si>
    <t xml:space="preserve">Merluza de cola V - X</t>
  </si>
  <si>
    <t xml:space="preserve">Merluza cola XI-XII</t>
  </si>
  <si>
    <t xml:space="preserve">Emdepes.,Grimar S.A.Pesq, Pesca Chile S.A., Sur Austral S.A.</t>
  </si>
  <si>
    <t xml:space="preserve">Merluza de cola XI - XII</t>
  </si>
  <si>
    <t xml:space="preserve">Merluza del sur LMC 2012</t>
  </si>
  <si>
    <t xml:space="preserve">Incremento de 103.86 ton a traves de Res 527. incremento de 110.248 ton a traves de Res Nº 619.  incremento de  50.536 ton a traves de Res Nº 642. </t>
  </si>
  <si>
    <t xml:space="preserve">Incremento de 2.773 ton a traves de Res 1138-12.  Incremento de 60.672 ton a traves de Res 1394. Incremento de 63.934 ton a traves de Res 1391. Incremento de 400 ton a traves de Res 1431. Incremento de 345.9 ton a traves de Res 1432.. Incremento de 148.2 ton a traves de Res Nº1433. Incremento de 2.999 ton a traves de Res 1694. </t>
  </si>
  <si>
    <t xml:space="preserve">Incremento de 95.868 ton a traves de Res 1887. Incremento de 111.111 ton a través de Res 2301. Incremento de 75.091 ton a través de Res 2302.</t>
  </si>
  <si>
    <t xml:space="preserve">Merluza del sur NE F/H</t>
  </si>
  <si>
    <t xml:space="preserve">Incremento de 34.496 ton a traves de Res 2466.</t>
  </si>
  <si>
    <t xml:space="preserve">Incremento de 91.118 ton a traves de Res 2659</t>
  </si>
  <si>
    <t xml:space="preserve">Emdepes., Pesca Chile S.A., Grimar S.A.Pesq, Sur Austral S.A  (Asociatividad 77)</t>
  </si>
  <si>
    <t xml:space="preserve">Merluza Del Sur NE Fabrica</t>
  </si>
  <si>
    <t xml:space="preserve">Merluza del sur SE</t>
  </si>
  <si>
    <t xml:space="preserve">Emdepes., Grimar S.A.Pesq, Pesca Chile S.A., Sur Austral S.A  (Asociatividad 75)</t>
  </si>
  <si>
    <t xml:space="preserve">Merluza Del Sur SE</t>
  </si>
  <si>
    <t xml:space="preserve">Merluza tres aletas LMC 2012</t>
  </si>
  <si>
    <t xml:space="preserve">Merluza tres aletas NE/SE</t>
  </si>
  <si>
    <t xml:space="preserve">Emdepes., Grimar S.A.Pesq, Pesca Chile S.A., Sur Austral S.A</t>
  </si>
  <si>
    <t xml:space="preserve">Sardina común LMC 2012</t>
  </si>
  <si>
    <t xml:space="preserve">Sardina común V-X</t>
  </si>
  <si>
    <t xml:space="preserve">Berta Elena Ltda., Genmar Ltda.,  Inostroza Concha Pelantaro., Lota Protein S.A</t>
  </si>
  <si>
    <t xml:space="preserve">Orizon S.A. </t>
  </si>
  <si>
    <t xml:space="preserve">Bio Bio S.A.Pesq., Camachaca S.A (Asociatividad 103)</t>
  </si>
  <si>
    <t xml:space="preserve">Sardina común V- X</t>
  </si>
  <si>
    <t xml:space="preserve">Sardina española LMC 2012</t>
  </si>
  <si>
    <t xml:space="preserve">Sardina española XV - I - II</t>
  </si>
  <si>
    <t xml:space="preserve">Arica S.Prod. S.A., Corpesca S.A, Orizon S.A.</t>
  </si>
  <si>
    <t xml:space="preserve">Sardina española III - IV</t>
  </si>
  <si>
    <t xml:space="preserve">Corpesca S.A. , Orizon S.A. (Asociatividad 95)</t>
  </si>
  <si>
    <t xml:space="preserve">Alimentos Marinos S.A., Camanchaca S.A</t>
  </si>
  <si>
    <t xml:space="preserve"> Lota Protein S.A.</t>
  </si>
  <si>
    <t xml:space="preserve">Inversiones Pesqueras S.A,</t>
  </si>
  <si>
    <t xml:space="preserve">Bio Bio S.A, 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</si>
</sst>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d\-mmm\-yy"/>
    <numFmt numFmtId="166" formatCode="#,##0"/>
    <numFmt numFmtId="167" formatCode="0%"/>
    <numFmt numFmtId="168" formatCode="0.00%"/>
    <numFmt numFmtId="169" formatCode="[$-409]m/d/yyyy"/>
    <numFmt numFmtId="170" formatCode="#,##0.000"/>
    <numFmt numFmtId="171" formatCode="#,##0.00_ ;[RED]\-#,##0.00\ "/>
    <numFmt numFmtId="172" formatCode="#,##0.00"/>
    <numFmt numFmtId="173" formatCode="#,##0_ ;[RED]\-#,##0\ "/>
    <numFmt numFmtId="174" formatCode="#,##0.000_ ;[RED]\-#,##0.000\ "/>
    <numFmt numFmtId="175" formatCode="[$-409]d\-mmm"/>
    <numFmt numFmtId="176" formatCode="0.0000%"/>
    <numFmt numFmtId="177" formatCode="#,##0.0000000000000"/>
    <numFmt numFmtId="178" formatCode="0.00_ ;[RED]\-0.00\ "/>
    <numFmt numFmtId="179" formatCode="0.0"/>
    <numFmt numFmtId="180" formatCode="0.00"/>
    <numFmt numFmtId="181" formatCode="[$-409]d\-mmm\-yy"/>
    <numFmt numFmtId="182" formatCode="d\-mmm"/>
    <numFmt numFmtId="183" formatCode="#,##0.0"/>
    <numFmt numFmtId="184" formatCode="0.0%"/>
    <numFmt numFmtId="185" formatCode="0.000"/>
  </numFmts>
  <fonts count="3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gobCL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2"/>
      <color rgb="FFFFFFFF"/>
      <name val="Calibri"/>
      <family val="2"/>
    </font>
    <font>
      <sz val="10"/>
      <color rgb="FF000000"/>
      <name val="Calibri"/>
      <family val="2"/>
    </font>
    <font>
      <b val="true"/>
      <sz val="10"/>
      <name val="Calibri"/>
      <family val="2"/>
    </font>
    <font>
      <sz val="12"/>
      <name val="Calibri"/>
      <family val="2"/>
    </font>
    <font>
      <sz val="10"/>
      <color rgb="FF800080"/>
      <name val="Calibri"/>
      <family val="2"/>
    </font>
    <font>
      <sz val="10"/>
      <color rgb="FF800080"/>
      <name val="Arial"/>
      <family val="2"/>
    </font>
    <font>
      <sz val="10"/>
      <color rgb="FF0066CC"/>
      <name val="Calibri"/>
      <family val="2"/>
    </font>
    <font>
      <b val="true"/>
      <sz val="10"/>
      <color rgb="FFFF0000"/>
      <name val="Calibri"/>
      <family val="2"/>
    </font>
    <font>
      <sz val="12"/>
      <color rgb="FF000000"/>
      <name val="Calibri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b val="true"/>
      <sz val="12"/>
      <name val="Calibri"/>
      <family val="2"/>
    </font>
    <font>
      <sz val="10"/>
      <name val="@Arial Unicode MS"/>
      <family val="2"/>
    </font>
    <font>
      <sz val="10"/>
      <color rgb="FFFF0000"/>
      <name val="Arial"/>
      <family val="2"/>
    </font>
    <font>
      <b val="true"/>
      <sz val="8"/>
      <name val="Arial"/>
      <family val="2"/>
    </font>
    <font>
      <b val="true"/>
      <sz val="10"/>
      <name val="Arial"/>
      <family val="2"/>
    </font>
    <font>
      <sz val="8"/>
      <name val="Calibri"/>
      <family val="2"/>
    </font>
    <font>
      <b val="true"/>
      <sz val="12"/>
      <color rgb="FF000000"/>
      <name val="Tahoma"/>
      <family val="2"/>
    </font>
    <font>
      <sz val="12"/>
      <color rgb="FF000000"/>
      <name val="Tahoma"/>
      <family val="2"/>
    </font>
    <font>
      <sz val="11"/>
      <name val="Calibri"/>
      <family val="2"/>
    </font>
    <font>
      <b val="true"/>
      <sz val="10"/>
      <name val="@Arial Unicode MS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FF"/>
        <bgColor rgb="FFFF00FF"/>
      </patternFill>
    </fill>
    <fill>
      <patternFill patternType="solid">
        <fgColor rgb="FF00CCFF"/>
        <bgColor rgb="FF33CCCC"/>
      </patternFill>
    </fill>
    <fill>
      <patternFill patternType="solid">
        <fgColor rgb="FFCC99FF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9999FF"/>
        <bgColor rgb="FFCC99FF"/>
      </patternFill>
    </fill>
    <fill>
      <patternFill patternType="solid">
        <fgColor rgb="FFCCCCFF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0066CC"/>
        <bgColor rgb="FF008080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333399"/>
        <bgColor rgb="FF003366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hair">
        <color rgb="FFC0C0C0"/>
      </right>
      <top/>
      <bottom style="hair">
        <color rgb="FFC0C0C0"/>
      </bottom>
      <diagonal/>
    </border>
    <border diagonalUp="false" diagonalDown="false"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 diagonalUp="false" diagonalDown="false">
      <left style="hair">
        <color rgb="FFC0C0C0"/>
      </left>
      <right/>
      <top/>
      <bottom style="hair">
        <color rgb="FFC0C0C0"/>
      </bottom>
      <diagonal/>
    </border>
    <border diagonalUp="false" diagonalDown="false">
      <left style="thin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 diagonalUp="false" diagonalDown="false"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 diagonalUp="false" diagonalDown="false">
      <left style="hair">
        <color rgb="FFC0C0C0"/>
      </left>
      <right/>
      <top style="hair">
        <color rgb="FFC0C0C0"/>
      </top>
      <bottom style="hair">
        <color rgb="FFC0C0C0"/>
      </bottom>
      <diagonal/>
    </border>
    <border diagonalUp="false" diagonalDown="false">
      <left style="thin">
        <color rgb="FFC0C0C0"/>
      </left>
      <right style="hair">
        <color rgb="FFC0C0C0"/>
      </right>
      <top style="hair">
        <color rgb="FFC0C0C0"/>
      </top>
      <bottom style="thin">
        <color rgb="FFC0C0C0"/>
      </bottom>
      <diagonal/>
    </border>
    <border diagonalUp="false" diagonalDown="false">
      <left style="hair">
        <color rgb="FFC0C0C0"/>
      </left>
      <right style="hair">
        <color rgb="FFC0C0C0"/>
      </right>
      <top style="hair">
        <color rgb="FFC0C0C0"/>
      </top>
      <bottom style="thin">
        <color rgb="FFC0C0C0"/>
      </bottom>
      <diagonal/>
    </border>
    <border diagonalUp="false" diagonalDown="false">
      <left style="hair">
        <color rgb="FFC0C0C0"/>
      </left>
      <right/>
      <top style="hair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/>
      <right style="hair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medium"/>
      <diagonal/>
    </border>
    <border diagonalUp="false" diagonalDown="false">
      <left style="thin">
        <color rgb="FFC0C0C0"/>
      </left>
      <right style="thin">
        <color rgb="FFC0C0C0"/>
      </right>
      <top style="medium"/>
      <bottom style="medium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/>
      <right style="hair"/>
      <top style="hair"/>
      <bottom style="thin"/>
      <diagonal/>
    </border>
  </borders>
  <cellStyleXfs count="59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1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1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6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58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58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58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58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585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585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7" xfId="58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7" xfId="58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0" xfId="58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6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58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5" fontId="11" fillId="6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6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7" xfId="58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54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588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0" xfId="588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44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2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8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3" xfId="591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8" fillId="0" borderId="0" xfId="59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2" fontId="8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15" xfId="5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4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3" xfId="59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3" xfId="59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4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4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8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4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8" fillId="0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49" xfId="58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5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5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59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5" xfId="59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84" fontId="8" fillId="0" borderId="4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59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8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13" xfId="59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82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12" borderId="4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5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3" xfId="59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8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2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13" xfId="59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8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3" xfId="592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8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8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8" fillId="0" borderId="13" xfId="591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8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12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57" xfId="591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3" xfId="58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82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3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8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4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8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2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2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4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2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591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8" fillId="13" borderId="4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58" xfId="591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82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592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57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2" xfId="21"/>
    <cellStyle name="Normal 10 3" xfId="22"/>
    <cellStyle name="Normal 10 4" xfId="23"/>
    <cellStyle name="Normal 10 5" xfId="24"/>
    <cellStyle name="Normal 10 6" xfId="25"/>
    <cellStyle name="Normal 11" xfId="26"/>
    <cellStyle name="Normal 11 2" xfId="27"/>
    <cellStyle name="Normal 11 3" xfId="28"/>
    <cellStyle name="Normal 11 4" xfId="29"/>
    <cellStyle name="Normal 11 5" xfId="30"/>
    <cellStyle name="Normal 11 6" xfId="31"/>
    <cellStyle name="Normal 12" xfId="32"/>
    <cellStyle name="Normal 12 2" xfId="33"/>
    <cellStyle name="Normal 13" xfId="34"/>
    <cellStyle name="Normal 13 2" xfId="35"/>
    <cellStyle name="Normal 14" xfId="36"/>
    <cellStyle name="Normal 14 2" xfId="37"/>
    <cellStyle name="Normal 15" xfId="38"/>
    <cellStyle name="Normal 15 2" xfId="39"/>
    <cellStyle name="Normal 16" xfId="40"/>
    <cellStyle name="Normal 17" xfId="41"/>
    <cellStyle name="Normal 18" xfId="42"/>
    <cellStyle name="Normal 19" xfId="43"/>
    <cellStyle name="Normal 2" xfId="44"/>
    <cellStyle name="Normal 2 10" xfId="45"/>
    <cellStyle name="Normal 2 11" xfId="46"/>
    <cellStyle name="Normal 2 11 2" xfId="47"/>
    <cellStyle name="Normal 2 11 2 2" xfId="48"/>
    <cellStyle name="Normal 2 11 2 2 2" xfId="49"/>
    <cellStyle name="Normal 2 11 2 2 3" xfId="50"/>
    <cellStyle name="Normal 2 11 2 2 4" xfId="51"/>
    <cellStyle name="Normal 2 11 2 2 5" xfId="52"/>
    <cellStyle name="Normal 2 11 2 3" xfId="53"/>
    <cellStyle name="Normal 2 11 2 4" xfId="54"/>
    <cellStyle name="Normal 2 11 2 5" xfId="55"/>
    <cellStyle name="Normal 2 11 3" xfId="56"/>
    <cellStyle name="Normal 2 11 4" xfId="57"/>
    <cellStyle name="Normal 2 11 5" xfId="58"/>
    <cellStyle name="Normal 2 11 6" xfId="59"/>
    <cellStyle name="Normal 2 12" xfId="60"/>
    <cellStyle name="Normal 2 13" xfId="61"/>
    <cellStyle name="Normal 2 14" xfId="62"/>
    <cellStyle name="Normal 2 15" xfId="63"/>
    <cellStyle name="Normal 2 15 2" xfId="64"/>
    <cellStyle name="Normal 2 15 3" xfId="65"/>
    <cellStyle name="Normal 2 15 4" xfId="66"/>
    <cellStyle name="Normal 2 15 5" xfId="67"/>
    <cellStyle name="Normal 2 16" xfId="68"/>
    <cellStyle name="Normal 2 17" xfId="69"/>
    <cellStyle name="Normal 2 18" xfId="70"/>
    <cellStyle name="Normal 2 2" xfId="71"/>
    <cellStyle name="Normal 2 2 10" xfId="72"/>
    <cellStyle name="Normal 2 2 11" xfId="73"/>
    <cellStyle name="Normal 2 2 11 2" xfId="74"/>
    <cellStyle name="Normal 2 2 11 2 2" xfId="75"/>
    <cellStyle name="Normal 2 2 11 2 2 2" xfId="76"/>
    <cellStyle name="Normal 2 2 11 2 2 3" xfId="77"/>
    <cellStyle name="Normal 2 2 11 2 2 4" xfId="78"/>
    <cellStyle name="Normal 2 2 11 2 2 5" xfId="79"/>
    <cellStyle name="Normal 2 2 11 2 3" xfId="80"/>
    <cellStyle name="Normal 2 2 11 2 4" xfId="81"/>
    <cellStyle name="Normal 2 2 11 2 5" xfId="82"/>
    <cellStyle name="Normal 2 2 11 3" xfId="83"/>
    <cellStyle name="Normal 2 2 11 4" xfId="84"/>
    <cellStyle name="Normal 2 2 11 5" xfId="85"/>
    <cellStyle name="Normal 2 2 11 6" xfId="86"/>
    <cellStyle name="Normal 2 2 12" xfId="87"/>
    <cellStyle name="Normal 2 2 13" xfId="88"/>
    <cellStyle name="Normal 2 2 14" xfId="89"/>
    <cellStyle name="Normal 2 2 15" xfId="90"/>
    <cellStyle name="Normal 2 2 15 2" xfId="91"/>
    <cellStyle name="Normal 2 2 15 3" xfId="92"/>
    <cellStyle name="Normal 2 2 15 4" xfId="93"/>
    <cellStyle name="Normal 2 2 15 5" xfId="94"/>
    <cellStyle name="Normal 2 2 16" xfId="95"/>
    <cellStyle name="Normal 2 2 17" xfId="96"/>
    <cellStyle name="Normal 2 2 18" xfId="97"/>
    <cellStyle name="Normal 2 2 2" xfId="98"/>
    <cellStyle name="Normal 2 2 2 10" xfId="99"/>
    <cellStyle name="Normal 2 2 2 11" xfId="100"/>
    <cellStyle name="Normal 2 2 2 12" xfId="101"/>
    <cellStyle name="Normal 2 2 2 13" xfId="102"/>
    <cellStyle name="Normal 2 2 2 13 2" xfId="103"/>
    <cellStyle name="Normal 2 2 2 13 3" xfId="104"/>
    <cellStyle name="Normal 2 2 2 13 4" xfId="105"/>
    <cellStyle name="Normal 2 2 2 13 5" xfId="106"/>
    <cellStyle name="Normal 2 2 2 14" xfId="107"/>
    <cellStyle name="Normal 2 2 2 15" xfId="108"/>
    <cellStyle name="Normal 2 2 2 16" xfId="109"/>
    <cellStyle name="Normal 2 2 2 2" xfId="110"/>
    <cellStyle name="Normal 2 2 2 2 10" xfId="111"/>
    <cellStyle name="Normal 2 2 2 2 11" xfId="112"/>
    <cellStyle name="Normal 2 2 2 2 12" xfId="113"/>
    <cellStyle name="Normal 2 2 2 2 13" xfId="114"/>
    <cellStyle name="Normal 2 2 2 2 13 2" xfId="115"/>
    <cellStyle name="Normal 2 2 2 2 13 3" xfId="116"/>
    <cellStyle name="Normal 2 2 2 2 13 4" xfId="117"/>
    <cellStyle name="Normal 2 2 2 2 13 5" xfId="118"/>
    <cellStyle name="Normal 2 2 2 2 14" xfId="119"/>
    <cellStyle name="Normal 2 2 2 2 15" xfId="120"/>
    <cellStyle name="Normal 2 2 2 2 16" xfId="121"/>
    <cellStyle name="Normal 2 2 2 2 2" xfId="122"/>
    <cellStyle name="Normal 2 2 2 2 2 2" xfId="123"/>
    <cellStyle name="Normal 2 2 2 2 2 2 2" xfId="124"/>
    <cellStyle name="Normal 2 2 2 2 2 2 2 2" xfId="125"/>
    <cellStyle name="Normal 2 2 2 2 2 2 2 2 2" xfId="126"/>
    <cellStyle name="Normal 2 2 2 2 2 2 2 2 2 2" xfId="127"/>
    <cellStyle name="Normal 2 2 2 2 2 2 2 2 2 3" xfId="128"/>
    <cellStyle name="Normal 2 2 2 2 2 2 2 2 2 4" xfId="129"/>
    <cellStyle name="Normal 2 2 2 2 2 2 2 2 2 5" xfId="130"/>
    <cellStyle name="Normal 2 2 2 2 2 2 2 2 3" xfId="131"/>
    <cellStyle name="Normal 2 2 2 2 2 2 2 2 4" xfId="132"/>
    <cellStyle name="Normal 2 2 2 2 2 2 2 2 5" xfId="133"/>
    <cellStyle name="Normal 2 2 2 2 2 2 2 3" xfId="134"/>
    <cellStyle name="Normal 2 2 2 2 2 2 2 4" xfId="135"/>
    <cellStyle name="Normal 2 2 2 2 2 2 2 5" xfId="136"/>
    <cellStyle name="Normal 2 2 2 2 2 2 2 6" xfId="137"/>
    <cellStyle name="Normal 2 2 2 2 2 2 3" xfId="138"/>
    <cellStyle name="Normal 2 2 2 2 2 2 4" xfId="139"/>
    <cellStyle name="Normal 2 2 2 2 2 2 5" xfId="140"/>
    <cellStyle name="Normal 2 2 2 2 2 2 6" xfId="141"/>
    <cellStyle name="Normal 2 2 2 2 2 2 6 2" xfId="142"/>
    <cellStyle name="Normal 2 2 2 2 2 2 6 3" xfId="143"/>
    <cellStyle name="Normal 2 2 2 2 2 2 6 4" xfId="144"/>
    <cellStyle name="Normal 2 2 2 2 2 2 6 5" xfId="145"/>
    <cellStyle name="Normal 2 2 2 2 2 2 7" xfId="146"/>
    <cellStyle name="Normal 2 2 2 2 2 2 8" xfId="147"/>
    <cellStyle name="Normal 2 2 2 2 2 2 9" xfId="148"/>
    <cellStyle name="Normal 2 2 2 2 2 3" xfId="149"/>
    <cellStyle name="Normal 2 2 2 2 2 3 2" xfId="150"/>
    <cellStyle name="Normal 2 2 2 2 2 3 2 2" xfId="151"/>
    <cellStyle name="Normal 2 2 2 2 2 3 2 2 2" xfId="152"/>
    <cellStyle name="Normal 2 2 2 2 2 3 2 2 3" xfId="153"/>
    <cellStyle name="Normal 2 2 2 2 2 3 2 2 4" xfId="154"/>
    <cellStyle name="Normal 2 2 2 2 2 3 2 2 5" xfId="155"/>
    <cellStyle name="Normal 2 2 2 2 2 3 2 3" xfId="156"/>
    <cellStyle name="Normal 2 2 2 2 2 3 2 4" xfId="157"/>
    <cellStyle name="Normal 2 2 2 2 2 3 2 5" xfId="158"/>
    <cellStyle name="Normal 2 2 2 2 2 3 3" xfId="159"/>
    <cellStyle name="Normal 2 2 2 2 2 3 4" xfId="160"/>
    <cellStyle name="Normal 2 2 2 2 2 3 5" xfId="161"/>
    <cellStyle name="Normal 2 2 2 2 2 3 6" xfId="162"/>
    <cellStyle name="Normal 2 2 2 2 2 4" xfId="163"/>
    <cellStyle name="Normal 2 2 2 2 2 5" xfId="164"/>
    <cellStyle name="Normal 2 2 2 2 2 6" xfId="165"/>
    <cellStyle name="Normal 2 2 2 2 2 6 2" xfId="166"/>
    <cellStyle name="Normal 2 2 2 2 2 6 3" xfId="167"/>
    <cellStyle name="Normal 2 2 2 2 2 6 4" xfId="168"/>
    <cellStyle name="Normal 2 2 2 2 2 6 5" xfId="169"/>
    <cellStyle name="Normal 2 2 2 2 2 7" xfId="170"/>
    <cellStyle name="Normal 2 2 2 2 2 8" xfId="171"/>
    <cellStyle name="Normal 2 2 2 2 2 9" xfId="172"/>
    <cellStyle name="Normal 2 2 2 2 3" xfId="173"/>
    <cellStyle name="Normal 2 2 2 2 4" xfId="174"/>
    <cellStyle name="Normal 2 2 2 2 5" xfId="175"/>
    <cellStyle name="Normal 2 2 2 2 6" xfId="176"/>
    <cellStyle name="Normal 2 2 2 2 7" xfId="177"/>
    <cellStyle name="Normal 2 2 2 2 8" xfId="178"/>
    <cellStyle name="Normal 2 2 2 2 9" xfId="179"/>
    <cellStyle name="Normal 2 2 2 2 9 2" xfId="180"/>
    <cellStyle name="Normal 2 2 2 2 9 2 2" xfId="181"/>
    <cellStyle name="Normal 2 2 2 2 9 2 2 2" xfId="182"/>
    <cellStyle name="Normal 2 2 2 2 9 2 2 3" xfId="183"/>
    <cellStyle name="Normal 2 2 2 2 9 2 2 4" xfId="184"/>
    <cellStyle name="Normal 2 2 2 2 9 2 2 5" xfId="185"/>
    <cellStyle name="Normal 2 2 2 2 9 2 3" xfId="186"/>
    <cellStyle name="Normal 2 2 2 2 9 2 4" xfId="187"/>
    <cellStyle name="Normal 2 2 2 2 9 2 5" xfId="188"/>
    <cellStyle name="Normal 2 2 2 2 9 3" xfId="189"/>
    <cellStyle name="Normal 2 2 2 2 9 4" xfId="190"/>
    <cellStyle name="Normal 2 2 2 2 9 5" xfId="191"/>
    <cellStyle name="Normal 2 2 2 2 9 6" xfId="192"/>
    <cellStyle name="Normal 2 2 2 3" xfId="193"/>
    <cellStyle name="Normal 2 2 2 3 2" xfId="194"/>
    <cellStyle name="Normal 2 2 2 3 2 2" xfId="195"/>
    <cellStyle name="Normal 2 2 2 3 2 2 2" xfId="196"/>
    <cellStyle name="Normal 2 2 2 3 2 2 2 2" xfId="197"/>
    <cellStyle name="Normal 2 2 2 3 2 2 2 2 2" xfId="198"/>
    <cellStyle name="Normal 2 2 2 3 2 2 2 2 3" xfId="199"/>
    <cellStyle name="Normal 2 2 2 3 2 2 2 2 4" xfId="200"/>
    <cellStyle name="Normal 2 2 2 3 2 2 2 2 5" xfId="201"/>
    <cellStyle name="Normal 2 2 2 3 2 2 2 3" xfId="202"/>
    <cellStyle name="Normal 2 2 2 3 2 2 2 4" xfId="203"/>
    <cellStyle name="Normal 2 2 2 3 2 2 2 5" xfId="204"/>
    <cellStyle name="Normal 2 2 2 3 2 2 3" xfId="205"/>
    <cellStyle name="Normal 2 2 2 3 2 2 4" xfId="206"/>
    <cellStyle name="Normal 2 2 2 3 2 2 5" xfId="207"/>
    <cellStyle name="Normal 2 2 2 3 2 2 6" xfId="208"/>
    <cellStyle name="Normal 2 2 2 3 2 3" xfId="209"/>
    <cellStyle name="Normal 2 2 2 3 2 4" xfId="210"/>
    <cellStyle name="Normal 2 2 2 3 2 5" xfId="211"/>
    <cellStyle name="Normal 2 2 2 3 2 6" xfId="212"/>
    <cellStyle name="Normal 2 2 2 3 2 6 2" xfId="213"/>
    <cellStyle name="Normal 2 2 2 3 2 6 3" xfId="214"/>
    <cellStyle name="Normal 2 2 2 3 2 6 4" xfId="215"/>
    <cellStyle name="Normal 2 2 2 3 2 6 5" xfId="216"/>
    <cellStyle name="Normal 2 2 2 3 2 7" xfId="217"/>
    <cellStyle name="Normal 2 2 2 3 2 8" xfId="218"/>
    <cellStyle name="Normal 2 2 2 3 2 9" xfId="219"/>
    <cellStyle name="Normal 2 2 2 3 3" xfId="220"/>
    <cellStyle name="Normal 2 2 2 3 3 2" xfId="221"/>
    <cellStyle name="Normal 2 2 2 3 3 2 2" xfId="222"/>
    <cellStyle name="Normal 2 2 2 3 3 2 2 2" xfId="223"/>
    <cellStyle name="Normal 2 2 2 3 3 2 2 3" xfId="224"/>
    <cellStyle name="Normal 2 2 2 3 3 2 2 4" xfId="225"/>
    <cellStyle name="Normal 2 2 2 3 3 2 2 5" xfId="226"/>
    <cellStyle name="Normal 2 2 2 3 3 2 3" xfId="227"/>
    <cellStyle name="Normal 2 2 2 3 3 2 4" xfId="228"/>
    <cellStyle name="Normal 2 2 2 3 3 2 5" xfId="229"/>
    <cellStyle name="Normal 2 2 2 3 3 3" xfId="230"/>
    <cellStyle name="Normal 2 2 2 3 3 4" xfId="231"/>
    <cellStyle name="Normal 2 2 2 3 3 5" xfId="232"/>
    <cellStyle name="Normal 2 2 2 3 3 6" xfId="233"/>
    <cellStyle name="Normal 2 2 2 3 4" xfId="234"/>
    <cellStyle name="Normal 2 2 2 3 5" xfId="235"/>
    <cellStyle name="Normal 2 2 2 3 6" xfId="236"/>
    <cellStyle name="Normal 2 2 2 3 6 2" xfId="237"/>
    <cellStyle name="Normal 2 2 2 3 6 3" xfId="238"/>
    <cellStyle name="Normal 2 2 2 3 6 4" xfId="239"/>
    <cellStyle name="Normal 2 2 2 3 6 5" xfId="240"/>
    <cellStyle name="Normal 2 2 2 3 7" xfId="241"/>
    <cellStyle name="Normal 2 2 2 3 8" xfId="242"/>
    <cellStyle name="Normal 2 2 2 3 9" xfId="243"/>
    <cellStyle name="Normal 2 2 2 4" xfId="244"/>
    <cellStyle name="Normal 2 2 2 5" xfId="245"/>
    <cellStyle name="Normal 2 2 2 6" xfId="246"/>
    <cellStyle name="Normal 2 2 2 7" xfId="247"/>
    <cellStyle name="Normal 2 2 2 8" xfId="248"/>
    <cellStyle name="Normal 2 2 2 9" xfId="249"/>
    <cellStyle name="Normal 2 2 2 9 2" xfId="250"/>
    <cellStyle name="Normal 2 2 2 9 2 2" xfId="251"/>
    <cellStyle name="Normal 2 2 2 9 2 2 2" xfId="252"/>
    <cellStyle name="Normal 2 2 2 9 2 2 3" xfId="253"/>
    <cellStyle name="Normal 2 2 2 9 2 2 4" xfId="254"/>
    <cellStyle name="Normal 2 2 2 9 2 2 5" xfId="255"/>
    <cellStyle name="Normal 2 2 2 9 2 3" xfId="256"/>
    <cellStyle name="Normal 2 2 2 9 2 4" xfId="257"/>
    <cellStyle name="Normal 2 2 2 9 2 5" xfId="258"/>
    <cellStyle name="Normal 2 2 2 9 3" xfId="259"/>
    <cellStyle name="Normal 2 2 2 9 4" xfId="260"/>
    <cellStyle name="Normal 2 2 2 9 5" xfId="261"/>
    <cellStyle name="Normal 2 2 2 9 6" xfId="262"/>
    <cellStyle name="Normal 2 2 3" xfId="263"/>
    <cellStyle name="Normal 2 2 4" xfId="264"/>
    <cellStyle name="Normal 2 2 4 2" xfId="265"/>
    <cellStyle name="Normal 2 2 4 2 2" xfId="266"/>
    <cellStyle name="Normal 2 2 4 2 2 2" xfId="267"/>
    <cellStyle name="Normal 2 2 4 2 2 2 2" xfId="268"/>
    <cellStyle name="Normal 2 2 4 2 2 2 2 2" xfId="269"/>
    <cellStyle name="Normal 2 2 4 2 2 2 2 3" xfId="270"/>
    <cellStyle name="Normal 2 2 4 2 2 2 2 4" xfId="271"/>
    <cellStyle name="Normal 2 2 4 2 2 2 2 5" xfId="272"/>
    <cellStyle name="Normal 2 2 4 2 2 2 3" xfId="273"/>
    <cellStyle name="Normal 2 2 4 2 2 2 4" xfId="274"/>
    <cellStyle name="Normal 2 2 4 2 2 2 5" xfId="275"/>
    <cellStyle name="Normal 2 2 4 2 2 3" xfId="276"/>
    <cellStyle name="Normal 2 2 4 2 2 4" xfId="277"/>
    <cellStyle name="Normal 2 2 4 2 2 5" xfId="278"/>
    <cellStyle name="Normal 2 2 4 2 2 6" xfId="279"/>
    <cellStyle name="Normal 2 2 4 2 3" xfId="280"/>
    <cellStyle name="Normal 2 2 4 2 4" xfId="281"/>
    <cellStyle name="Normal 2 2 4 2 5" xfId="282"/>
    <cellStyle name="Normal 2 2 4 2 6" xfId="283"/>
    <cellStyle name="Normal 2 2 4 2 6 2" xfId="284"/>
    <cellStyle name="Normal 2 2 4 2 6 3" xfId="285"/>
    <cellStyle name="Normal 2 2 4 2 6 4" xfId="286"/>
    <cellStyle name="Normal 2 2 4 2 6 5" xfId="287"/>
    <cellStyle name="Normal 2 2 4 2 7" xfId="288"/>
    <cellStyle name="Normal 2 2 4 2 8" xfId="289"/>
    <cellStyle name="Normal 2 2 4 2 9" xfId="290"/>
    <cellStyle name="Normal 2 2 4 3" xfId="291"/>
    <cellStyle name="Normal 2 2 4 3 2" xfId="292"/>
    <cellStyle name="Normal 2 2 4 3 2 2" xfId="293"/>
    <cellStyle name="Normal 2 2 4 3 2 2 2" xfId="294"/>
    <cellStyle name="Normal 2 2 4 3 2 2 3" xfId="295"/>
    <cellStyle name="Normal 2 2 4 3 2 2 4" xfId="296"/>
    <cellStyle name="Normal 2 2 4 3 2 2 5" xfId="297"/>
    <cellStyle name="Normal 2 2 4 3 2 3" xfId="298"/>
    <cellStyle name="Normal 2 2 4 3 2 4" xfId="299"/>
    <cellStyle name="Normal 2 2 4 3 2 5" xfId="300"/>
    <cellStyle name="Normal 2 2 4 3 3" xfId="301"/>
    <cellStyle name="Normal 2 2 4 3 4" xfId="302"/>
    <cellStyle name="Normal 2 2 4 3 5" xfId="303"/>
    <cellStyle name="Normal 2 2 4 3 6" xfId="304"/>
    <cellStyle name="Normal 2 2 4 4" xfId="305"/>
    <cellStyle name="Normal 2 2 4 5" xfId="306"/>
    <cellStyle name="Normal 2 2 4 6" xfId="307"/>
    <cellStyle name="Normal 2 2 4 6 2" xfId="308"/>
    <cellStyle name="Normal 2 2 4 6 3" xfId="309"/>
    <cellStyle name="Normal 2 2 4 6 4" xfId="310"/>
    <cellStyle name="Normal 2 2 4 6 5" xfId="311"/>
    <cellStyle name="Normal 2 2 4 7" xfId="312"/>
    <cellStyle name="Normal 2 2 4 8" xfId="313"/>
    <cellStyle name="Normal 2 2 4 9" xfId="314"/>
    <cellStyle name="Normal 2 2 5" xfId="315"/>
    <cellStyle name="Normal 2 2 6" xfId="316"/>
    <cellStyle name="Normal 2 2 7" xfId="317"/>
    <cellStyle name="Normal 2 2 8" xfId="318"/>
    <cellStyle name="Normal 2 2 9" xfId="319"/>
    <cellStyle name="Normal 2 3" xfId="320"/>
    <cellStyle name="Normal 2 3 10" xfId="321"/>
    <cellStyle name="Normal 2 3 11" xfId="322"/>
    <cellStyle name="Normal 2 3 12" xfId="323"/>
    <cellStyle name="Normal 2 3 13" xfId="324"/>
    <cellStyle name="Normal 2 3 13 2" xfId="325"/>
    <cellStyle name="Normal 2 3 13 3" xfId="326"/>
    <cellStyle name="Normal 2 3 13 4" xfId="327"/>
    <cellStyle name="Normal 2 3 13 5" xfId="328"/>
    <cellStyle name="Normal 2 3 14" xfId="329"/>
    <cellStyle name="Normal 2 3 15" xfId="330"/>
    <cellStyle name="Normal 2 3 16" xfId="331"/>
    <cellStyle name="Normal 2 3 2" xfId="332"/>
    <cellStyle name="Normal 2 3 2 10" xfId="333"/>
    <cellStyle name="Normal 2 3 2 11" xfId="334"/>
    <cellStyle name="Normal 2 3 2 12" xfId="335"/>
    <cellStyle name="Normal 2 3 2 13" xfId="336"/>
    <cellStyle name="Normal 2 3 2 13 2" xfId="337"/>
    <cellStyle name="Normal 2 3 2 13 3" xfId="338"/>
    <cellStyle name="Normal 2 3 2 13 4" xfId="339"/>
    <cellStyle name="Normal 2 3 2 13 5" xfId="340"/>
    <cellStyle name="Normal 2 3 2 14" xfId="341"/>
    <cellStyle name="Normal 2 3 2 15" xfId="342"/>
    <cellStyle name="Normal 2 3 2 16" xfId="343"/>
    <cellStyle name="Normal 2 3 2 2" xfId="344"/>
    <cellStyle name="Normal 2 3 2 2 2" xfId="345"/>
    <cellStyle name="Normal 2 3 2 2 2 2" xfId="346"/>
    <cellStyle name="Normal 2 3 2 2 2 2 2" xfId="347"/>
    <cellStyle name="Normal 2 3 2 2 2 2 2 2" xfId="348"/>
    <cellStyle name="Normal 2 3 2 2 2 2 2 2 2" xfId="349"/>
    <cellStyle name="Normal 2 3 2 2 2 2 2 2 3" xfId="350"/>
    <cellStyle name="Normal 2 3 2 2 2 2 2 2 4" xfId="351"/>
    <cellStyle name="Normal 2 3 2 2 2 2 2 2 5" xfId="352"/>
    <cellStyle name="Normal 2 3 2 2 2 2 2 3" xfId="353"/>
    <cellStyle name="Normal 2 3 2 2 2 2 2 4" xfId="354"/>
    <cellStyle name="Normal 2 3 2 2 2 2 2 5" xfId="355"/>
    <cellStyle name="Normal 2 3 2 2 2 2 3" xfId="356"/>
    <cellStyle name="Normal 2 3 2 2 2 2 4" xfId="357"/>
    <cellStyle name="Normal 2 3 2 2 2 2 5" xfId="358"/>
    <cellStyle name="Normal 2 3 2 2 2 2 6" xfId="359"/>
    <cellStyle name="Normal 2 3 2 2 2 3" xfId="360"/>
    <cellStyle name="Normal 2 3 2 2 2 4" xfId="361"/>
    <cellStyle name="Normal 2 3 2 2 2 5" xfId="362"/>
    <cellStyle name="Normal 2 3 2 2 2 6" xfId="363"/>
    <cellStyle name="Normal 2 3 2 2 2 6 2" xfId="364"/>
    <cellStyle name="Normal 2 3 2 2 2 6 3" xfId="365"/>
    <cellStyle name="Normal 2 3 2 2 2 6 4" xfId="366"/>
    <cellStyle name="Normal 2 3 2 2 2 6 5" xfId="367"/>
    <cellStyle name="Normal 2 3 2 2 2 7" xfId="368"/>
    <cellStyle name="Normal 2 3 2 2 2 8" xfId="369"/>
    <cellStyle name="Normal 2 3 2 2 2 9" xfId="370"/>
    <cellStyle name="Normal 2 3 2 2 3" xfId="371"/>
    <cellStyle name="Normal 2 3 2 2 3 2" xfId="372"/>
    <cellStyle name="Normal 2 3 2 2 3 2 2" xfId="373"/>
    <cellStyle name="Normal 2 3 2 2 3 2 2 2" xfId="374"/>
    <cellStyle name="Normal 2 3 2 2 3 2 2 3" xfId="375"/>
    <cellStyle name="Normal 2 3 2 2 3 2 2 4" xfId="376"/>
    <cellStyle name="Normal 2 3 2 2 3 2 2 5" xfId="377"/>
    <cellStyle name="Normal 2 3 2 2 3 2 3" xfId="378"/>
    <cellStyle name="Normal 2 3 2 2 3 2 4" xfId="379"/>
    <cellStyle name="Normal 2 3 2 2 3 2 5" xfId="380"/>
    <cellStyle name="Normal 2 3 2 2 3 3" xfId="381"/>
    <cellStyle name="Normal 2 3 2 2 3 4" xfId="382"/>
    <cellStyle name="Normal 2 3 2 2 3 5" xfId="383"/>
    <cellStyle name="Normal 2 3 2 2 3 6" xfId="384"/>
    <cellStyle name="Normal 2 3 2 2 4" xfId="385"/>
    <cellStyle name="Normal 2 3 2 2 5" xfId="386"/>
    <cellStyle name="Normal 2 3 2 2 6" xfId="387"/>
    <cellStyle name="Normal 2 3 2 2 6 2" xfId="388"/>
    <cellStyle name="Normal 2 3 2 2 6 3" xfId="389"/>
    <cellStyle name="Normal 2 3 2 2 6 4" xfId="390"/>
    <cellStyle name="Normal 2 3 2 2 6 5" xfId="391"/>
    <cellStyle name="Normal 2 3 2 2 7" xfId="392"/>
    <cellStyle name="Normal 2 3 2 2 8" xfId="393"/>
    <cellStyle name="Normal 2 3 2 2 9" xfId="394"/>
    <cellStyle name="Normal 2 3 2 3" xfId="395"/>
    <cellStyle name="Normal 2 3 2 4" xfId="396"/>
    <cellStyle name="Normal 2 3 2 5" xfId="397"/>
    <cellStyle name="Normal 2 3 2 6" xfId="398"/>
    <cellStyle name="Normal 2 3 2 7" xfId="399"/>
    <cellStyle name="Normal 2 3 2 8" xfId="400"/>
    <cellStyle name="Normal 2 3 2 9" xfId="401"/>
    <cellStyle name="Normal 2 3 2 9 2" xfId="402"/>
    <cellStyle name="Normal 2 3 2 9 2 2" xfId="403"/>
    <cellStyle name="Normal 2 3 2 9 2 2 2" xfId="404"/>
    <cellStyle name="Normal 2 3 2 9 2 2 3" xfId="405"/>
    <cellStyle name="Normal 2 3 2 9 2 2 4" xfId="406"/>
    <cellStyle name="Normal 2 3 2 9 2 2 5" xfId="407"/>
    <cellStyle name="Normal 2 3 2 9 2 3" xfId="408"/>
    <cellStyle name="Normal 2 3 2 9 2 4" xfId="409"/>
    <cellStyle name="Normal 2 3 2 9 2 5" xfId="410"/>
    <cellStyle name="Normal 2 3 2 9 3" xfId="411"/>
    <cellStyle name="Normal 2 3 2 9 4" xfId="412"/>
    <cellStyle name="Normal 2 3 2 9 5" xfId="413"/>
    <cellStyle name="Normal 2 3 2 9 6" xfId="414"/>
    <cellStyle name="Normal 2 3 3" xfId="415"/>
    <cellStyle name="Normal 2 3 3 2" xfId="416"/>
    <cellStyle name="Normal 2 3 3 2 2" xfId="417"/>
    <cellStyle name="Normal 2 3 3 2 2 2" xfId="418"/>
    <cellStyle name="Normal 2 3 3 2 2 2 2" xfId="419"/>
    <cellStyle name="Normal 2 3 3 2 2 2 2 2" xfId="420"/>
    <cellStyle name="Normal 2 3 3 2 2 2 2 3" xfId="421"/>
    <cellStyle name="Normal 2 3 3 2 2 2 2 4" xfId="422"/>
    <cellStyle name="Normal 2 3 3 2 2 2 2 5" xfId="423"/>
    <cellStyle name="Normal 2 3 3 2 2 2 3" xfId="424"/>
    <cellStyle name="Normal 2 3 3 2 2 2 4" xfId="425"/>
    <cellStyle name="Normal 2 3 3 2 2 2 5" xfId="426"/>
    <cellStyle name="Normal 2 3 3 2 2 3" xfId="427"/>
    <cellStyle name="Normal 2 3 3 2 2 4" xfId="428"/>
    <cellStyle name="Normal 2 3 3 2 2 5" xfId="429"/>
    <cellStyle name="Normal 2 3 3 2 2 6" xfId="430"/>
    <cellStyle name="Normal 2 3 3 2 3" xfId="431"/>
    <cellStyle name="Normal 2 3 3 2 4" xfId="432"/>
    <cellStyle name="Normal 2 3 3 2 5" xfId="433"/>
    <cellStyle name="Normal 2 3 3 2 6" xfId="434"/>
    <cellStyle name="Normal 2 3 3 2 6 2" xfId="435"/>
    <cellStyle name="Normal 2 3 3 2 6 3" xfId="436"/>
    <cellStyle name="Normal 2 3 3 2 6 4" xfId="437"/>
    <cellStyle name="Normal 2 3 3 2 6 5" xfId="438"/>
    <cellStyle name="Normal 2 3 3 2 7" xfId="439"/>
    <cellStyle name="Normal 2 3 3 2 8" xfId="440"/>
    <cellStyle name="Normal 2 3 3 2 9" xfId="441"/>
    <cellStyle name="Normal 2 3 3 3" xfId="442"/>
    <cellStyle name="Normal 2 3 3 3 2" xfId="443"/>
    <cellStyle name="Normal 2 3 3 3 2 2" xfId="444"/>
    <cellStyle name="Normal 2 3 3 3 2 2 2" xfId="445"/>
    <cellStyle name="Normal 2 3 3 3 2 2 3" xfId="446"/>
    <cellStyle name="Normal 2 3 3 3 2 2 4" xfId="447"/>
    <cellStyle name="Normal 2 3 3 3 2 2 5" xfId="448"/>
    <cellStyle name="Normal 2 3 3 3 2 3" xfId="449"/>
    <cellStyle name="Normal 2 3 3 3 2 4" xfId="450"/>
    <cellStyle name="Normal 2 3 3 3 2 5" xfId="451"/>
    <cellStyle name="Normal 2 3 3 3 3" xfId="452"/>
    <cellStyle name="Normal 2 3 3 3 4" xfId="453"/>
    <cellStyle name="Normal 2 3 3 3 5" xfId="454"/>
    <cellStyle name="Normal 2 3 3 3 6" xfId="455"/>
    <cellStyle name="Normal 2 3 3 4" xfId="456"/>
    <cellStyle name="Normal 2 3 3 5" xfId="457"/>
    <cellStyle name="Normal 2 3 3 6" xfId="458"/>
    <cellStyle name="Normal 2 3 3 6 2" xfId="459"/>
    <cellStyle name="Normal 2 3 3 6 3" xfId="460"/>
    <cellStyle name="Normal 2 3 3 6 4" xfId="461"/>
    <cellStyle name="Normal 2 3 3 6 5" xfId="462"/>
    <cellStyle name="Normal 2 3 3 7" xfId="463"/>
    <cellStyle name="Normal 2 3 3 8" xfId="464"/>
    <cellStyle name="Normal 2 3 3 9" xfId="465"/>
    <cellStyle name="Normal 2 3 4" xfId="466"/>
    <cellStyle name="Normal 2 3 5" xfId="467"/>
    <cellStyle name="Normal 2 3 6" xfId="468"/>
    <cellStyle name="Normal 2 3 7" xfId="469"/>
    <cellStyle name="Normal 2 3 8" xfId="470"/>
    <cellStyle name="Normal 2 3 9" xfId="471"/>
    <cellStyle name="Normal 2 3 9 2" xfId="472"/>
    <cellStyle name="Normal 2 3 9 2 2" xfId="473"/>
    <cellStyle name="Normal 2 3 9 2 2 2" xfId="474"/>
    <cellStyle name="Normal 2 3 9 2 2 3" xfId="475"/>
    <cellStyle name="Normal 2 3 9 2 2 4" xfId="476"/>
    <cellStyle name="Normal 2 3 9 2 2 5" xfId="477"/>
    <cellStyle name="Normal 2 3 9 2 3" xfId="478"/>
    <cellStyle name="Normal 2 3 9 2 4" xfId="479"/>
    <cellStyle name="Normal 2 3 9 2 5" xfId="480"/>
    <cellStyle name="Normal 2 3 9 3" xfId="481"/>
    <cellStyle name="Normal 2 3 9 4" xfId="482"/>
    <cellStyle name="Normal 2 3 9 5" xfId="483"/>
    <cellStyle name="Normal 2 3 9 6" xfId="484"/>
    <cellStyle name="Normal 2 4" xfId="485"/>
    <cellStyle name="Normal 2 4 2" xfId="486"/>
    <cellStyle name="Normal 2 4 2 2" xfId="487"/>
    <cellStyle name="Normal 2 4 2 2 2" xfId="488"/>
    <cellStyle name="Normal 2 4 2 2 2 2" xfId="489"/>
    <cellStyle name="Normal 2 4 2 2 2 2 2" xfId="490"/>
    <cellStyle name="Normal 2 4 2 2 2 2 3" xfId="491"/>
    <cellStyle name="Normal 2 4 2 2 2 2 4" xfId="492"/>
    <cellStyle name="Normal 2 4 2 2 2 2 5" xfId="493"/>
    <cellStyle name="Normal 2 4 2 2 2 3" xfId="494"/>
    <cellStyle name="Normal 2 4 2 2 2 4" xfId="495"/>
    <cellStyle name="Normal 2 4 2 2 2 5" xfId="496"/>
    <cellStyle name="Normal 2 4 2 2 3" xfId="497"/>
    <cellStyle name="Normal 2 4 2 2 4" xfId="498"/>
    <cellStyle name="Normal 2 4 2 2 5" xfId="499"/>
    <cellStyle name="Normal 2 4 2 2 6" xfId="500"/>
    <cellStyle name="Normal 2 4 2 3" xfId="501"/>
    <cellStyle name="Normal 2 4 2 4" xfId="502"/>
    <cellStyle name="Normal 2 4 2 5" xfId="503"/>
    <cellStyle name="Normal 2 4 2 6" xfId="504"/>
    <cellStyle name="Normal 2 4 2 6 2" xfId="505"/>
    <cellStyle name="Normal 2 4 2 6 3" xfId="506"/>
    <cellStyle name="Normal 2 4 2 6 4" xfId="507"/>
    <cellStyle name="Normal 2 4 2 6 5" xfId="508"/>
    <cellStyle name="Normal 2 4 2 7" xfId="509"/>
    <cellStyle name="Normal 2 4 2 8" xfId="510"/>
    <cellStyle name="Normal 2 4 2 9" xfId="511"/>
    <cellStyle name="Normal 2 4 3" xfId="512"/>
    <cellStyle name="Normal 2 4 3 2" xfId="513"/>
    <cellStyle name="Normal 2 4 3 2 2" xfId="514"/>
    <cellStyle name="Normal 2 4 3 2 2 2" xfId="515"/>
    <cellStyle name="Normal 2 4 3 2 2 3" xfId="516"/>
    <cellStyle name="Normal 2 4 3 2 2 4" xfId="517"/>
    <cellStyle name="Normal 2 4 3 2 2 5" xfId="518"/>
    <cellStyle name="Normal 2 4 3 2 3" xfId="519"/>
    <cellStyle name="Normal 2 4 3 2 4" xfId="520"/>
    <cellStyle name="Normal 2 4 3 2 5" xfId="521"/>
    <cellStyle name="Normal 2 4 3 3" xfId="522"/>
    <cellStyle name="Normal 2 4 3 4" xfId="523"/>
    <cellStyle name="Normal 2 4 3 5" xfId="524"/>
    <cellStyle name="Normal 2 4 3 6" xfId="525"/>
    <cellStyle name="Normal 2 4 4" xfId="526"/>
    <cellStyle name="Normal 2 4 5" xfId="527"/>
    <cellStyle name="Normal 2 4 6" xfId="528"/>
    <cellStyle name="Normal 2 4 6 2" xfId="529"/>
    <cellStyle name="Normal 2 4 6 3" xfId="530"/>
    <cellStyle name="Normal 2 4 6 4" xfId="531"/>
    <cellStyle name="Normal 2 4 6 5" xfId="532"/>
    <cellStyle name="Normal 2 4 7" xfId="533"/>
    <cellStyle name="Normal 2 4 8" xfId="534"/>
    <cellStyle name="Normal 2 4 9" xfId="535"/>
    <cellStyle name="Normal 2 5" xfId="536"/>
    <cellStyle name="Normal 2 6" xfId="537"/>
    <cellStyle name="Normal 2 7" xfId="538"/>
    <cellStyle name="Normal 2 8" xfId="539"/>
    <cellStyle name="Normal 2 9" xfId="540"/>
    <cellStyle name="Normal 20" xfId="541"/>
    <cellStyle name="Normal 21" xfId="542"/>
    <cellStyle name="Normal 22" xfId="543"/>
    <cellStyle name="Normal 23" xfId="544"/>
    <cellStyle name="Normal 24" xfId="545"/>
    <cellStyle name="Normal 25" xfId="546"/>
    <cellStyle name="Normal 26" xfId="547"/>
    <cellStyle name="Normal 27" xfId="548"/>
    <cellStyle name="Normal 28" xfId="549"/>
    <cellStyle name="Normal 29" xfId="550"/>
    <cellStyle name="Normal 3" xfId="551"/>
    <cellStyle name="Normal 3 2" xfId="552"/>
    <cellStyle name="Normal 3 3" xfId="553"/>
    <cellStyle name="Normal 3 4" xfId="554"/>
    <cellStyle name="Normal 3 5" xfId="555"/>
    <cellStyle name="Normal 3 6" xfId="556"/>
    <cellStyle name="Normal 3 7" xfId="557"/>
    <cellStyle name="Normal 3 8" xfId="558"/>
    <cellStyle name="Normal 30" xfId="559"/>
    <cellStyle name="Normal 31" xfId="560"/>
    <cellStyle name="Normal 32" xfId="561"/>
    <cellStyle name="Normal 33" xfId="562"/>
    <cellStyle name="Normal 34" xfId="563"/>
    <cellStyle name="Normal 4" xfId="564"/>
    <cellStyle name="Normal 5" xfId="565"/>
    <cellStyle name="Normal 5 2" xfId="566"/>
    <cellStyle name="Normal 5 3" xfId="567"/>
    <cellStyle name="Normal 5 4" xfId="568"/>
    <cellStyle name="Normal 5 5" xfId="569"/>
    <cellStyle name="Normal 5 6" xfId="570"/>
    <cellStyle name="Normal 6" xfId="571"/>
    <cellStyle name="Normal 6 2" xfId="572"/>
    <cellStyle name="Normal 6 3" xfId="573"/>
    <cellStyle name="Normal 6 4" xfId="574"/>
    <cellStyle name="Normal 6 5" xfId="575"/>
    <cellStyle name="Normal 6 6" xfId="576"/>
    <cellStyle name="Normal 7" xfId="577"/>
    <cellStyle name="Normal 8" xfId="578"/>
    <cellStyle name="Normal 8 2" xfId="579"/>
    <cellStyle name="Normal 8 3" xfId="580"/>
    <cellStyle name="Normal 8 4" xfId="581"/>
    <cellStyle name="Normal 8 5" xfId="582"/>
    <cellStyle name="Normal 8 6" xfId="583"/>
    <cellStyle name="Normal 9" xfId="584"/>
    <cellStyle name="Normal_C.regionales" xfId="585"/>
    <cellStyle name="Normal_C.regionales_2" xfId="586"/>
    <cellStyle name="Normal_Global" xfId="587"/>
    <cellStyle name="Normal_Hoja1" xfId="588"/>
    <cellStyle name="Normal_Hoja1 2" xfId="589"/>
    <cellStyle name="Normal_Jurel" xfId="590"/>
    <cellStyle name="Normal_LMC" xfId="591"/>
    <cellStyle name="Normal_LMC_1" xfId="59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167760</xdr:rowOff>
    </xdr:from>
    <xdr:to>
      <xdr:col>1</xdr:col>
      <xdr:colOff>165240</xdr:colOff>
      <xdr:row>4</xdr:row>
      <xdr:rowOff>122040</xdr:rowOff>
    </xdr:to>
    <xdr:pic>
      <xdr:nvPicPr>
        <xdr:cNvPr id="1" name="2 Imagen" descr="LOGO_SNP_2012_sinfondo.PNG"/>
        <xdr:cNvPicPr/>
      </xdr:nvPicPr>
      <xdr:blipFill>
        <a:blip r:embed="rId1"/>
        <a:stretch/>
      </xdr:blipFill>
      <xdr:spPr>
        <a:xfrm>
          <a:off x="0" y="343080"/>
          <a:ext cx="1715400" cy="54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39960</xdr:colOff>
      <xdr:row>0</xdr:row>
      <xdr:rowOff>106560</xdr:rowOff>
    </xdr:from>
    <xdr:to>
      <xdr:col>0</xdr:col>
      <xdr:colOff>1756080</xdr:colOff>
      <xdr:row>3</xdr:row>
      <xdr:rowOff>106920</xdr:rowOff>
    </xdr:to>
    <xdr:pic>
      <xdr:nvPicPr>
        <xdr:cNvPr id="2" name="1 Imagen" descr="LOGO_SNP_2012_sinfondo.PNG"/>
        <xdr:cNvPicPr/>
      </xdr:nvPicPr>
      <xdr:blipFill>
        <a:blip r:embed="rId1"/>
        <a:stretch/>
      </xdr:blipFill>
      <xdr:spPr>
        <a:xfrm>
          <a:off x="39960" y="106560"/>
          <a:ext cx="1716120" cy="564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132840</xdr:colOff>
      <xdr:row>0</xdr:row>
      <xdr:rowOff>91800</xdr:rowOff>
    </xdr:from>
    <xdr:to>
      <xdr:col>0</xdr:col>
      <xdr:colOff>1841400</xdr:colOff>
      <xdr:row>3</xdr:row>
      <xdr:rowOff>83520</xdr:rowOff>
    </xdr:to>
    <xdr:pic>
      <xdr:nvPicPr>
        <xdr:cNvPr id="3" name="1 Imagen" descr="LOGO_SNP_2012_sinfondo.PNG"/>
        <xdr:cNvPicPr/>
      </xdr:nvPicPr>
      <xdr:blipFill>
        <a:blip r:embed="rId1"/>
        <a:stretch/>
      </xdr:blipFill>
      <xdr:spPr>
        <a:xfrm>
          <a:off x="132840" y="91800"/>
          <a:ext cx="1708560" cy="563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163800</xdr:colOff>
      <xdr:row>0</xdr:row>
      <xdr:rowOff>99000</xdr:rowOff>
    </xdr:from>
    <xdr:to>
      <xdr:col>1</xdr:col>
      <xdr:colOff>242640</xdr:colOff>
      <xdr:row>3</xdr:row>
      <xdr:rowOff>75960</xdr:rowOff>
    </xdr:to>
    <xdr:pic>
      <xdr:nvPicPr>
        <xdr:cNvPr id="4" name="1 Imagen" descr="LOGO_SNP_2012_sinfondo.PNG"/>
        <xdr:cNvPicPr/>
      </xdr:nvPicPr>
      <xdr:blipFill>
        <a:blip r:embed="rId1"/>
        <a:stretch/>
      </xdr:blipFill>
      <xdr:spPr>
        <a:xfrm>
          <a:off x="163800" y="99000"/>
          <a:ext cx="1707120" cy="54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375840</xdr:colOff>
      <xdr:row>0</xdr:row>
      <xdr:rowOff>68400</xdr:rowOff>
    </xdr:from>
    <xdr:to>
      <xdr:col>0</xdr:col>
      <xdr:colOff>2091600</xdr:colOff>
      <xdr:row>3</xdr:row>
      <xdr:rowOff>53280</xdr:rowOff>
    </xdr:to>
    <xdr:pic>
      <xdr:nvPicPr>
        <xdr:cNvPr id="5" name="1 Imagen" descr="LOGO_SNP_2012_sinfondo.PNG"/>
        <xdr:cNvPicPr/>
      </xdr:nvPicPr>
      <xdr:blipFill>
        <a:blip r:embed="rId1"/>
        <a:stretch/>
      </xdr:blipFill>
      <xdr:spPr>
        <a:xfrm>
          <a:off x="375840" y="68400"/>
          <a:ext cx="1715760" cy="556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110160</xdr:colOff>
      <xdr:row>0</xdr:row>
      <xdr:rowOff>68760</xdr:rowOff>
    </xdr:from>
    <xdr:to>
      <xdr:col>0</xdr:col>
      <xdr:colOff>1826280</xdr:colOff>
      <xdr:row>3</xdr:row>
      <xdr:rowOff>61200</xdr:rowOff>
    </xdr:to>
    <xdr:pic>
      <xdr:nvPicPr>
        <xdr:cNvPr id="6" name="1 Imagen" descr="LOGO_SNP_2012_sinfondo.PNG"/>
        <xdr:cNvPicPr/>
      </xdr:nvPicPr>
      <xdr:blipFill>
        <a:blip r:embed="rId1"/>
        <a:stretch/>
      </xdr:blipFill>
      <xdr:spPr>
        <a:xfrm>
          <a:off x="110160" y="68760"/>
          <a:ext cx="1716120" cy="556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31680</xdr:colOff>
      <xdr:row>0</xdr:row>
      <xdr:rowOff>38160</xdr:rowOff>
    </xdr:from>
    <xdr:to>
      <xdr:col>0</xdr:col>
      <xdr:colOff>1740600</xdr:colOff>
      <xdr:row>3</xdr:row>
      <xdr:rowOff>23040</xdr:rowOff>
    </xdr:to>
    <xdr:pic>
      <xdr:nvPicPr>
        <xdr:cNvPr id="7" name="1 Imagen" descr="LOGO_SNP_2012_sinfondo.PNG"/>
        <xdr:cNvPicPr/>
      </xdr:nvPicPr>
      <xdr:blipFill>
        <a:blip r:embed="rId1"/>
        <a:stretch/>
      </xdr:blipFill>
      <xdr:spPr>
        <a:xfrm>
          <a:off x="31680" y="38160"/>
          <a:ext cx="1708920" cy="54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164880</xdr:colOff>
      <xdr:row>0</xdr:row>
      <xdr:rowOff>136800</xdr:rowOff>
    </xdr:from>
    <xdr:to>
      <xdr:col>0</xdr:col>
      <xdr:colOff>1873440</xdr:colOff>
      <xdr:row>3</xdr:row>
      <xdr:rowOff>106560</xdr:rowOff>
    </xdr:to>
    <xdr:pic>
      <xdr:nvPicPr>
        <xdr:cNvPr id="8" name="1 Imagen" descr="LOGO_SNP_2012_sinfondo.PNG"/>
        <xdr:cNvPicPr/>
      </xdr:nvPicPr>
      <xdr:blipFill>
        <a:blip r:embed="rId1"/>
        <a:stretch/>
      </xdr:blipFill>
      <xdr:spPr>
        <a:xfrm>
          <a:off x="164880" y="136800"/>
          <a:ext cx="1708560" cy="541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187560</xdr:colOff>
      <xdr:row>0</xdr:row>
      <xdr:rowOff>144360</xdr:rowOff>
    </xdr:from>
    <xdr:to>
      <xdr:col>0</xdr:col>
      <xdr:colOff>1904040</xdr:colOff>
      <xdr:row>3</xdr:row>
      <xdr:rowOff>121680</xdr:rowOff>
    </xdr:to>
    <xdr:pic>
      <xdr:nvPicPr>
        <xdr:cNvPr id="9" name="1 Imagen" descr="LOGO_SNP_2012_sinfondo.PNG"/>
        <xdr:cNvPicPr/>
      </xdr:nvPicPr>
      <xdr:blipFill>
        <a:blip r:embed="rId1"/>
        <a:stretch/>
      </xdr:blipFill>
      <xdr:spPr>
        <a:xfrm>
          <a:off x="187560" y="144360"/>
          <a:ext cx="1716480" cy="549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210600</xdr:colOff>
      <xdr:row>0</xdr:row>
      <xdr:rowOff>114480</xdr:rowOff>
    </xdr:from>
    <xdr:to>
      <xdr:col>0</xdr:col>
      <xdr:colOff>1920960</xdr:colOff>
      <xdr:row>3</xdr:row>
      <xdr:rowOff>91440</xdr:rowOff>
    </xdr:to>
    <xdr:pic>
      <xdr:nvPicPr>
        <xdr:cNvPr id="10" name="1 Imagen" descr="LOGO_SNP_2012_sinfondo.PNG"/>
        <xdr:cNvPicPr/>
      </xdr:nvPicPr>
      <xdr:blipFill>
        <a:blip r:embed="rId1"/>
        <a:stretch/>
      </xdr:blipFill>
      <xdr:spPr>
        <a:xfrm>
          <a:off x="210600" y="114480"/>
          <a:ext cx="1710360" cy="54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147960</xdr:colOff>
      <xdr:row>0</xdr:row>
      <xdr:rowOff>136800</xdr:rowOff>
    </xdr:from>
    <xdr:to>
      <xdr:col>0</xdr:col>
      <xdr:colOff>1865880</xdr:colOff>
      <xdr:row>3</xdr:row>
      <xdr:rowOff>106560</xdr:rowOff>
    </xdr:to>
    <xdr:pic>
      <xdr:nvPicPr>
        <xdr:cNvPr id="11" name="1 Imagen" descr="LOGO_SNP_2012_sinfondo.PNG"/>
        <xdr:cNvPicPr/>
      </xdr:nvPicPr>
      <xdr:blipFill>
        <a:blip r:embed="rId1"/>
        <a:stretch/>
      </xdr:blipFill>
      <xdr:spPr>
        <a:xfrm>
          <a:off x="147960" y="136800"/>
          <a:ext cx="1717920" cy="541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0</xdr:row>
      <xdr:rowOff>38160</xdr:rowOff>
    </xdr:from>
    <xdr:to>
      <xdr:col>0</xdr:col>
      <xdr:colOff>1723680</xdr:colOff>
      <xdr:row>3</xdr:row>
      <xdr:rowOff>22320</xdr:rowOff>
    </xdr:to>
    <xdr:pic>
      <xdr:nvPicPr>
        <xdr:cNvPr id="12" name="1 Imagen" descr="LOGO_SNP_2012_sinfondo.PNG"/>
        <xdr:cNvPicPr/>
      </xdr:nvPicPr>
      <xdr:blipFill>
        <a:blip r:embed="rId1"/>
        <a:stretch/>
      </xdr:blipFill>
      <xdr:spPr>
        <a:xfrm>
          <a:off x="8640" y="38160"/>
          <a:ext cx="1715040" cy="55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77760</xdr:colOff>
      <xdr:row>0</xdr:row>
      <xdr:rowOff>53280</xdr:rowOff>
    </xdr:from>
    <xdr:to>
      <xdr:col>0</xdr:col>
      <xdr:colOff>1795680</xdr:colOff>
      <xdr:row>3</xdr:row>
      <xdr:rowOff>30600</xdr:rowOff>
    </xdr:to>
    <xdr:pic>
      <xdr:nvPicPr>
        <xdr:cNvPr id="13" name="1 Imagen" descr="LOGO_SNP_2012_sinfondo.PNG"/>
        <xdr:cNvPicPr/>
      </xdr:nvPicPr>
      <xdr:blipFill>
        <a:blip r:embed="rId1"/>
        <a:stretch/>
      </xdr:blipFill>
      <xdr:spPr>
        <a:xfrm>
          <a:off x="77760" y="53280"/>
          <a:ext cx="1717920" cy="549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68400</xdr:rowOff>
    </xdr:from>
    <xdr:to>
      <xdr:col>0</xdr:col>
      <xdr:colOff>1716480</xdr:colOff>
      <xdr:row>3</xdr:row>
      <xdr:rowOff>53280</xdr:rowOff>
    </xdr:to>
    <xdr:pic>
      <xdr:nvPicPr>
        <xdr:cNvPr id="14" name="3 Imagen" descr="LOGO_SNP_2012_sinfondo.PNG"/>
        <xdr:cNvPicPr/>
      </xdr:nvPicPr>
      <xdr:blipFill>
        <a:blip r:embed="rId1"/>
        <a:stretch/>
      </xdr:blipFill>
      <xdr:spPr>
        <a:xfrm>
          <a:off x="0" y="68400"/>
          <a:ext cx="1716480" cy="556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110160</xdr:colOff>
      <xdr:row>0</xdr:row>
      <xdr:rowOff>60840</xdr:rowOff>
    </xdr:from>
    <xdr:to>
      <xdr:col>0</xdr:col>
      <xdr:colOff>1826280</xdr:colOff>
      <xdr:row>3</xdr:row>
      <xdr:rowOff>30600</xdr:rowOff>
    </xdr:to>
    <xdr:pic>
      <xdr:nvPicPr>
        <xdr:cNvPr id="15" name="2 Imagen" descr="LOGO_SNP_2012_sinfondo.PNG"/>
        <xdr:cNvPicPr/>
      </xdr:nvPicPr>
      <xdr:blipFill>
        <a:blip r:embed="rId1"/>
        <a:stretch/>
      </xdr:blipFill>
      <xdr:spPr>
        <a:xfrm>
          <a:off x="110160" y="60840"/>
          <a:ext cx="1716120" cy="541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110160</xdr:colOff>
      <xdr:row>0</xdr:row>
      <xdr:rowOff>30960</xdr:rowOff>
    </xdr:from>
    <xdr:to>
      <xdr:col>0</xdr:col>
      <xdr:colOff>1826280</xdr:colOff>
      <xdr:row>3</xdr:row>
      <xdr:rowOff>7200</xdr:rowOff>
    </xdr:to>
    <xdr:pic>
      <xdr:nvPicPr>
        <xdr:cNvPr id="16" name="1 Imagen" descr="LOGO_SNP_2012_sinfondo.PNG"/>
        <xdr:cNvPicPr/>
      </xdr:nvPicPr>
      <xdr:blipFill>
        <a:blip r:embed="rId1"/>
        <a:stretch/>
      </xdr:blipFill>
      <xdr:spPr>
        <a:xfrm>
          <a:off x="110160" y="30960"/>
          <a:ext cx="1716120" cy="547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132840</xdr:colOff>
      <xdr:row>0</xdr:row>
      <xdr:rowOff>68400</xdr:rowOff>
    </xdr:from>
    <xdr:to>
      <xdr:col>0</xdr:col>
      <xdr:colOff>1841400</xdr:colOff>
      <xdr:row>3</xdr:row>
      <xdr:rowOff>38160</xdr:rowOff>
    </xdr:to>
    <xdr:pic>
      <xdr:nvPicPr>
        <xdr:cNvPr id="17" name="1 Imagen" descr="LOGO_SNP_2012_sinfondo.PNG"/>
        <xdr:cNvPicPr/>
      </xdr:nvPicPr>
      <xdr:blipFill>
        <a:blip r:embed="rId1"/>
        <a:stretch/>
      </xdr:blipFill>
      <xdr:spPr>
        <a:xfrm>
          <a:off x="132840" y="68400"/>
          <a:ext cx="1708560" cy="541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1" width="21.99"/>
    <col collapsed="false" customWidth="true" hidden="false" outlineLevel="0" max="2" min="2" style="1" width="11.32"/>
    <col collapsed="false" customWidth="true" hidden="false" outlineLevel="0" max="3" min="3" style="1" width="16.99"/>
    <col collapsed="false" customWidth="true" hidden="false" outlineLevel="0" max="4" min="4" style="1" width="17.88"/>
    <col collapsed="false" customWidth="true" hidden="false" outlineLevel="0" max="5" min="5" style="1" width="17.66"/>
    <col collapsed="false" customWidth="true" hidden="false" outlineLevel="0" max="6" min="6" style="1" width="14.43"/>
    <col collapsed="false" customWidth="true" hidden="false" outlineLevel="0" max="7" min="7" style="1" width="14.87"/>
    <col collapsed="false" customWidth="true" hidden="false" outlineLevel="0" max="8" min="8" style="1" width="15.1"/>
    <col collapsed="false" customWidth="true" hidden="false" outlineLevel="0" max="9" min="9" style="1" width="13.43"/>
    <col collapsed="false" customWidth="false" hidden="false" outlineLevel="0" max="257" min="10" style="1" width="11.43"/>
  </cols>
  <sheetData>
    <row r="1" customFormat="false" ht="13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6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2"/>
      <c r="J2" s="2"/>
      <c r="K2" s="2"/>
    </row>
    <row r="3" customFormat="false" ht="15.6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2"/>
      <c r="J3" s="2"/>
      <c r="K3" s="2"/>
    </row>
    <row r="4" customFormat="false" ht="15.6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customFormat="false" ht="31.2" hidden="false" customHeight="false" outlineLevel="0" collapsed="false">
      <c r="A5" s="5" t="s">
        <v>3</v>
      </c>
      <c r="B5" s="5" t="s">
        <v>4</v>
      </c>
      <c r="C5" s="6" t="s">
        <v>5</v>
      </c>
      <c r="D5" s="5" t="s">
        <v>6</v>
      </c>
      <c r="E5" s="5" t="s">
        <v>7</v>
      </c>
      <c r="F5" s="6" t="s">
        <v>8</v>
      </c>
      <c r="G5" s="5" t="s">
        <v>9</v>
      </c>
      <c r="H5" s="5" t="s">
        <v>10</v>
      </c>
      <c r="I5" s="2"/>
      <c r="J5" s="2"/>
      <c r="K5" s="2"/>
    </row>
    <row r="6" customFormat="false" ht="13.8" hidden="false" customHeight="false" outlineLevel="0" collapsed="false">
      <c r="A6" s="7" t="s">
        <v>11</v>
      </c>
      <c r="B6" s="8" t="s">
        <v>12</v>
      </c>
      <c r="C6" s="9" t="n">
        <f aca="false">+SUM('Res LMC'!E7:E8)</f>
        <v>640518.93</v>
      </c>
      <c r="D6" s="9" t="n">
        <f aca="false">+SUM('Res LMC'!G7:G8)</f>
        <v>630901.786</v>
      </c>
      <c r="E6" s="10"/>
      <c r="F6" s="11" t="n">
        <f aca="false">+C6-D6</f>
        <v>9617.14400000009</v>
      </c>
      <c r="G6" s="12" t="n">
        <f aca="false">D6/C6</f>
        <v>0.984985386770692</v>
      </c>
      <c r="H6" s="13" t="n">
        <v>0.74852481873721</v>
      </c>
      <c r="I6" s="2"/>
      <c r="J6" s="2"/>
      <c r="K6" s="2"/>
    </row>
    <row r="7" customFormat="false" ht="13.8" hidden="false" customHeight="false" outlineLevel="0" collapsed="false">
      <c r="A7" s="14" t="s">
        <v>11</v>
      </c>
      <c r="B7" s="15" t="s">
        <v>13</v>
      </c>
      <c r="C7" s="16" t="n">
        <f aca="false">+SUM('Res LMC'!E9:E10)</f>
        <v>87.414</v>
      </c>
      <c r="D7" s="16" t="n">
        <f aca="false">+SUM('Res LMC'!G9:G10)</f>
        <v>0</v>
      </c>
      <c r="E7" s="17"/>
      <c r="F7" s="18" t="n">
        <f aca="false">+C7-D7</f>
        <v>87.414</v>
      </c>
      <c r="G7" s="19" t="n">
        <f aca="false">D7/C7</f>
        <v>0</v>
      </c>
      <c r="H7" s="13" t="n">
        <v>0.0725699208106618</v>
      </c>
      <c r="I7" s="2"/>
      <c r="J7" s="2"/>
      <c r="K7" s="2"/>
    </row>
    <row r="8" customFormat="false" ht="13.8" hidden="false" customHeight="false" outlineLevel="0" collapsed="false">
      <c r="A8" s="14" t="s">
        <v>11</v>
      </c>
      <c r="B8" s="15" t="s">
        <v>14</v>
      </c>
      <c r="C8" s="16" t="n">
        <f aca="false">+SUM('Res LMC'!E11:E13)</f>
        <v>21942.4433903</v>
      </c>
      <c r="D8" s="16" t="n">
        <f aca="false">+SUM('Res LMC'!G11:G13)</f>
        <v>13226.056</v>
      </c>
      <c r="E8" s="17"/>
      <c r="F8" s="18" t="n">
        <f aca="false">+C8-D8</f>
        <v>8716.3873903</v>
      </c>
      <c r="G8" s="19" t="n">
        <f aca="false">D8/C8</f>
        <v>0.602761313530233</v>
      </c>
      <c r="H8" s="13" t="n">
        <v>0.462475350832256</v>
      </c>
      <c r="I8" s="2"/>
      <c r="J8" s="2"/>
      <c r="K8" s="2"/>
    </row>
    <row r="9" customFormat="false" ht="13.8" hidden="false" customHeight="false" outlineLevel="0" collapsed="false">
      <c r="A9" s="14" t="s">
        <v>15</v>
      </c>
      <c r="B9" s="15" t="s">
        <v>16</v>
      </c>
      <c r="C9" s="16" t="n">
        <f aca="false">+SUM('Res LMC'!E14:E16)</f>
        <v>3901</v>
      </c>
      <c r="D9" s="16" t="n">
        <f aca="false">+SUM('Res LMC'!G14:G16)</f>
        <v>3300.956</v>
      </c>
      <c r="E9" s="17"/>
      <c r="F9" s="18" t="n">
        <f aca="false">+C9-D9</f>
        <v>600.044</v>
      </c>
      <c r="G9" s="19" t="n">
        <f aca="false">D9/C9</f>
        <v>0.846182004614202</v>
      </c>
      <c r="H9" s="13" t="n">
        <v>0.879647179147028</v>
      </c>
      <c r="I9" s="2"/>
      <c r="J9" s="2"/>
      <c r="K9" s="2"/>
    </row>
    <row r="10" customFormat="false" ht="13.8" hidden="false" customHeight="false" outlineLevel="0" collapsed="false">
      <c r="A10" s="14" t="s">
        <v>17</v>
      </c>
      <c r="B10" s="15" t="s">
        <v>18</v>
      </c>
      <c r="C10" s="16" t="n">
        <f aca="false">+SUM('Res LMC'!E17:E18)</f>
        <v>1092</v>
      </c>
      <c r="D10" s="16" t="n">
        <f aca="false">+SUM('Res LMC'!G17:G18)</f>
        <v>1051.96</v>
      </c>
      <c r="E10" s="17"/>
      <c r="F10" s="18" t="n">
        <f aca="false">+C10-D10</f>
        <v>40.0400000000002</v>
      </c>
      <c r="G10" s="19" t="n">
        <f aca="false">D10/C10</f>
        <v>0.963333333333333</v>
      </c>
      <c r="H10" s="13" t="n">
        <v>0.59805187098627</v>
      </c>
      <c r="I10" s="2"/>
      <c r="J10" s="2"/>
      <c r="K10" s="2"/>
    </row>
    <row r="11" customFormat="false" ht="13.8" hidden="false" customHeight="false" outlineLevel="0" collapsed="false">
      <c r="A11" s="14" t="s">
        <v>17</v>
      </c>
      <c r="B11" s="15" t="s">
        <v>19</v>
      </c>
      <c r="C11" s="16" t="n">
        <f aca="false">+SUM('Res LMC'!E19:E20)</f>
        <v>649</v>
      </c>
      <c r="D11" s="16" t="n">
        <f aca="false">+SUM('Res LMC'!G19:G20)</f>
        <v>491.115</v>
      </c>
      <c r="E11" s="17"/>
      <c r="F11" s="18" t="n">
        <f aca="false">+C11-D11</f>
        <v>157.885</v>
      </c>
      <c r="G11" s="19" t="n">
        <f aca="false">D11/C11</f>
        <v>0.756725731895223</v>
      </c>
      <c r="H11" s="13" t="n">
        <v>0.762230582524272</v>
      </c>
      <c r="I11" s="2"/>
      <c r="J11" s="2"/>
      <c r="K11" s="2"/>
    </row>
    <row r="12" customFormat="false" ht="13.8" hidden="false" customHeight="false" outlineLevel="0" collapsed="false">
      <c r="A12" s="14" t="s">
        <v>20</v>
      </c>
      <c r="B12" s="20" t="s">
        <v>21</v>
      </c>
      <c r="C12" s="21" t="n">
        <f aca="false">+SUM('Res LMC'!E21:E22)</f>
        <v>20832.004</v>
      </c>
      <c r="D12" s="21" t="n">
        <f aca="false">+SUM('Res LMC'!G21:G22)</f>
        <v>13051.611</v>
      </c>
      <c r="E12" s="17"/>
      <c r="F12" s="18" t="n">
        <f aca="false">+C12-D12</f>
        <v>7780.393</v>
      </c>
      <c r="G12" s="19" t="n">
        <f aca="false">D12/C12</f>
        <v>0.626517304816186</v>
      </c>
      <c r="H12" s="13" t="n">
        <v>0.778936137151009</v>
      </c>
      <c r="I12" s="2"/>
      <c r="J12" s="2"/>
      <c r="K12" s="2"/>
    </row>
    <row r="13" customFormat="false" ht="13.8" hidden="false" customHeight="false" outlineLevel="0" collapsed="false">
      <c r="A13" s="14" t="s">
        <v>20</v>
      </c>
      <c r="B13" s="22" t="s">
        <v>13</v>
      </c>
      <c r="C13" s="23" t="n">
        <f aca="false">+SUM('Res LMC'!E23:E24)</f>
        <v>12612.583</v>
      </c>
      <c r="D13" s="21" t="n">
        <f aca="false">+SUM('Res LMC'!G23:G24)</f>
        <v>9028.661</v>
      </c>
      <c r="E13" s="17" t="n">
        <v>533.318</v>
      </c>
      <c r="F13" s="18" t="n">
        <f aca="false">+C13-D13</f>
        <v>3583.922</v>
      </c>
      <c r="G13" s="19" t="n">
        <f aca="false">D13/C13</f>
        <v>0.715845517131582</v>
      </c>
      <c r="H13" s="13" t="n">
        <v>0.932425403629949</v>
      </c>
      <c r="I13" s="2"/>
      <c r="J13" s="24"/>
      <c r="K13" s="2"/>
    </row>
    <row r="14" customFormat="false" ht="13.8" hidden="false" customHeight="false" outlineLevel="0" collapsed="false">
      <c r="A14" s="14" t="s">
        <v>20</v>
      </c>
      <c r="B14" s="22" t="s">
        <v>22</v>
      </c>
      <c r="C14" s="23" t="n">
        <f aca="false">+SUM('Res LMC'!E25:E26)</f>
        <v>188873.858</v>
      </c>
      <c r="D14" s="21" t="n">
        <f aca="false">+SUM('Res LMC'!G25:G26)</f>
        <v>181916.772</v>
      </c>
      <c r="E14" s="17" t="n">
        <v>217.421</v>
      </c>
      <c r="F14" s="18" t="n">
        <f aca="false">+C14-D14</f>
        <v>6957.08600000007</v>
      </c>
      <c r="G14" s="19" t="n">
        <f aca="false">D14/C14</f>
        <v>0.963165437114118</v>
      </c>
      <c r="H14" s="13" t="n">
        <v>0.849375624094932</v>
      </c>
      <c r="I14" s="2"/>
      <c r="J14" s="24"/>
      <c r="K14" s="2"/>
    </row>
    <row r="15" customFormat="false" ht="13.8" hidden="false" customHeight="false" outlineLevel="0" collapsed="false">
      <c r="A15" s="14" t="s">
        <v>20</v>
      </c>
      <c r="B15" s="22" t="s">
        <v>23</v>
      </c>
      <c r="C15" s="23" t="n">
        <f aca="false">+SUM('Res LMC'!E27:E28)</f>
        <v>9873.6057428</v>
      </c>
      <c r="D15" s="21" t="n">
        <f aca="false">+SUM('Res LMC'!G27:G28)</f>
        <v>9471.121</v>
      </c>
      <c r="E15" s="17" t="n">
        <v>3387.56</v>
      </c>
      <c r="F15" s="18" t="n">
        <f aca="false">+C15-D15</f>
        <v>402.484742800003</v>
      </c>
      <c r="G15" s="19" t="n">
        <f aca="false">D15/C15</f>
        <v>0.959236295910083</v>
      </c>
      <c r="H15" s="13" t="n">
        <v>0.679414950082579</v>
      </c>
      <c r="I15" s="2"/>
      <c r="J15" s="24"/>
      <c r="K15" s="2"/>
    </row>
    <row r="16" customFormat="false" ht="13.8" hidden="false" customHeight="false" outlineLevel="0" collapsed="false">
      <c r="A16" s="14" t="s">
        <v>24</v>
      </c>
      <c r="B16" s="15" t="s">
        <v>25</v>
      </c>
      <c r="C16" s="16" t="n">
        <f aca="false">+SUM('Res LMC'!E29:E31)</f>
        <v>1990.498</v>
      </c>
      <c r="D16" s="16" t="n">
        <f aca="false">+SUM('Res LMC'!G29:G31)</f>
        <v>1707.03</v>
      </c>
      <c r="E16" s="17" t="s">
        <v>26</v>
      </c>
      <c r="F16" s="18" t="n">
        <f aca="false">+C16-D16</f>
        <v>283.468</v>
      </c>
      <c r="G16" s="19" t="n">
        <f aca="false">D16/C16</f>
        <v>0.857589407273959</v>
      </c>
      <c r="H16" s="13" t="n">
        <v>0.814949889006444</v>
      </c>
      <c r="I16" s="2"/>
      <c r="J16" s="2"/>
      <c r="K16" s="2"/>
    </row>
    <row r="17" customFormat="false" ht="13.8" hidden="false" customHeight="false" outlineLevel="0" collapsed="false">
      <c r="A17" s="25" t="s">
        <v>27</v>
      </c>
      <c r="B17" s="15" t="s">
        <v>28</v>
      </c>
      <c r="C17" s="16" t="n">
        <f aca="false">+SUM('Res LMC'!E32:E34)</f>
        <v>1124.999</v>
      </c>
      <c r="D17" s="26" t="n">
        <f aca="false">+SUM('Res LMC'!G32:G34)</f>
        <v>1117.725</v>
      </c>
      <c r="E17" s="17"/>
      <c r="F17" s="18" t="n">
        <f aca="false">+C17-D17</f>
        <v>7.27400000000012</v>
      </c>
      <c r="G17" s="19" t="n">
        <f aca="false">D17/C17</f>
        <v>0.993534216474859</v>
      </c>
      <c r="H17" s="13" t="n">
        <v>0.417737021276596</v>
      </c>
      <c r="I17" s="2"/>
      <c r="J17" s="2"/>
      <c r="K17" s="2"/>
    </row>
    <row r="18" customFormat="false" ht="13.8" hidden="false" customHeight="false" outlineLevel="0" collapsed="false">
      <c r="A18" s="14" t="s">
        <v>29</v>
      </c>
      <c r="B18" s="15" t="s">
        <v>30</v>
      </c>
      <c r="C18" s="16" t="n">
        <f aca="false">+SUM('Res LMC'!E35:E36)</f>
        <v>28499.152</v>
      </c>
      <c r="D18" s="16" t="n">
        <f aca="false">+SUM('Res LMC'!G35:G36)</f>
        <v>24978.409</v>
      </c>
      <c r="E18" s="17"/>
      <c r="F18" s="18" t="n">
        <f aca="false">+C18-D18</f>
        <v>3520.743</v>
      </c>
      <c r="G18" s="19" t="n">
        <f aca="false">D18/C18</f>
        <v>0.876461482081993</v>
      </c>
      <c r="H18" s="13" t="n">
        <v>0.908546765982111</v>
      </c>
      <c r="I18" s="2"/>
      <c r="J18" s="2"/>
      <c r="K18" s="2"/>
    </row>
    <row r="19" customFormat="false" ht="13.8" hidden="false" customHeight="false" outlineLevel="0" collapsed="false">
      <c r="A19" s="14" t="s">
        <v>31</v>
      </c>
      <c r="B19" s="15" t="s">
        <v>32</v>
      </c>
      <c r="C19" s="16" t="n">
        <f aca="false">+SUM('Res LMC'!E37:E38)</f>
        <v>62312.71</v>
      </c>
      <c r="D19" s="16" t="n">
        <f aca="false">+SUM('Res LMC'!G37:G38)</f>
        <v>30437.265</v>
      </c>
      <c r="E19" s="17"/>
      <c r="F19" s="18" t="n">
        <f aca="false">+C19-D19</f>
        <v>31875.445</v>
      </c>
      <c r="G19" s="19" t="n">
        <f aca="false">D19/C19</f>
        <v>0.488459978710603</v>
      </c>
      <c r="H19" s="13" t="n">
        <v>0.404097921941286</v>
      </c>
      <c r="I19" s="2"/>
      <c r="J19" s="2"/>
      <c r="K19" s="2"/>
    </row>
    <row r="20" customFormat="false" ht="13.8" hidden="false" customHeight="false" outlineLevel="0" collapsed="false">
      <c r="A20" s="14" t="s">
        <v>31</v>
      </c>
      <c r="B20" s="15" t="s">
        <v>33</v>
      </c>
      <c r="C20" s="16" t="n">
        <f aca="false">+SUM('Res LMC'!E39:E40)</f>
        <v>32689.758</v>
      </c>
      <c r="D20" s="16" t="n">
        <f aca="false">+SUM('Res LMC'!G39:G40)</f>
        <v>31487.829</v>
      </c>
      <c r="E20" s="17"/>
      <c r="F20" s="18" t="n">
        <f aca="false">+C20-D20</f>
        <v>1201.929</v>
      </c>
      <c r="G20" s="19" t="n">
        <f aca="false">D20/C20</f>
        <v>0.963232245402367</v>
      </c>
      <c r="H20" s="13" t="n">
        <v>0.959774625312825</v>
      </c>
      <c r="I20" s="2"/>
      <c r="J20" s="2"/>
      <c r="K20" s="2"/>
    </row>
    <row r="21" customFormat="false" ht="13.8" hidden="false" customHeight="false" outlineLevel="0" collapsed="false">
      <c r="A21" s="14" t="s">
        <v>34</v>
      </c>
      <c r="B21" s="15" t="s">
        <v>35</v>
      </c>
      <c r="C21" s="16" t="n">
        <f aca="false">+SUM('Res LMC'!E41:E42)</f>
        <v>19366.002</v>
      </c>
      <c r="D21" s="16" t="n">
        <f aca="false">+SUM('Res LMC'!G41:G42)</f>
        <v>16673.333</v>
      </c>
      <c r="E21" s="17"/>
      <c r="F21" s="18" t="n">
        <f aca="false">+C21-D21</f>
        <v>2692.669</v>
      </c>
      <c r="G21" s="19" t="n">
        <f aca="false">D21/C21</f>
        <v>0.860958963032225</v>
      </c>
      <c r="H21" s="13" t="n">
        <v>0.810845257356779</v>
      </c>
      <c r="I21" s="2"/>
      <c r="J21" s="2"/>
      <c r="K21" s="2"/>
    </row>
    <row r="22" customFormat="false" ht="13.8" hidden="false" customHeight="false" outlineLevel="0" collapsed="false">
      <c r="A22" s="27" t="s">
        <v>36</v>
      </c>
      <c r="B22" s="28" t="s">
        <v>18</v>
      </c>
      <c r="C22" s="29" t="n">
        <f aca="false">+SUM('Res LMC'!E43:E44)</f>
        <v>10133.647</v>
      </c>
      <c r="D22" s="29" t="n">
        <f aca="false">+SUM('Res LMC'!G43:G44)</f>
        <v>9911.338</v>
      </c>
      <c r="E22" s="30"/>
      <c r="F22" s="31" t="n">
        <f aca="false">+C22-D22</f>
        <v>222.309000000001</v>
      </c>
      <c r="G22" s="32" t="n">
        <f aca="false">D22/C22</f>
        <v>0.978062290900798</v>
      </c>
      <c r="H22" s="33" t="n">
        <v>0.95222287802136</v>
      </c>
      <c r="I22" s="2"/>
      <c r="J22" s="2"/>
      <c r="K22" s="2"/>
    </row>
    <row r="23" customFormat="false" ht="13.8" hidden="false" customHeight="false" outlineLevel="0" collapsed="false">
      <c r="A23" s="27" t="s">
        <v>36</v>
      </c>
      <c r="B23" s="28" t="s">
        <v>19</v>
      </c>
      <c r="C23" s="29" t="n">
        <f aca="false">+SUM('Res LMC'!E45:E46)</f>
        <v>4578.43</v>
      </c>
      <c r="D23" s="29" t="n">
        <f aca="false">+SUM('Res LMC'!G45:G46)</f>
        <v>4186.612</v>
      </c>
      <c r="E23" s="30"/>
      <c r="F23" s="31" t="n">
        <f aca="false">+C23-D23</f>
        <v>391.818</v>
      </c>
      <c r="G23" s="32" t="n">
        <f aca="false">D23/C23</f>
        <v>0.914420882267502</v>
      </c>
      <c r="H23" s="33" t="n">
        <v>0.826244821507272</v>
      </c>
      <c r="I23" s="2"/>
      <c r="J23" s="2"/>
      <c r="K23" s="2"/>
    </row>
    <row r="24" customFormat="false" ht="13.8" hidden="false" customHeight="false" outlineLevel="0" collapsed="false">
      <c r="A24" s="14" t="s">
        <v>37</v>
      </c>
      <c r="B24" s="15" t="s">
        <v>38</v>
      </c>
      <c r="C24" s="16" t="n">
        <f aca="false">+SUM('Res LMC'!E47:E49)</f>
        <v>241054.4306</v>
      </c>
      <c r="D24" s="16" t="n">
        <f aca="false">+SUM('Res LMC'!G47:G49)</f>
        <v>201235.827</v>
      </c>
      <c r="E24" s="17"/>
      <c r="F24" s="18" t="n">
        <f aca="false">+C24-D24</f>
        <v>39818.6036</v>
      </c>
      <c r="G24" s="19" t="n">
        <f aca="false">D24/C24</f>
        <v>0.834814885995296</v>
      </c>
      <c r="H24" s="13" t="n">
        <v>0.641857372815802</v>
      </c>
      <c r="I24" s="2"/>
      <c r="J24" s="2"/>
      <c r="K24" s="2"/>
    </row>
    <row r="25" customFormat="false" ht="13.8" hidden="false" customHeight="false" outlineLevel="0" collapsed="false">
      <c r="A25" s="14" t="s">
        <v>39</v>
      </c>
      <c r="B25" s="15" t="s">
        <v>12</v>
      </c>
      <c r="C25" s="16" t="n">
        <f aca="false">+SUM('Res LMC'!E50:E51)</f>
        <v>1500</v>
      </c>
      <c r="D25" s="16" t="n">
        <f aca="false">+SUM('Res LMC'!G50:G51)</f>
        <v>0</v>
      </c>
      <c r="E25" s="17"/>
      <c r="F25" s="18" t="n">
        <f aca="false">+C25-D25</f>
        <v>1500</v>
      </c>
      <c r="G25" s="19" t="n">
        <f aca="false">D25/C25</f>
        <v>0</v>
      </c>
      <c r="H25" s="13" t="n">
        <v>0</v>
      </c>
      <c r="I25" s="2"/>
      <c r="J25" s="2"/>
      <c r="K25" s="2"/>
    </row>
    <row r="26" customFormat="false" ht="13.8" hidden="false" customHeight="false" outlineLevel="0" collapsed="false">
      <c r="A26" s="34" t="s">
        <v>39</v>
      </c>
      <c r="B26" s="35" t="s">
        <v>13</v>
      </c>
      <c r="C26" s="36" t="n">
        <f aca="false">+SUM('Res LMC'!E52:E53)</f>
        <v>465.404</v>
      </c>
      <c r="D26" s="36" t="n">
        <f aca="false">+SUM('Res LMC'!G52:G53)</f>
        <v>0</v>
      </c>
      <c r="E26" s="37"/>
      <c r="F26" s="38" t="n">
        <f aca="false">+C26-D26</f>
        <v>465.404</v>
      </c>
      <c r="G26" s="39" t="n">
        <f aca="false">D26/C26</f>
        <v>0</v>
      </c>
      <c r="H26" s="13" t="n">
        <v>0</v>
      </c>
      <c r="I26" s="2"/>
      <c r="J26" s="2"/>
      <c r="K26" s="2"/>
    </row>
    <row r="27" customFormat="false" ht="8.25" hidden="false" customHeight="true" outlineLevel="0" collapsed="false">
      <c r="A27" s="2"/>
      <c r="B27" s="2"/>
      <c r="C27" s="40"/>
      <c r="D27" s="40"/>
      <c r="E27" s="41"/>
      <c r="F27" s="41"/>
      <c r="G27" s="41"/>
      <c r="H27" s="2"/>
      <c r="I27" s="2"/>
      <c r="J27" s="2"/>
      <c r="K27" s="2"/>
    </row>
    <row r="28" customFormat="false" ht="36.75" hidden="false" customHeight="true" outlineLevel="0" collapsed="false">
      <c r="A28" s="42" t="s">
        <v>40</v>
      </c>
      <c r="B28" s="42"/>
      <c r="C28" s="42"/>
      <c r="D28" s="42"/>
      <c r="E28" s="42"/>
      <c r="F28" s="42"/>
      <c r="G28" s="42"/>
      <c r="H28" s="42"/>
      <c r="I28" s="2"/>
      <c r="J28" s="2"/>
      <c r="K28" s="2"/>
    </row>
    <row r="29" customFormat="false" ht="13.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3.2" hidden="false" customHeight="false" outlineLevel="0" collapsed="false">
      <c r="C30" s="43" t="n">
        <v>6917</v>
      </c>
      <c r="D30" s="43"/>
    </row>
    <row r="31" customFormat="false" ht="13.2" hidden="false" customHeight="false" outlineLevel="0" collapsed="false">
      <c r="C31" s="43" t="n">
        <v>4423</v>
      </c>
      <c r="D31" s="43"/>
      <c r="E31" s="44"/>
    </row>
    <row r="32" customFormat="false" ht="13.2" hidden="false" customHeight="false" outlineLevel="0" collapsed="false">
      <c r="F32" s="43" t="n">
        <f aca="false">+C23-D23</f>
        <v>391.818</v>
      </c>
    </row>
    <row r="33" customFormat="false" ht="13.2" hidden="false" customHeight="false" outlineLevel="0" collapsed="false">
      <c r="C33" s="43" t="n">
        <f aca="false">+C30-C22</f>
        <v>-3216.647</v>
      </c>
      <c r="D33" s="44"/>
    </row>
    <row r="34" customFormat="false" ht="13.2" hidden="false" customHeight="false" outlineLevel="0" collapsed="false">
      <c r="C34" s="43" t="n">
        <f aca="false">+C31-C23</f>
        <v>-155.43</v>
      </c>
    </row>
  </sheetData>
  <mergeCells count="4">
    <mergeCell ref="A2:H2"/>
    <mergeCell ref="A3:H3"/>
    <mergeCell ref="A4:H4"/>
    <mergeCell ref="A28:H28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2:K84"/>
  <sheetViews>
    <sheetView showFormulas="false" showGridLines="true" showRowColHeaders="true" showZeros="true" rightToLeft="false" tabSelected="false" showOutlineSymbols="true" defaultGridColor="true" view="normal" topLeftCell="A34" colorId="64" zoomScale="90" zoomScaleNormal="90" zoomScalePageLayoutView="100" workbookViewId="0">
      <selection pane="topLeft" activeCell="G47" activeCellId="0" sqref="G47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27.55"/>
    <col collapsed="false" customWidth="true" hidden="false" outlineLevel="0" max="2" min="2" style="0" width="11.55"/>
    <col collapsed="false" customWidth="true" hidden="false" outlineLevel="0" max="3" min="3" style="0" width="16.99"/>
    <col collapsed="false" customWidth="true" hidden="false" outlineLevel="0" max="4" min="4" style="0" width="20.1"/>
    <col collapsed="false" customWidth="true" hidden="false" outlineLevel="0" max="5" min="5" style="0" width="16.99"/>
    <col collapsed="false" customWidth="true" hidden="false" outlineLevel="0" max="7" min="6" style="0" width="23.1"/>
    <col collapsed="false" customWidth="true" hidden="false" outlineLevel="0" max="8" min="8" style="0" width="12.32"/>
    <col collapsed="false" customWidth="true" hidden="false" outlineLevel="0" max="9" min="9" style="0" width="13.66"/>
  </cols>
  <sheetData>
    <row r="2" customFormat="false" ht="15.6" hidden="false" customHeight="false" outlineLevel="0" collapsed="false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6"/>
      <c r="K2" s="46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6"/>
      <c r="K3" s="46"/>
    </row>
    <row r="4" customFormat="false" ht="13.8" hidden="false" customHeight="false" outlineLevel="0" collapsed="false">
      <c r="A4" s="2"/>
      <c r="B4" s="2"/>
      <c r="C4" s="40"/>
      <c r="D4" s="2"/>
      <c r="E4" s="2"/>
      <c r="F4" s="2"/>
      <c r="G4" s="2"/>
      <c r="H4" s="48"/>
      <c r="I4" s="48"/>
      <c r="J4" s="46"/>
      <c r="K4" s="46"/>
    </row>
    <row r="5" customFormat="false" ht="15.6" hidden="false" customHeight="true" outlineLevel="0" collapsed="false">
      <c r="A5" s="49" t="s">
        <v>41</v>
      </c>
      <c r="B5" s="49" t="s">
        <v>4</v>
      </c>
      <c r="C5" s="49" t="s">
        <v>5</v>
      </c>
      <c r="D5" s="50" t="s">
        <v>42</v>
      </c>
      <c r="E5" s="50"/>
      <c r="F5" s="50"/>
      <c r="G5" s="51" t="s">
        <v>43</v>
      </c>
      <c r="H5" s="52" t="s">
        <v>44</v>
      </c>
      <c r="I5" s="49" t="s">
        <v>45</v>
      </c>
      <c r="J5" s="46"/>
      <c r="K5" s="46"/>
    </row>
    <row r="6" customFormat="false" ht="15.6" hidden="false" customHeight="false" outlineLevel="0" collapsed="false">
      <c r="A6" s="49"/>
      <c r="B6" s="49"/>
      <c r="C6" s="49"/>
      <c r="D6" s="53" t="s">
        <v>46</v>
      </c>
      <c r="E6" s="53" t="s">
        <v>47</v>
      </c>
      <c r="F6" s="53" t="s">
        <v>48</v>
      </c>
      <c r="G6" s="51"/>
      <c r="H6" s="52"/>
      <c r="I6" s="49"/>
      <c r="J6" s="46"/>
      <c r="K6" s="46"/>
    </row>
    <row r="7" customFormat="false" ht="13.8" hidden="false" customHeight="false" outlineLevel="0" collapsed="false">
      <c r="A7" s="54" t="s">
        <v>11</v>
      </c>
      <c r="B7" s="55" t="s">
        <v>49</v>
      </c>
      <c r="C7" s="56" t="n">
        <f aca="false">+SUM(E7:E8)</f>
        <v>640518.93</v>
      </c>
      <c r="D7" s="57" t="s">
        <v>50</v>
      </c>
      <c r="E7" s="57" t="n">
        <f aca="false">+Anchoveta!D14</f>
        <v>480948.935</v>
      </c>
      <c r="F7" s="57" t="n">
        <f aca="false">+E7</f>
        <v>480948.935</v>
      </c>
      <c r="G7" s="58" t="n">
        <f aca="false">+Anchoveta!F14</f>
        <v>181157.291</v>
      </c>
      <c r="H7" s="59" t="n">
        <f aca="false">+F7-G7</f>
        <v>299791.644</v>
      </c>
      <c r="I7" s="60" t="n">
        <f aca="false">1-G7/F7</f>
        <v>0.623333626884942</v>
      </c>
      <c r="J7" s="46"/>
      <c r="K7" s="46"/>
    </row>
    <row r="8" customFormat="false" ht="13.8" hidden="false" customHeight="false" outlineLevel="0" collapsed="false">
      <c r="A8" s="54"/>
      <c r="B8" s="61" t="s">
        <v>49</v>
      </c>
      <c r="C8" s="56"/>
      <c r="D8" s="62" t="s">
        <v>51</v>
      </c>
      <c r="E8" s="62" t="n">
        <f aca="false">+Anchoveta!D15</f>
        <v>159569.995</v>
      </c>
      <c r="F8" s="62" t="n">
        <f aca="false">+E8+H7</f>
        <v>459361.639</v>
      </c>
      <c r="G8" s="63" t="n">
        <f aca="false">+Anchoveta!F15</f>
        <v>449744.495</v>
      </c>
      <c r="H8" s="64" t="n">
        <f aca="false">+F8-G8</f>
        <v>9617.14400000009</v>
      </c>
      <c r="I8" s="65" t="n">
        <f aca="false">1-G8/F8</f>
        <v>0.0209358883796565</v>
      </c>
      <c r="J8" s="46"/>
      <c r="K8" s="46"/>
    </row>
    <row r="9" customFormat="false" ht="13.8" hidden="false" customHeight="false" outlineLevel="0" collapsed="false">
      <c r="A9" s="54"/>
      <c r="B9" s="61" t="s">
        <v>13</v>
      </c>
      <c r="C9" s="66" t="n">
        <f aca="false">SUM(E9:E10)</f>
        <v>87.414</v>
      </c>
      <c r="D9" s="61" t="s">
        <v>52</v>
      </c>
      <c r="E9" s="62" t="n">
        <f aca="false">+Anchoveta!D34</f>
        <v>83.042</v>
      </c>
      <c r="F9" s="62" t="n">
        <f aca="false">+E9</f>
        <v>83.042</v>
      </c>
      <c r="G9" s="63" t="n">
        <f aca="false">+Anchoveta!F34</f>
        <v>0</v>
      </c>
      <c r="H9" s="64" t="n">
        <f aca="false">+F9-G9</f>
        <v>83.042</v>
      </c>
      <c r="I9" s="65" t="n">
        <f aca="false">1-G9/F9</f>
        <v>1</v>
      </c>
      <c r="J9" s="46"/>
      <c r="K9" s="46"/>
    </row>
    <row r="10" customFormat="false" ht="13.8" hidden="false" customHeight="false" outlineLevel="0" collapsed="false">
      <c r="A10" s="54"/>
      <c r="B10" s="61" t="s">
        <v>13</v>
      </c>
      <c r="C10" s="66"/>
      <c r="D10" s="61" t="s">
        <v>53</v>
      </c>
      <c r="E10" s="62" t="n">
        <f aca="false">+Anchoveta!D35</f>
        <v>4.372</v>
      </c>
      <c r="F10" s="62" t="n">
        <f aca="false">+E10+H9</f>
        <v>87.414</v>
      </c>
      <c r="G10" s="63" t="n">
        <f aca="false">+Anchoveta!F35</f>
        <v>0</v>
      </c>
      <c r="H10" s="64" t="n">
        <f aca="false">+F10-G10</f>
        <v>87.414</v>
      </c>
      <c r="I10" s="65" t="n">
        <f aca="false">1-G10/F10</f>
        <v>1</v>
      </c>
      <c r="J10" s="46"/>
      <c r="K10" s="46"/>
    </row>
    <row r="11" customFormat="false" ht="13.8" hidden="false" customHeight="false" outlineLevel="0" collapsed="false">
      <c r="A11" s="54"/>
      <c r="B11" s="61" t="s">
        <v>14</v>
      </c>
      <c r="C11" s="67" t="n">
        <f aca="false">SUM(E11:E13)</f>
        <v>21942.4433903</v>
      </c>
      <c r="D11" s="61" t="s">
        <v>54</v>
      </c>
      <c r="E11" s="62" t="n">
        <f aca="false">+Anchoveta!D63</f>
        <v>18651.257</v>
      </c>
      <c r="F11" s="62" t="n">
        <f aca="false">+E11</f>
        <v>18651.257</v>
      </c>
      <c r="G11" s="63" t="n">
        <f aca="false">+Anchoveta!F63</f>
        <v>3269.203</v>
      </c>
      <c r="H11" s="64" t="n">
        <f aca="false">+F11-G11</f>
        <v>15382.054</v>
      </c>
      <c r="I11" s="65" t="n">
        <f aca="false">1-G11/F11</f>
        <v>0.824719427757604</v>
      </c>
      <c r="J11" s="46"/>
      <c r="K11" s="46"/>
    </row>
    <row r="12" customFormat="false" ht="13.8" hidden="false" customHeight="false" outlineLevel="0" collapsed="false">
      <c r="A12" s="54"/>
      <c r="B12" s="61" t="s">
        <v>14</v>
      </c>
      <c r="C12" s="67"/>
      <c r="D12" s="61" t="s">
        <v>55</v>
      </c>
      <c r="E12" s="62" t="n">
        <f aca="false">+Anchoveta!D64</f>
        <v>2194.6062303</v>
      </c>
      <c r="F12" s="62" t="n">
        <f aca="false">+E12+H11</f>
        <v>17576.6602303</v>
      </c>
      <c r="G12" s="63" t="n">
        <f aca="false">+Anchoveta!F64</f>
        <v>1956.553</v>
      </c>
      <c r="H12" s="64" t="n">
        <f aca="false">+F12-G12</f>
        <v>15620.1072303</v>
      </c>
      <c r="I12" s="65" t="n">
        <f aca="false">1-G12/F12</f>
        <v>0.888684597963204</v>
      </c>
      <c r="J12" s="46"/>
      <c r="K12" s="46"/>
    </row>
    <row r="13" customFormat="false" ht="13.8" hidden="false" customHeight="false" outlineLevel="0" collapsed="false">
      <c r="A13" s="54"/>
      <c r="B13" s="68" t="s">
        <v>14</v>
      </c>
      <c r="C13" s="67"/>
      <c r="D13" s="68" t="s">
        <v>56</v>
      </c>
      <c r="E13" s="69" t="n">
        <f aca="false">+Anchoveta!D65</f>
        <v>1096.58016</v>
      </c>
      <c r="F13" s="69" t="n">
        <f aca="false">+E13+H12</f>
        <v>16716.6873903</v>
      </c>
      <c r="G13" s="70" t="n">
        <f aca="false">+Anchoveta!F65</f>
        <v>8000.3</v>
      </c>
      <c r="H13" s="71" t="n">
        <f aca="false">+F13-G13</f>
        <v>8716.3873903</v>
      </c>
      <c r="I13" s="72" t="n">
        <f aca="false">1-G13/F13</f>
        <v>0.52141834005688</v>
      </c>
      <c r="J13" s="46"/>
      <c r="K13" s="46"/>
    </row>
    <row r="14" customFormat="false" ht="13.8" hidden="false" customHeight="false" outlineLevel="0" collapsed="false">
      <c r="A14" s="54" t="s">
        <v>15</v>
      </c>
      <c r="B14" s="55" t="s">
        <v>57</v>
      </c>
      <c r="C14" s="73" t="n">
        <f aca="false">SUM(E14:E16)</f>
        <v>3901</v>
      </c>
      <c r="D14" s="55" t="s">
        <v>58</v>
      </c>
      <c r="E14" s="57" t="n">
        <f aca="false">+'C.nailon'!D58</f>
        <v>1755.253</v>
      </c>
      <c r="F14" s="57" t="n">
        <f aca="false">+E14</f>
        <v>1755.253</v>
      </c>
      <c r="G14" s="58" t="n">
        <f aca="false">+'C.nailon'!F58</f>
        <v>1453.465</v>
      </c>
      <c r="H14" s="59" t="n">
        <f aca="false">+F14-G14</f>
        <v>301.788</v>
      </c>
      <c r="I14" s="60" t="n">
        <f aca="false">1-G14/F14</f>
        <v>0.171934188404749</v>
      </c>
      <c r="J14" s="46"/>
      <c r="K14" s="46"/>
    </row>
    <row r="15" customFormat="false" ht="13.8" hidden="false" customHeight="false" outlineLevel="0" collapsed="false">
      <c r="A15" s="54"/>
      <c r="B15" s="61" t="s">
        <v>57</v>
      </c>
      <c r="C15" s="73"/>
      <c r="D15" s="61" t="s">
        <v>59</v>
      </c>
      <c r="E15" s="62" t="n">
        <f aca="false">+'C.nailon'!D59</f>
        <v>975.249</v>
      </c>
      <c r="F15" s="62" t="n">
        <f aca="false">+E15+H14</f>
        <v>1277.037</v>
      </c>
      <c r="G15" s="63" t="n">
        <f aca="false">+'C.nailon'!F59</f>
        <v>673.831</v>
      </c>
      <c r="H15" s="64" t="n">
        <f aca="false">+F15-G15</f>
        <v>603.206</v>
      </c>
      <c r="I15" s="65" t="n">
        <f aca="false">1-G15/F15</f>
        <v>0.472348099546059</v>
      </c>
      <c r="J15" s="46"/>
      <c r="K15" s="46"/>
    </row>
    <row r="16" customFormat="false" ht="13.8" hidden="false" customHeight="false" outlineLevel="0" collapsed="false">
      <c r="A16" s="54"/>
      <c r="B16" s="68" t="s">
        <v>57</v>
      </c>
      <c r="C16" s="73"/>
      <c r="D16" s="68" t="s">
        <v>60</v>
      </c>
      <c r="E16" s="69" t="n">
        <f aca="false">+'C.nailon'!D60</f>
        <v>1170.498</v>
      </c>
      <c r="F16" s="69" t="n">
        <f aca="false">+E16+H15</f>
        <v>1773.704</v>
      </c>
      <c r="G16" s="70" t="n">
        <f aca="false">+'C.nailon'!F60</f>
        <v>1173.66</v>
      </c>
      <c r="H16" s="71" t="n">
        <f aca="false">+F16-G16</f>
        <v>600.044</v>
      </c>
      <c r="I16" s="72" t="n">
        <f aca="false">1-G16/F16</f>
        <v>0.33829996436835</v>
      </c>
      <c r="J16" s="46"/>
      <c r="K16" s="46"/>
    </row>
    <row r="17" customFormat="false" ht="13.8" hidden="false" customHeight="false" outlineLevel="0" collapsed="false">
      <c r="A17" s="54" t="s">
        <v>17</v>
      </c>
      <c r="B17" s="55" t="s">
        <v>18</v>
      </c>
      <c r="C17" s="56" t="n">
        <f aca="false">+E18+E17</f>
        <v>1092</v>
      </c>
      <c r="D17" s="55" t="s">
        <v>61</v>
      </c>
      <c r="E17" s="57" t="n">
        <f aca="false">+'C.dorado'!D14</f>
        <v>545</v>
      </c>
      <c r="F17" s="57" t="n">
        <f aca="false">+E17</f>
        <v>545</v>
      </c>
      <c r="G17" s="58" t="n">
        <f aca="false">+'C.dorado'!F14</f>
        <v>25.09</v>
      </c>
      <c r="H17" s="59" t="n">
        <f aca="false">+F17-G17</f>
        <v>519.91</v>
      </c>
      <c r="I17" s="60" t="n">
        <f aca="false">1-G17/F17</f>
        <v>0.953963302752294</v>
      </c>
      <c r="J17" s="46"/>
      <c r="K17" s="46"/>
    </row>
    <row r="18" customFormat="false" ht="13.8" hidden="false" customHeight="false" outlineLevel="0" collapsed="false">
      <c r="A18" s="54"/>
      <c r="B18" s="61" t="s">
        <v>18</v>
      </c>
      <c r="C18" s="56"/>
      <c r="D18" s="61" t="s">
        <v>62</v>
      </c>
      <c r="E18" s="62" t="n">
        <f aca="false">+'C.dorado'!D15</f>
        <v>547</v>
      </c>
      <c r="F18" s="62" t="n">
        <f aca="false">+E18+H17</f>
        <v>1066.91</v>
      </c>
      <c r="G18" s="63" t="n">
        <f aca="false">+'C.dorado'!F15</f>
        <v>1026.87</v>
      </c>
      <c r="H18" s="64" t="n">
        <f aca="false">+F18-G18</f>
        <v>40.04</v>
      </c>
      <c r="I18" s="65" t="n">
        <f aca="false">1-G18/F18</f>
        <v>0.0375289387108566</v>
      </c>
      <c r="J18" s="46"/>
      <c r="K18" s="46"/>
    </row>
    <row r="19" customFormat="false" ht="13.8" hidden="false" customHeight="false" outlineLevel="0" collapsed="false">
      <c r="A19" s="54"/>
      <c r="B19" s="61" t="s">
        <v>63</v>
      </c>
      <c r="C19" s="67" t="n">
        <f aca="false">SUM(E19:E20)</f>
        <v>649</v>
      </c>
      <c r="D19" s="61" t="s">
        <v>61</v>
      </c>
      <c r="E19" s="62" t="n">
        <f aca="false">+'C.dorado'!D26</f>
        <v>324.008</v>
      </c>
      <c r="F19" s="62" t="n">
        <f aca="false">+E19</f>
        <v>324.008</v>
      </c>
      <c r="G19" s="63" t="n">
        <f aca="false">+'C.dorado'!F26</f>
        <v>1.338</v>
      </c>
      <c r="H19" s="64" t="n">
        <f aca="false">+F19-G19</f>
        <v>322.67</v>
      </c>
      <c r="I19" s="65" t="n">
        <f aca="false">1-G19/F19</f>
        <v>0.995870472334017</v>
      </c>
      <c r="J19" s="46"/>
      <c r="K19" s="46"/>
    </row>
    <row r="20" customFormat="false" ht="13.8" hidden="false" customHeight="false" outlineLevel="0" collapsed="false">
      <c r="A20" s="54"/>
      <c r="B20" s="68" t="s">
        <v>63</v>
      </c>
      <c r="C20" s="67"/>
      <c r="D20" s="68" t="s">
        <v>62</v>
      </c>
      <c r="E20" s="69" t="n">
        <f aca="false">+'C.dorado'!D27</f>
        <v>324.992</v>
      </c>
      <c r="F20" s="69" t="n">
        <f aca="false">+E20+H19</f>
        <v>647.662</v>
      </c>
      <c r="G20" s="70" t="n">
        <f aca="false">+'C.dorado'!F27</f>
        <v>489.777</v>
      </c>
      <c r="H20" s="71" t="n">
        <f aca="false">+F20-G20</f>
        <v>157.885</v>
      </c>
      <c r="I20" s="72" t="n">
        <f aca="false">1-G20/F20</f>
        <v>0.243776846565029</v>
      </c>
      <c r="J20" s="46"/>
      <c r="K20" s="46"/>
    </row>
    <row r="21" customFormat="false" ht="13.8" hidden="false" customHeight="false" outlineLevel="0" collapsed="false">
      <c r="A21" s="74" t="s">
        <v>20</v>
      </c>
      <c r="B21" s="55" t="s">
        <v>49</v>
      </c>
      <c r="C21" s="56" t="n">
        <f aca="false">SUM(E21:E22)</f>
        <v>20832.004</v>
      </c>
      <c r="D21" s="57" t="s">
        <v>64</v>
      </c>
      <c r="E21" s="57" t="n">
        <f aca="false">+Jurel!D14</f>
        <v>19790.76</v>
      </c>
      <c r="F21" s="57" t="n">
        <f aca="false">+E21</f>
        <v>19790.76</v>
      </c>
      <c r="G21" s="58" t="n">
        <f aca="false">+Jurel!F14</f>
        <v>12193.386</v>
      </c>
      <c r="H21" s="59" t="n">
        <f aca="false">+F21-G21</f>
        <v>7597.374</v>
      </c>
      <c r="I21" s="60" t="n">
        <f aca="false">1-G21/F21</f>
        <v>0.383884903864228</v>
      </c>
      <c r="J21" s="46"/>
      <c r="K21" s="46"/>
    </row>
    <row r="22" customFormat="false" ht="13.8" hidden="false" customHeight="false" outlineLevel="0" collapsed="false">
      <c r="A22" s="74"/>
      <c r="B22" s="61" t="s">
        <v>49</v>
      </c>
      <c r="C22" s="56"/>
      <c r="D22" s="62" t="s">
        <v>65</v>
      </c>
      <c r="E22" s="62" t="n">
        <f aca="false">+Jurel!D15</f>
        <v>1041.244</v>
      </c>
      <c r="F22" s="62" t="n">
        <f aca="false">+E22+H21</f>
        <v>8638.618</v>
      </c>
      <c r="G22" s="63" t="n">
        <f aca="false">+Jurel!F15</f>
        <v>858.225</v>
      </c>
      <c r="H22" s="64" t="n">
        <f aca="false">+F22-G22</f>
        <v>7780.393</v>
      </c>
      <c r="I22" s="65" t="n">
        <f aca="false">1-G22/F22</f>
        <v>0.900652511779083</v>
      </c>
      <c r="J22" s="46"/>
      <c r="K22" s="46"/>
    </row>
    <row r="23" customFormat="false" ht="13.8" hidden="false" customHeight="false" outlineLevel="0" collapsed="false">
      <c r="A23" s="74"/>
      <c r="B23" s="61" t="s">
        <v>13</v>
      </c>
      <c r="C23" s="66" t="n">
        <f aca="false">SUM(E23:E24)</f>
        <v>12612.583</v>
      </c>
      <c r="D23" s="62" t="s">
        <v>64</v>
      </c>
      <c r="E23" s="62" t="n">
        <f aca="false">+Jurel!D42</f>
        <v>11981.572</v>
      </c>
      <c r="F23" s="62" t="n">
        <f aca="false">+E23</f>
        <v>11981.572</v>
      </c>
      <c r="G23" s="63" t="n">
        <f aca="false">+Jurel!F42</f>
        <v>9028.661</v>
      </c>
      <c r="H23" s="64" t="n">
        <f aca="false">+F23-G23</f>
        <v>2952.911</v>
      </c>
      <c r="I23" s="65" t="n">
        <f aca="false">1-G23/F23</f>
        <v>0.246454388455872</v>
      </c>
      <c r="J23" s="46"/>
      <c r="K23" s="46"/>
    </row>
    <row r="24" customFormat="false" ht="13.8" hidden="false" customHeight="false" outlineLevel="0" collapsed="false">
      <c r="A24" s="74"/>
      <c r="B24" s="61" t="s">
        <v>13</v>
      </c>
      <c r="C24" s="66"/>
      <c r="D24" s="62" t="s">
        <v>65</v>
      </c>
      <c r="E24" s="62" t="n">
        <f aca="false">+Jurel!D43</f>
        <v>631.011</v>
      </c>
      <c r="F24" s="62" t="n">
        <f aca="false">+E24+H23</f>
        <v>3583.922</v>
      </c>
      <c r="G24" s="63" t="n">
        <f aca="false">+Jurel!F43</f>
        <v>0</v>
      </c>
      <c r="H24" s="64" t="n">
        <f aca="false">+F24-G24</f>
        <v>3583.922</v>
      </c>
      <c r="I24" s="65" t="n">
        <f aca="false">1-G24/F24</f>
        <v>1</v>
      </c>
      <c r="J24" s="46"/>
      <c r="K24" s="46"/>
    </row>
    <row r="25" customFormat="false" ht="13.8" hidden="false" customHeight="false" outlineLevel="0" collapsed="false">
      <c r="A25" s="74"/>
      <c r="B25" s="61" t="s">
        <v>22</v>
      </c>
      <c r="C25" s="66" t="n">
        <f aca="false">SUM(E25:E26)</f>
        <v>188873.858</v>
      </c>
      <c r="D25" s="62" t="s">
        <v>64</v>
      </c>
      <c r="E25" s="62" t="n">
        <f aca="false">+Jurel!D74</f>
        <v>179430.029</v>
      </c>
      <c r="F25" s="62" t="n">
        <f aca="false">+E25</f>
        <v>179430.029</v>
      </c>
      <c r="G25" s="63" t="n">
        <f aca="false">+Jurel!F74</f>
        <v>177830.82</v>
      </c>
      <c r="H25" s="64" t="n">
        <f aca="false">+F25-G25</f>
        <v>1599.20900000006</v>
      </c>
      <c r="I25" s="65" t="n">
        <f aca="false">1-G25/F25</f>
        <v>0.00891271661110893</v>
      </c>
      <c r="J25" s="46"/>
      <c r="K25" s="46"/>
    </row>
    <row r="26" customFormat="false" ht="13.8" hidden="false" customHeight="false" outlineLevel="0" collapsed="false">
      <c r="A26" s="74"/>
      <c r="B26" s="61" t="s">
        <v>22</v>
      </c>
      <c r="C26" s="66"/>
      <c r="D26" s="62" t="s">
        <v>65</v>
      </c>
      <c r="E26" s="62" t="n">
        <f aca="false">+Jurel!D75</f>
        <v>9443.829</v>
      </c>
      <c r="F26" s="62" t="n">
        <f aca="false">+E26+H25</f>
        <v>11043.0380000001</v>
      </c>
      <c r="G26" s="63" t="n">
        <f aca="false">+Jurel!F75</f>
        <v>4085.952</v>
      </c>
      <c r="H26" s="64" t="n">
        <f aca="false">+F26-G26</f>
        <v>6957.08600000006</v>
      </c>
      <c r="I26" s="65" t="n">
        <f aca="false">1-G26/F26</f>
        <v>0.629997469899137</v>
      </c>
      <c r="J26" s="46"/>
      <c r="K26" s="46"/>
    </row>
    <row r="27" customFormat="false" ht="13.8" hidden="false" customHeight="false" outlineLevel="0" collapsed="false">
      <c r="A27" s="74"/>
      <c r="B27" s="61" t="s">
        <v>23</v>
      </c>
      <c r="C27" s="66" t="n">
        <f aca="false">SUM(E27:E28)</f>
        <v>9873.6057428</v>
      </c>
      <c r="D27" s="62" t="s">
        <v>64</v>
      </c>
      <c r="E27" s="62" t="n">
        <f aca="false">+Jurel!D108</f>
        <v>9379.962</v>
      </c>
      <c r="F27" s="62" t="n">
        <f aca="false">+E27</f>
        <v>9379.962</v>
      </c>
      <c r="G27" s="63" t="n">
        <f aca="false">+Jurel!F108</f>
        <v>9471.026</v>
      </c>
      <c r="H27" s="64" t="n">
        <f aca="false">+F27-G27</f>
        <v>-91.0639999999985</v>
      </c>
      <c r="I27" s="65" t="n">
        <f aca="false">1-G27/F27</f>
        <v>-0.00970835489525412</v>
      </c>
      <c r="J27" s="46"/>
      <c r="K27" s="46"/>
    </row>
    <row r="28" customFormat="false" ht="13.8" hidden="false" customHeight="false" outlineLevel="0" collapsed="false">
      <c r="A28" s="74"/>
      <c r="B28" s="61" t="s">
        <v>23</v>
      </c>
      <c r="C28" s="66"/>
      <c r="D28" s="62" t="s">
        <v>65</v>
      </c>
      <c r="E28" s="62" t="n">
        <f aca="false">+Jurel!D109</f>
        <v>493.6437428</v>
      </c>
      <c r="F28" s="62" t="n">
        <f aca="false">+E28+H27</f>
        <v>402.579742800002</v>
      </c>
      <c r="G28" s="63" t="n">
        <f aca="false">+Jurel!F109</f>
        <v>0.095</v>
      </c>
      <c r="H28" s="64" t="n">
        <f aca="false">+F28-G28</f>
        <v>402.484742800001</v>
      </c>
      <c r="I28" s="65" t="n">
        <f aca="false">1-G28/F28</f>
        <v>0.999764021906966</v>
      </c>
      <c r="J28" s="46"/>
      <c r="K28" s="46"/>
    </row>
    <row r="29" customFormat="false" ht="13.8" hidden="false" customHeight="false" outlineLevel="0" collapsed="false">
      <c r="A29" s="54" t="s">
        <v>24</v>
      </c>
      <c r="B29" s="55" t="s">
        <v>13</v>
      </c>
      <c r="C29" s="73" t="n">
        <f aca="false">SUM(E29:E31)</f>
        <v>1990.498</v>
      </c>
      <c r="D29" s="55" t="s">
        <v>66</v>
      </c>
      <c r="E29" s="57" t="n">
        <f aca="false">+'L.amarillo'!D34</f>
        <v>995.752</v>
      </c>
      <c r="F29" s="57" t="n">
        <f aca="false">+E29</f>
        <v>995.752</v>
      </c>
      <c r="G29" s="58" t="n">
        <f aca="false">+'L.amarillo'!F34</f>
        <v>852.279</v>
      </c>
      <c r="H29" s="59" t="n">
        <f aca="false">+F29-G29</f>
        <v>143.473</v>
      </c>
      <c r="I29" s="60" t="n">
        <f aca="false">1-G29/F29</f>
        <v>0.144085073391768</v>
      </c>
      <c r="J29" s="46"/>
      <c r="K29" s="46"/>
    </row>
    <row r="30" customFormat="false" ht="13.8" hidden="false" customHeight="false" outlineLevel="0" collapsed="false">
      <c r="A30" s="54"/>
      <c r="B30" s="61" t="s">
        <v>13</v>
      </c>
      <c r="C30" s="73"/>
      <c r="D30" s="61" t="s">
        <v>67</v>
      </c>
      <c r="E30" s="62" t="n">
        <f aca="false">+'L.amarillo'!D35</f>
        <v>597.249</v>
      </c>
      <c r="F30" s="62" t="n">
        <f aca="false">+E30+H29</f>
        <v>740.722</v>
      </c>
      <c r="G30" s="63" t="n">
        <f aca="false">+'L.amarillo'!F35</f>
        <v>459.138</v>
      </c>
      <c r="H30" s="64" t="n">
        <f aca="false">+F30-G30</f>
        <v>281.584</v>
      </c>
      <c r="I30" s="65" t="n">
        <f aca="false">1-G30/F30</f>
        <v>0.380148017744849</v>
      </c>
      <c r="J30" s="46"/>
      <c r="K30" s="46"/>
    </row>
    <row r="31" customFormat="false" ht="13.8" hidden="false" customHeight="false" outlineLevel="0" collapsed="false">
      <c r="A31" s="54"/>
      <c r="B31" s="68" t="s">
        <v>13</v>
      </c>
      <c r="C31" s="73"/>
      <c r="D31" s="68" t="s">
        <v>68</v>
      </c>
      <c r="E31" s="69" t="n">
        <f aca="false">+'L.amarillo'!D36</f>
        <v>397.497</v>
      </c>
      <c r="F31" s="69" t="n">
        <f aca="false">+E31+H30</f>
        <v>679.081</v>
      </c>
      <c r="G31" s="70" t="n">
        <f aca="false">+'L.amarillo'!F36</f>
        <v>395.613</v>
      </c>
      <c r="H31" s="71" t="n">
        <f aca="false">+F31-G31</f>
        <v>283.468</v>
      </c>
      <c r="I31" s="72" t="n">
        <f aca="false">1-G31/F31</f>
        <v>0.417428848694044</v>
      </c>
      <c r="J31" s="46"/>
      <c r="K31" s="46"/>
    </row>
    <row r="32" customFormat="false" ht="13.8" hidden="false" customHeight="false" outlineLevel="0" collapsed="false">
      <c r="A32" s="54" t="s">
        <v>27</v>
      </c>
      <c r="B32" s="55" t="s">
        <v>69</v>
      </c>
      <c r="C32" s="73" t="n">
        <f aca="false">SUM(E32:E34)</f>
        <v>1124.999</v>
      </c>
      <c r="D32" s="55" t="s">
        <v>66</v>
      </c>
      <c r="E32" s="57" t="n">
        <f aca="false">+'L.colorado'!D25</f>
        <v>263.498</v>
      </c>
      <c r="F32" s="57" t="n">
        <f aca="false">+E32</f>
        <v>263.498</v>
      </c>
      <c r="G32" s="58" t="n">
        <f aca="false">+'L.colorado'!F25</f>
        <v>268.14</v>
      </c>
      <c r="H32" s="59" t="n">
        <f aca="false">+F32-G32</f>
        <v>-4.642</v>
      </c>
      <c r="I32" s="60" t="n">
        <f aca="false">1-G32/F32</f>
        <v>-0.017616832006315</v>
      </c>
      <c r="J32" s="46"/>
      <c r="K32" s="46"/>
    </row>
    <row r="33" customFormat="false" ht="13.8" hidden="false" customHeight="false" outlineLevel="0" collapsed="false">
      <c r="A33" s="54"/>
      <c r="B33" s="61" t="s">
        <v>69</v>
      </c>
      <c r="C33" s="73"/>
      <c r="D33" s="61" t="s">
        <v>67</v>
      </c>
      <c r="E33" s="62" t="n">
        <f aca="false">+'L.colorado'!D26</f>
        <v>611.692</v>
      </c>
      <c r="F33" s="62" t="n">
        <f aca="false">+E33+H32</f>
        <v>607.05</v>
      </c>
      <c r="G33" s="63" t="n">
        <f aca="false">+'L.colorado'!F26</f>
        <v>165.271</v>
      </c>
      <c r="H33" s="64" t="n">
        <f aca="false">+F33-G33</f>
        <v>441.779</v>
      </c>
      <c r="I33" s="65" t="n">
        <f aca="false">1-G33/F33</f>
        <v>0.727747302528622</v>
      </c>
      <c r="J33" s="46"/>
      <c r="K33" s="46"/>
    </row>
    <row r="34" customFormat="false" ht="13.8" hidden="false" customHeight="false" outlineLevel="0" collapsed="false">
      <c r="A34" s="54"/>
      <c r="B34" s="68" t="s">
        <v>69</v>
      </c>
      <c r="C34" s="73"/>
      <c r="D34" s="68" t="s">
        <v>68</v>
      </c>
      <c r="E34" s="69" t="n">
        <f aca="false">+'L.colorado'!D27</f>
        <v>249.809</v>
      </c>
      <c r="F34" s="69" t="n">
        <f aca="false">+E34+H33</f>
        <v>691.588</v>
      </c>
      <c r="G34" s="70" t="n">
        <f aca="false">+'L.colorado'!F27</f>
        <v>684.314</v>
      </c>
      <c r="H34" s="71" t="n">
        <f aca="false">+F34-G34</f>
        <v>7.274</v>
      </c>
      <c r="I34" s="72" t="n">
        <f aca="false">1-G34/F34</f>
        <v>0.0105178227499609</v>
      </c>
      <c r="J34" s="46"/>
      <c r="K34" s="46"/>
    </row>
    <row r="35" customFormat="false" ht="13.8" hidden="false" customHeight="false" outlineLevel="0" collapsed="false">
      <c r="A35" s="54" t="s">
        <v>29</v>
      </c>
      <c r="B35" s="75" t="s">
        <v>70</v>
      </c>
      <c r="C35" s="73" t="n">
        <f aca="false">SUM(E35:E36)</f>
        <v>28499.152</v>
      </c>
      <c r="D35" s="55" t="s">
        <v>71</v>
      </c>
      <c r="E35" s="57" t="n">
        <f aca="false">+'M.común'!D42</f>
        <v>21374.114</v>
      </c>
      <c r="F35" s="57" t="n">
        <f aca="false">+E35</f>
        <v>21374.114</v>
      </c>
      <c r="G35" s="58" t="n">
        <f aca="false">+'M.común'!F42</f>
        <v>15666.398</v>
      </c>
      <c r="H35" s="59" t="n">
        <f aca="false">+F35-G35</f>
        <v>5707.716</v>
      </c>
      <c r="I35" s="60" t="n">
        <f aca="false">1-G35/F35</f>
        <v>0.267038717955748</v>
      </c>
      <c r="J35" s="46"/>
      <c r="K35" s="46"/>
    </row>
    <row r="36" customFormat="false" ht="13.8" hidden="false" customHeight="false" outlineLevel="0" collapsed="false">
      <c r="A36" s="54"/>
      <c r="B36" s="75"/>
      <c r="C36" s="73"/>
      <c r="D36" s="68" t="s">
        <v>72</v>
      </c>
      <c r="E36" s="69" t="n">
        <f aca="false">+'M.común'!D43</f>
        <v>7125.038</v>
      </c>
      <c r="F36" s="69" t="n">
        <f aca="false">+E36+H35</f>
        <v>12832.754</v>
      </c>
      <c r="G36" s="70" t="n">
        <f aca="false">+'M.común'!F43</f>
        <v>9312.011</v>
      </c>
      <c r="H36" s="71" t="n">
        <f aca="false">+F36-G36</f>
        <v>3520.743</v>
      </c>
      <c r="I36" s="72" t="n">
        <f aca="false">1-G36/F36</f>
        <v>0.274355995603126</v>
      </c>
      <c r="J36" s="46"/>
      <c r="K36" s="46"/>
    </row>
    <row r="37" customFormat="false" ht="13.8" hidden="false" customHeight="false" outlineLevel="0" collapsed="false">
      <c r="A37" s="54" t="s">
        <v>31</v>
      </c>
      <c r="B37" s="55" t="s">
        <v>14</v>
      </c>
      <c r="C37" s="56" t="n">
        <f aca="false">SUM(E37:E38)</f>
        <v>62312.71</v>
      </c>
      <c r="D37" s="55" t="s">
        <v>73</v>
      </c>
      <c r="E37" s="57" t="n">
        <f aca="false">+'M.cola'!D28</f>
        <v>24925.085</v>
      </c>
      <c r="F37" s="57" t="n">
        <f aca="false">+E37</f>
        <v>24925.085</v>
      </c>
      <c r="G37" s="58" t="n">
        <f aca="false">+'M.cola'!F28</f>
        <v>7600.552</v>
      </c>
      <c r="H37" s="59" t="n">
        <f aca="false">+F37-G37</f>
        <v>17324.533</v>
      </c>
      <c r="I37" s="60" t="n">
        <f aca="false">1-G37/F37</f>
        <v>0.695064149229581</v>
      </c>
      <c r="J37" s="46"/>
      <c r="K37" s="46"/>
    </row>
    <row r="38" customFormat="false" ht="13.8" hidden="false" customHeight="false" outlineLevel="0" collapsed="false">
      <c r="A38" s="54"/>
      <c r="B38" s="61" t="s">
        <v>14</v>
      </c>
      <c r="C38" s="56"/>
      <c r="D38" s="61" t="s">
        <v>74</v>
      </c>
      <c r="E38" s="62" t="n">
        <f aca="false">+'M.cola'!D29</f>
        <v>37387.625</v>
      </c>
      <c r="F38" s="62" t="n">
        <f aca="false">+E38+H37</f>
        <v>54712.158</v>
      </c>
      <c r="G38" s="63" t="n">
        <f aca="false">+'M.cola'!F29</f>
        <v>22836.713</v>
      </c>
      <c r="H38" s="64" t="n">
        <f aca="false">+F38-G38</f>
        <v>31875.445</v>
      </c>
      <c r="I38" s="65" t="n">
        <f aca="false">1-G38/F38</f>
        <v>0.5826025908172</v>
      </c>
      <c r="J38" s="46"/>
      <c r="K38" s="46"/>
    </row>
    <row r="39" customFormat="false" ht="13.8" hidden="false" customHeight="false" outlineLevel="0" collapsed="false">
      <c r="A39" s="54"/>
      <c r="B39" s="61" t="s">
        <v>75</v>
      </c>
      <c r="C39" s="67" t="n">
        <f aca="false">SUM(E39:E40)</f>
        <v>32689.758</v>
      </c>
      <c r="D39" s="61" t="s">
        <v>73</v>
      </c>
      <c r="E39" s="62" t="n">
        <f aca="false">+'M.cola'!D40</f>
        <v>13075.867</v>
      </c>
      <c r="F39" s="62" t="n">
        <f aca="false">+E39</f>
        <v>13075.867</v>
      </c>
      <c r="G39" s="63" t="n">
        <f aca="false">+'M.cola'!F40</f>
        <v>0.101</v>
      </c>
      <c r="H39" s="64" t="n">
        <f aca="false">+F39-G39</f>
        <v>13075.766</v>
      </c>
      <c r="I39" s="65" t="n">
        <f aca="false">1-G39/F39</f>
        <v>0.999992275846795</v>
      </c>
      <c r="J39" s="46"/>
      <c r="K39" s="46"/>
    </row>
    <row r="40" customFormat="false" ht="13.8" hidden="false" customHeight="false" outlineLevel="0" collapsed="false">
      <c r="A40" s="54"/>
      <c r="B40" s="68" t="s">
        <v>75</v>
      </c>
      <c r="C40" s="67"/>
      <c r="D40" s="68" t="s">
        <v>74</v>
      </c>
      <c r="E40" s="69" t="n">
        <f aca="false">+'M.cola'!D41</f>
        <v>19613.891</v>
      </c>
      <c r="F40" s="69" t="n">
        <f aca="false">+E40+H39</f>
        <v>32689.657</v>
      </c>
      <c r="G40" s="70" t="n">
        <f aca="false">+'M.cola'!F41</f>
        <v>31487.728</v>
      </c>
      <c r="H40" s="71" t="n">
        <f aca="false">+F40-G40</f>
        <v>1201.929</v>
      </c>
      <c r="I40" s="72" t="n">
        <f aca="false">1-G40/F40</f>
        <v>0.0367678681975771</v>
      </c>
      <c r="J40" s="46"/>
      <c r="K40" s="46"/>
    </row>
    <row r="41" customFormat="false" ht="13.8" hidden="false" customHeight="false" outlineLevel="0" collapsed="false">
      <c r="A41" s="54" t="s">
        <v>34</v>
      </c>
      <c r="B41" s="76" t="s">
        <v>35</v>
      </c>
      <c r="C41" s="73" t="n">
        <f aca="false">SUM(E41:E42)</f>
        <v>19366.002</v>
      </c>
      <c r="D41" s="55" t="s">
        <v>73</v>
      </c>
      <c r="E41" s="57" t="n">
        <f aca="false">+'M.tres aletas'!D7</f>
        <v>7107.01</v>
      </c>
      <c r="F41" s="57" t="n">
        <f aca="false">+E41</f>
        <v>7107.01</v>
      </c>
      <c r="G41" s="58" t="n">
        <f aca="false">+'M.tres aletas'!F7</f>
        <v>0.056</v>
      </c>
      <c r="H41" s="59" t="n">
        <f aca="false">+F41-G41</f>
        <v>7106.954</v>
      </c>
      <c r="I41" s="60" t="n">
        <f aca="false">1-G41/F41</f>
        <v>0.999992120455719</v>
      </c>
      <c r="J41" s="46"/>
      <c r="K41" s="46"/>
    </row>
    <row r="42" customFormat="false" ht="13.8" hidden="false" customHeight="false" outlineLevel="0" collapsed="false">
      <c r="A42" s="54"/>
      <c r="B42" s="77" t="s">
        <v>35</v>
      </c>
      <c r="C42" s="73"/>
      <c r="D42" s="68" t="s">
        <v>74</v>
      </c>
      <c r="E42" s="69" t="n">
        <f aca="false">+'M.tres aletas'!D8</f>
        <v>12258.992</v>
      </c>
      <c r="F42" s="69" t="n">
        <f aca="false">+E42+H41</f>
        <v>19365.946</v>
      </c>
      <c r="G42" s="70" t="n">
        <f aca="false">+'M.tres aletas'!F8</f>
        <v>16673.277</v>
      </c>
      <c r="H42" s="71" t="n">
        <f aca="false">+F42-G42</f>
        <v>2692.669</v>
      </c>
      <c r="I42" s="72" t="n">
        <f aca="false">1-G42/F42</f>
        <v>0.139041439029108</v>
      </c>
      <c r="J42" s="46"/>
      <c r="K42" s="46"/>
    </row>
    <row r="43" customFormat="false" ht="13.8" hidden="false" customHeight="false" outlineLevel="0" collapsed="false">
      <c r="A43" s="78" t="s">
        <v>36</v>
      </c>
      <c r="B43" s="79" t="s">
        <v>18</v>
      </c>
      <c r="C43" s="80" t="n">
        <f aca="false">+SUM(E43:E44)</f>
        <v>10133.647</v>
      </c>
      <c r="D43" s="81" t="s">
        <v>76</v>
      </c>
      <c r="E43" s="82" t="n">
        <f aca="false">+'M.sur'!D14</f>
        <v>3547.364</v>
      </c>
      <c r="F43" s="82" t="n">
        <f aca="false">+E43</f>
        <v>3547.364</v>
      </c>
      <c r="G43" s="82" t="n">
        <f aca="false">+'M.sur'!F14</f>
        <v>103.508</v>
      </c>
      <c r="H43" s="83" t="n">
        <f aca="false">+F43-G43</f>
        <v>3443.856</v>
      </c>
      <c r="I43" s="84" t="n">
        <f aca="false">1-G43/F43</f>
        <v>0.970821150578289</v>
      </c>
      <c r="J43" s="46"/>
      <c r="K43" s="46"/>
    </row>
    <row r="44" customFormat="false" ht="13.8" hidden="false" customHeight="false" outlineLevel="0" collapsed="false">
      <c r="A44" s="78"/>
      <c r="B44" s="85" t="s">
        <v>18</v>
      </c>
      <c r="C44" s="80"/>
      <c r="D44" s="86" t="s">
        <v>77</v>
      </c>
      <c r="E44" s="87" t="n">
        <f aca="false">+'M.sur'!D15</f>
        <v>6586.283</v>
      </c>
      <c r="F44" s="87" t="n">
        <f aca="false">+E44+H43</f>
        <v>10030.139</v>
      </c>
      <c r="G44" s="87" t="n">
        <f aca="false">+'M.sur'!F15</f>
        <v>9807.83</v>
      </c>
      <c r="H44" s="88" t="n">
        <f aca="false">+F44-G44</f>
        <v>222.309000000001</v>
      </c>
      <c r="I44" s="89" t="n">
        <f aca="false">1-G44/F44</f>
        <v>0.022164099620155</v>
      </c>
      <c r="J44" s="46"/>
      <c r="K44" s="46"/>
    </row>
    <row r="45" customFormat="false" ht="13.8" hidden="false" customHeight="false" outlineLevel="0" collapsed="false">
      <c r="A45" s="78"/>
      <c r="B45" s="85" t="s">
        <v>63</v>
      </c>
      <c r="C45" s="90" t="n">
        <f aca="false">SUM(E45:E46)</f>
        <v>4578.43</v>
      </c>
      <c r="D45" s="86" t="s">
        <v>76</v>
      </c>
      <c r="E45" s="87" t="n">
        <f aca="false">+'M.sur'!D26</f>
        <v>1557.298</v>
      </c>
      <c r="F45" s="87" t="n">
        <f aca="false">+E45</f>
        <v>1557.298</v>
      </c>
      <c r="G45" s="87" t="n">
        <f aca="false">+'M.sur'!F26</f>
        <v>0</v>
      </c>
      <c r="H45" s="88" t="n">
        <f aca="false">+F45-G45</f>
        <v>1557.298</v>
      </c>
      <c r="I45" s="89" t="n">
        <f aca="false">1-G45/F45</f>
        <v>1</v>
      </c>
      <c r="J45" s="46"/>
      <c r="K45" s="46"/>
    </row>
    <row r="46" customFormat="false" ht="13.8" hidden="false" customHeight="false" outlineLevel="0" collapsed="false">
      <c r="A46" s="78"/>
      <c r="B46" s="91" t="s">
        <v>63</v>
      </c>
      <c r="C46" s="90"/>
      <c r="D46" s="92" t="s">
        <v>77</v>
      </c>
      <c r="E46" s="93" t="n">
        <f aca="false">+'M.sur'!D27</f>
        <v>3021.132</v>
      </c>
      <c r="F46" s="93" t="n">
        <f aca="false">+E46+H45</f>
        <v>4578.43</v>
      </c>
      <c r="G46" s="93" t="n">
        <f aca="false">+'M.sur'!F27</f>
        <v>4186.612</v>
      </c>
      <c r="H46" s="94" t="n">
        <f aca="false">+F46-G46</f>
        <v>391.818</v>
      </c>
      <c r="I46" s="95" t="n">
        <f aca="false">1-G46/F46</f>
        <v>0.0855791177324978</v>
      </c>
      <c r="J46" s="46"/>
      <c r="K46" s="46"/>
    </row>
    <row r="47" customFormat="false" ht="13.8" hidden="false" customHeight="false" outlineLevel="0" collapsed="false">
      <c r="A47" s="54" t="s">
        <v>37</v>
      </c>
      <c r="B47" s="55" t="s">
        <v>14</v>
      </c>
      <c r="C47" s="73" t="n">
        <f aca="false">SUM(E47:E49)</f>
        <v>241054.4306</v>
      </c>
      <c r="D47" s="55" t="s">
        <v>54</v>
      </c>
      <c r="E47" s="57" t="n">
        <f aca="false">+'S.común'!D31</f>
        <v>204896.525</v>
      </c>
      <c r="F47" s="57" t="n">
        <f aca="false">+E47</f>
        <v>204896.525</v>
      </c>
      <c r="G47" s="58" t="n">
        <f aca="false">+'S.común'!F31</f>
        <v>55881.654</v>
      </c>
      <c r="H47" s="59" t="n">
        <f aca="false">+F47-G47</f>
        <v>149014.871</v>
      </c>
      <c r="I47" s="60" t="n">
        <f aca="false">1-G47/F47</f>
        <v>0.727268903169539</v>
      </c>
      <c r="J47" s="46"/>
      <c r="K47" s="46"/>
    </row>
    <row r="48" customFormat="false" ht="13.8" hidden="false" customHeight="false" outlineLevel="0" collapsed="false">
      <c r="A48" s="54"/>
      <c r="B48" s="61" t="s">
        <v>14</v>
      </c>
      <c r="C48" s="73"/>
      <c r="D48" s="61" t="s">
        <v>55</v>
      </c>
      <c r="E48" s="62" t="n">
        <f aca="false">+'S.común'!D32</f>
        <v>24105.5171</v>
      </c>
      <c r="F48" s="62" t="n">
        <f aca="false">+E48+H47</f>
        <v>173120.3881</v>
      </c>
      <c r="G48" s="63" t="n">
        <f aca="false">+'S.común'!F32</f>
        <v>54070.924</v>
      </c>
      <c r="H48" s="64" t="n">
        <f aca="false">+F48-G48</f>
        <v>119049.4641</v>
      </c>
      <c r="I48" s="65" t="n">
        <f aca="false">1-G48/F48</f>
        <v>0.687668653048728</v>
      </c>
      <c r="J48" s="46"/>
      <c r="K48" s="46"/>
    </row>
    <row r="49" customFormat="false" ht="13.8" hidden="false" customHeight="false" outlineLevel="0" collapsed="false">
      <c r="A49" s="54"/>
      <c r="B49" s="68" t="s">
        <v>14</v>
      </c>
      <c r="C49" s="73"/>
      <c r="D49" s="68" t="s">
        <v>56</v>
      </c>
      <c r="E49" s="69" t="n">
        <f aca="false">+'S.común'!D33</f>
        <v>12052.3885</v>
      </c>
      <c r="F49" s="69" t="n">
        <f aca="false">+E49+H48</f>
        <v>131101.8526</v>
      </c>
      <c r="G49" s="70" t="n">
        <f aca="false">+'S.común'!F33</f>
        <v>91283.249</v>
      </c>
      <c r="H49" s="71" t="n">
        <f aca="false">+F49-G49</f>
        <v>39818.6036</v>
      </c>
      <c r="I49" s="72" t="n">
        <f aca="false">1-G49/F49</f>
        <v>0.3037226615057</v>
      </c>
      <c r="J49" s="46"/>
      <c r="K49" s="46"/>
    </row>
    <row r="50" customFormat="false" ht="13.8" hidden="false" customHeight="false" outlineLevel="0" collapsed="false">
      <c r="A50" s="54" t="s">
        <v>39</v>
      </c>
      <c r="B50" s="55" t="s">
        <v>49</v>
      </c>
      <c r="C50" s="56" t="n">
        <f aca="false">SUM(E50:E51)</f>
        <v>1500</v>
      </c>
      <c r="D50" s="57" t="s">
        <v>50</v>
      </c>
      <c r="E50" s="57" t="n">
        <f aca="false">+'S.española'!D14</f>
        <v>1125</v>
      </c>
      <c r="F50" s="57" t="n">
        <f aca="false">+E50</f>
        <v>1125</v>
      </c>
      <c r="G50" s="58" t="n">
        <f aca="false">+'S.española'!F14</f>
        <v>0</v>
      </c>
      <c r="H50" s="59" t="n">
        <f aca="false">+F50-G50</f>
        <v>1125</v>
      </c>
      <c r="I50" s="60" t="n">
        <f aca="false">1-G50/F50</f>
        <v>1</v>
      </c>
      <c r="J50" s="46"/>
      <c r="K50" s="46"/>
    </row>
    <row r="51" customFormat="false" ht="13.8" hidden="false" customHeight="false" outlineLevel="0" collapsed="false">
      <c r="A51" s="54"/>
      <c r="B51" s="61" t="s">
        <v>49</v>
      </c>
      <c r="C51" s="56"/>
      <c r="D51" s="62" t="s">
        <v>51</v>
      </c>
      <c r="E51" s="62" t="n">
        <f aca="false">+'S.española'!D15</f>
        <v>375</v>
      </c>
      <c r="F51" s="62" t="n">
        <f aca="false">+E51+H50</f>
        <v>1500</v>
      </c>
      <c r="G51" s="63" t="n">
        <f aca="false">+'S.española'!F15</f>
        <v>0</v>
      </c>
      <c r="H51" s="64" t="n">
        <f aca="false">+F51-G51</f>
        <v>1500</v>
      </c>
      <c r="I51" s="65" t="n">
        <f aca="false">1-G51/F51</f>
        <v>1</v>
      </c>
      <c r="J51" s="46"/>
      <c r="K51" s="46"/>
    </row>
    <row r="52" customFormat="false" ht="13.8" hidden="false" customHeight="false" outlineLevel="0" collapsed="false">
      <c r="A52" s="54"/>
      <c r="B52" s="61" t="s">
        <v>13</v>
      </c>
      <c r="C52" s="67" t="n">
        <f aca="false">SUM(E52:E53)</f>
        <v>465.404</v>
      </c>
      <c r="D52" s="61" t="s">
        <v>52</v>
      </c>
      <c r="E52" s="62" t="n">
        <f aca="false">+'S.española'!D36</f>
        <v>419.237</v>
      </c>
      <c r="F52" s="62" t="n">
        <f aca="false">+E52</f>
        <v>419.237</v>
      </c>
      <c r="G52" s="63" t="n">
        <f aca="false">+'S.española'!F36</f>
        <v>0</v>
      </c>
      <c r="H52" s="64" t="n">
        <f aca="false">+F52-G52</f>
        <v>419.237</v>
      </c>
      <c r="I52" s="65" t="n">
        <f aca="false">1-G52/F52</f>
        <v>1</v>
      </c>
      <c r="J52" s="46"/>
      <c r="K52" s="46"/>
    </row>
    <row r="53" customFormat="false" ht="13.8" hidden="false" customHeight="false" outlineLevel="0" collapsed="false">
      <c r="A53" s="54"/>
      <c r="B53" s="68" t="s">
        <v>13</v>
      </c>
      <c r="C53" s="67"/>
      <c r="D53" s="68" t="s">
        <v>53</v>
      </c>
      <c r="E53" s="69" t="n">
        <f aca="false">+'S.española'!D37</f>
        <v>46.167</v>
      </c>
      <c r="F53" s="69" t="n">
        <f aca="false">+E53+H52</f>
        <v>465.404</v>
      </c>
      <c r="G53" s="70" t="n">
        <f aca="false">+'S.española'!F37</f>
        <v>0</v>
      </c>
      <c r="H53" s="71" t="n">
        <f aca="false">+F53-G53</f>
        <v>465.404</v>
      </c>
      <c r="I53" s="72" t="n">
        <f aca="false">1-G53/F53</f>
        <v>1</v>
      </c>
      <c r="J53" s="46"/>
      <c r="K53" s="46"/>
    </row>
    <row r="54" customFormat="false" ht="13.8" hidden="false" customHeight="fals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customFormat="false" ht="13.8" hidden="false" customHeight="fals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customFormat="false" ht="13.8" hidden="false" customHeight="fals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customFormat="false" ht="13.8" hidden="false" customHeight="fals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customFormat="false" ht="13.8" hidden="false" customHeight="fals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customFormat="false" ht="13.8" hidden="false" customHeight="fals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customFormat="false" ht="13.8" hidden="false" customHeight="fals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customFormat="false" ht="13.8" hidden="false" customHeight="fals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customFormat="false" ht="13.8" hidden="false" customHeight="fals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customFormat="false" ht="13.8" hidden="false" customHeight="fals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customFormat="false" ht="13.8" hidden="false" customHeight="fals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customFormat="false" ht="13.8" hidden="false" customHeight="fals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customFormat="false" ht="13.8" hidden="false" customHeight="fals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customFormat="false" ht="13.8" hidden="false" customHeight="fals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customFormat="false" ht="13.8" hidden="false" customHeight="fals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customFormat="false" ht="13.8" hidden="false" customHeight="fals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customFormat="false" ht="13.8" hidden="false" customHeight="fals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customFormat="false" ht="13.8" hidden="false" customHeight="fals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customFormat="false" ht="13.8" hidden="false" customHeight="fals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customFormat="false" ht="13.8" hidden="false" customHeight="fals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customFormat="false" ht="13.8" hidden="false" customHeight="fals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customFormat="false" ht="13.8" hidden="false" customHeight="fals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customFormat="false" ht="13.8" hidden="false" customHeight="fals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customFormat="false" ht="13.8" hidden="false" customHeight="fals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customFormat="false" ht="13.8" hidden="false" customHeight="fals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customFormat="false" ht="13.8" hidden="false" customHeight="fals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customFormat="false" ht="13.8" hidden="false" customHeight="fals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customFormat="false" ht="13.8" hidden="false" customHeight="fals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customFormat="false" ht="13.8" hidden="false" customHeight="fals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customFormat="false" ht="13.8" hidden="false" customHeight="fals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customFormat="false" ht="13.8" hidden="false" customHeight="fals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</sheetData>
  <mergeCells count="43">
    <mergeCell ref="A2:I2"/>
    <mergeCell ref="A3:I3"/>
    <mergeCell ref="A5:A6"/>
    <mergeCell ref="B5:B6"/>
    <mergeCell ref="C5:C6"/>
    <mergeCell ref="D5:F5"/>
    <mergeCell ref="G5:G6"/>
    <mergeCell ref="H5:H6"/>
    <mergeCell ref="I5:I6"/>
    <mergeCell ref="A7:A13"/>
    <mergeCell ref="C7:C8"/>
    <mergeCell ref="C9:C10"/>
    <mergeCell ref="C11:C13"/>
    <mergeCell ref="A14:A16"/>
    <mergeCell ref="C14:C16"/>
    <mergeCell ref="A17:A20"/>
    <mergeCell ref="C17:C18"/>
    <mergeCell ref="C19:C20"/>
    <mergeCell ref="A21:A28"/>
    <mergeCell ref="C21:C22"/>
    <mergeCell ref="C23:C24"/>
    <mergeCell ref="C25:C26"/>
    <mergeCell ref="C27:C28"/>
    <mergeCell ref="A29:A31"/>
    <mergeCell ref="C29:C31"/>
    <mergeCell ref="A32:A34"/>
    <mergeCell ref="C32:C34"/>
    <mergeCell ref="A35:A36"/>
    <mergeCell ref="B35:B36"/>
    <mergeCell ref="C35:C36"/>
    <mergeCell ref="A37:A40"/>
    <mergeCell ref="C37:C38"/>
    <mergeCell ref="C39:C40"/>
    <mergeCell ref="A41:A42"/>
    <mergeCell ref="C41:C42"/>
    <mergeCell ref="A43:A46"/>
    <mergeCell ref="C43:C44"/>
    <mergeCell ref="C45:C46"/>
    <mergeCell ref="A47:A49"/>
    <mergeCell ref="C47:C49"/>
    <mergeCell ref="A50:A53"/>
    <mergeCell ref="C50:C51"/>
    <mergeCell ref="C52:C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2" activeCellId="0" sqref="G42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27.55"/>
    <col collapsed="false" customWidth="true" hidden="false" outlineLevel="0" max="2" min="2" style="0" width="13.99"/>
    <col collapsed="false" customWidth="true" hidden="false" outlineLevel="0" max="3" min="3" style="0" width="16.99"/>
    <col collapsed="false" customWidth="true" hidden="false" outlineLevel="0" max="4" min="4" style="0" width="17.1"/>
    <col collapsed="false" customWidth="true" hidden="false" outlineLevel="0" max="7" min="7" style="0" width="19.99"/>
    <col collapsed="false" customWidth="true" hidden="false" outlineLevel="0" max="8" min="8" style="0" width="11.55"/>
    <col collapsed="false" customWidth="true" hidden="false" outlineLevel="0" max="9" min="9" style="0" width="15.87"/>
    <col collapsed="false" customWidth="true" hidden="false" outlineLevel="0" max="10" min="10" style="0" width="13.55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15.6" hidden="false" customHeight="false" outlineLevel="0" collapsed="false">
      <c r="A2" s="53" t="s">
        <v>78</v>
      </c>
      <c r="B2" s="53"/>
      <c r="C2" s="53"/>
      <c r="D2" s="53"/>
      <c r="E2" s="53"/>
      <c r="F2" s="53"/>
      <c r="G2" s="53"/>
      <c r="H2" s="53"/>
      <c r="I2" s="53"/>
      <c r="J2" s="53"/>
      <c r="K2" s="46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6"/>
    </row>
    <row r="4" customFormat="false" ht="13.8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customFormat="false" ht="15.6" hidden="false" customHeight="true" outlineLevel="0" collapsed="false">
      <c r="A5" s="96" t="s">
        <v>3</v>
      </c>
      <c r="B5" s="96" t="s">
        <v>4</v>
      </c>
      <c r="C5" s="96" t="s">
        <v>5</v>
      </c>
      <c r="D5" s="50" t="s">
        <v>42</v>
      </c>
      <c r="E5" s="50"/>
      <c r="F5" s="50"/>
      <c r="G5" s="97" t="s">
        <v>43</v>
      </c>
      <c r="H5" s="50" t="s">
        <v>44</v>
      </c>
      <c r="I5" s="96" t="s">
        <v>45</v>
      </c>
      <c r="J5" s="96" t="s">
        <v>79</v>
      </c>
      <c r="K5" s="46"/>
    </row>
    <row r="6" customFormat="false" ht="15.6" hidden="false" customHeight="false" outlineLevel="0" collapsed="false">
      <c r="A6" s="96"/>
      <c r="B6" s="96"/>
      <c r="C6" s="96"/>
      <c r="D6" s="98" t="s">
        <v>46</v>
      </c>
      <c r="E6" s="98" t="s">
        <v>80</v>
      </c>
      <c r="F6" s="98" t="s">
        <v>81</v>
      </c>
      <c r="G6" s="97"/>
      <c r="H6" s="50"/>
      <c r="I6" s="96"/>
      <c r="J6" s="96"/>
      <c r="K6" s="46"/>
    </row>
    <row r="7" customFormat="false" ht="15" hidden="false" customHeight="true" outlineLevel="0" collapsed="false">
      <c r="A7" s="99" t="s">
        <v>82</v>
      </c>
      <c r="B7" s="100" t="s">
        <v>83</v>
      </c>
      <c r="C7" s="101" t="n">
        <f aca="false">+SUM(E7:E8)</f>
        <v>0</v>
      </c>
      <c r="D7" s="101" t="s">
        <v>84</v>
      </c>
      <c r="E7" s="102" t="s">
        <v>85</v>
      </c>
      <c r="F7" s="102" t="str">
        <f aca="false">+E7</f>
        <v>Veda</v>
      </c>
      <c r="G7" s="103" t="n">
        <v>0.092</v>
      </c>
      <c r="H7" s="104" t="e">
        <f aca="false">+F7-G7</f>
        <v>#VALUE!</v>
      </c>
      <c r="I7" s="105" t="e">
        <f aca="false">1-G7/F7</f>
        <v>#VALUE!</v>
      </c>
      <c r="J7" s="104"/>
      <c r="K7" s="46"/>
    </row>
    <row r="8" customFormat="false" ht="15" hidden="false" customHeight="true" outlineLevel="0" collapsed="false">
      <c r="A8" s="99"/>
      <c r="B8" s="100"/>
      <c r="C8" s="101"/>
      <c r="D8" s="101" t="s">
        <v>65</v>
      </c>
      <c r="E8" s="102" t="s">
        <v>85</v>
      </c>
      <c r="F8" s="102" t="e">
        <f aca="false">+E8+H7</f>
        <v>#VALUE!</v>
      </c>
      <c r="G8" s="103"/>
      <c r="H8" s="104" t="e">
        <f aca="false">+F8-G8</f>
        <v>#VALUE!</v>
      </c>
      <c r="I8" s="105" t="e">
        <f aca="false">1-G8/F8</f>
        <v>#VALUE!</v>
      </c>
      <c r="J8" s="104"/>
      <c r="K8" s="106" t="s">
        <v>86</v>
      </c>
      <c r="L8" s="107" t="s">
        <v>87</v>
      </c>
    </row>
    <row r="9" customFormat="false" ht="15" hidden="true" customHeight="true" outlineLevel="0" collapsed="false">
      <c r="A9" s="99" t="s">
        <v>88</v>
      </c>
      <c r="B9" s="108" t="s">
        <v>89</v>
      </c>
      <c r="C9" s="109"/>
      <c r="D9" s="110" t="s">
        <v>71</v>
      </c>
      <c r="E9" s="111"/>
      <c r="F9" s="111" t="n">
        <f aca="false">+E9</f>
        <v>0</v>
      </c>
      <c r="G9" s="112"/>
      <c r="H9" s="113" t="n">
        <f aca="false">+F9-G9</f>
        <v>0</v>
      </c>
      <c r="I9" s="105" t="e">
        <f aca="false">1-G9/F9</f>
        <v>#DIV/0!</v>
      </c>
      <c r="J9" s="113"/>
      <c r="K9" s="114"/>
      <c r="L9" s="115"/>
    </row>
    <row r="10" customFormat="false" ht="15" hidden="true" customHeight="true" outlineLevel="0" collapsed="false">
      <c r="A10" s="99"/>
      <c r="B10" s="108"/>
      <c r="C10" s="109"/>
      <c r="D10" s="110" t="s">
        <v>72</v>
      </c>
      <c r="E10" s="111"/>
      <c r="F10" s="111" t="n">
        <f aca="false">+E10+H9</f>
        <v>0</v>
      </c>
      <c r="G10" s="112"/>
      <c r="H10" s="113" t="n">
        <f aca="false">+F10-G10</f>
        <v>0</v>
      </c>
      <c r="I10" s="105" t="e">
        <f aca="false">1-G10/F10</f>
        <v>#DIV/0!</v>
      </c>
      <c r="J10" s="113"/>
      <c r="K10" s="114"/>
      <c r="L10" s="115"/>
    </row>
    <row r="11" customFormat="false" ht="15" hidden="false" customHeight="true" outlineLevel="0" collapsed="false">
      <c r="A11" s="116" t="s">
        <v>29</v>
      </c>
      <c r="B11" s="117" t="s">
        <v>90</v>
      </c>
      <c r="C11" s="109" t="n">
        <f aca="false">+E11</f>
        <v>120</v>
      </c>
      <c r="D11" s="110" t="s">
        <v>91</v>
      </c>
      <c r="E11" s="118" t="n">
        <v>120</v>
      </c>
      <c r="F11" s="111" t="n">
        <f aca="false">+E11</f>
        <v>120</v>
      </c>
      <c r="G11" s="119" t="n">
        <v>4.561</v>
      </c>
      <c r="H11" s="113" t="n">
        <f aca="false">+F11-G11</f>
        <v>115.439</v>
      </c>
      <c r="I11" s="120" t="n">
        <f aca="false">1-G11/F11</f>
        <v>0.961991666666667</v>
      </c>
      <c r="J11" s="113"/>
      <c r="K11" s="121" t="n">
        <v>0.633</v>
      </c>
      <c r="L11" s="122" t="n">
        <v>4.036</v>
      </c>
    </row>
    <row r="12" customFormat="false" ht="15" hidden="false" customHeight="true" outlineLevel="0" collapsed="false">
      <c r="A12" s="123" t="s">
        <v>31</v>
      </c>
      <c r="B12" s="110" t="s">
        <v>90</v>
      </c>
      <c r="C12" s="109" t="n">
        <f aca="false">+E12</f>
        <v>1</v>
      </c>
      <c r="D12" s="110" t="s">
        <v>77</v>
      </c>
      <c r="E12" s="118" t="n">
        <v>1</v>
      </c>
      <c r="F12" s="111" t="n">
        <f aca="false">+E12</f>
        <v>1</v>
      </c>
      <c r="G12" s="113" t="n">
        <v>0</v>
      </c>
      <c r="H12" s="113" t="n">
        <f aca="false">+F12-G12</f>
        <v>1</v>
      </c>
      <c r="I12" s="120" t="n">
        <f aca="false">1-G12/F12</f>
        <v>1</v>
      </c>
      <c r="J12" s="113"/>
      <c r="K12" s="121" t="n">
        <v>0</v>
      </c>
      <c r="L12" s="122" t="n">
        <v>4.384</v>
      </c>
    </row>
    <row r="13" customFormat="false" ht="15" hidden="false" customHeight="true" outlineLevel="0" collapsed="false">
      <c r="A13" s="124" t="s">
        <v>36</v>
      </c>
      <c r="B13" s="117" t="s">
        <v>90</v>
      </c>
      <c r="C13" s="109" t="n">
        <f aca="false">+E13</f>
        <v>204</v>
      </c>
      <c r="D13" s="110" t="s">
        <v>77</v>
      </c>
      <c r="E13" s="118" t="n">
        <v>204</v>
      </c>
      <c r="F13" s="111" t="n">
        <f aca="false">+E13</f>
        <v>204</v>
      </c>
      <c r="G13" s="125" t="n">
        <v>347.363</v>
      </c>
      <c r="H13" s="113" t="n">
        <f aca="false">+F13-G13</f>
        <v>-143.363</v>
      </c>
      <c r="I13" s="120" t="n">
        <f aca="false">1-G13/F13</f>
        <v>-0.702759803921569</v>
      </c>
      <c r="J13" s="126" t="s">
        <v>92</v>
      </c>
      <c r="K13" s="121" t="n">
        <v>351.787</v>
      </c>
      <c r="L13" s="122" t="n">
        <v>0.282</v>
      </c>
    </row>
    <row r="14" customFormat="false" ht="15" hidden="false" customHeight="true" outlineLevel="0" collapsed="false">
      <c r="A14" s="123" t="s">
        <v>24</v>
      </c>
      <c r="B14" s="110" t="s">
        <v>90</v>
      </c>
      <c r="C14" s="109" t="n">
        <f aca="false">+E14</f>
        <v>20</v>
      </c>
      <c r="D14" s="110" t="s">
        <v>77</v>
      </c>
      <c r="E14" s="118" t="n">
        <v>20</v>
      </c>
      <c r="F14" s="111" t="n">
        <f aca="false">+E14</f>
        <v>20</v>
      </c>
      <c r="G14" s="113" t="n">
        <v>15.67</v>
      </c>
      <c r="H14" s="113" t="n">
        <f aca="false">+F14-G14</f>
        <v>4.33</v>
      </c>
      <c r="I14" s="120" t="n">
        <f aca="false">1-G14/F14</f>
        <v>0.2165</v>
      </c>
      <c r="J14" s="113"/>
      <c r="K14" s="121" t="n">
        <v>0</v>
      </c>
      <c r="L14" s="122" t="n">
        <v>19.414</v>
      </c>
    </row>
    <row r="15" customFormat="false" ht="15" hidden="false" customHeight="true" outlineLevel="0" collapsed="false">
      <c r="A15" s="124" t="s">
        <v>15</v>
      </c>
      <c r="B15" s="110" t="s">
        <v>90</v>
      </c>
      <c r="C15" s="109" t="n">
        <f aca="false">+E15</f>
        <v>20</v>
      </c>
      <c r="D15" s="110" t="s">
        <v>77</v>
      </c>
      <c r="E15" s="118" t="n">
        <v>20</v>
      </c>
      <c r="F15" s="111" t="n">
        <f aca="false">+E15</f>
        <v>20</v>
      </c>
      <c r="G15" s="113" t="n">
        <v>0</v>
      </c>
      <c r="H15" s="113" t="n">
        <f aca="false">+F15-G15</f>
        <v>20</v>
      </c>
      <c r="I15" s="120" t="n">
        <f aca="false">1-G15/F15</f>
        <v>1</v>
      </c>
      <c r="J15" s="113"/>
      <c r="K15" s="121" t="n">
        <v>0</v>
      </c>
      <c r="L15" s="122" t="n">
        <v>0</v>
      </c>
    </row>
    <row r="16" customFormat="false" ht="15" hidden="false" customHeight="true" outlineLevel="0" collapsed="false">
      <c r="A16" s="123" t="s">
        <v>27</v>
      </c>
      <c r="B16" s="110" t="s">
        <v>90</v>
      </c>
      <c r="C16" s="109" t="n">
        <f aca="false">+E16</f>
        <v>12</v>
      </c>
      <c r="D16" s="110"/>
      <c r="E16" s="118" t="n">
        <v>12</v>
      </c>
      <c r="F16" s="111" t="n">
        <f aca="false">+E16</f>
        <v>12</v>
      </c>
      <c r="G16" s="113" t="n">
        <v>20.682</v>
      </c>
      <c r="H16" s="113" t="n">
        <f aca="false">+F16-G16</f>
        <v>-8.682</v>
      </c>
      <c r="I16" s="120" t="n">
        <f aca="false">1-G16/F16</f>
        <v>-0.7235</v>
      </c>
      <c r="J16" s="113"/>
      <c r="K16" s="121" t="n">
        <v>0</v>
      </c>
      <c r="L16" s="122" t="n">
        <v>20.682</v>
      </c>
    </row>
    <row r="17" customFormat="false" ht="15" hidden="false" customHeight="true" outlineLevel="0" collapsed="false">
      <c r="A17" s="124" t="s">
        <v>17</v>
      </c>
      <c r="B17" s="117" t="s">
        <v>90</v>
      </c>
      <c r="C17" s="109" t="n">
        <v>285</v>
      </c>
      <c r="D17" s="110" t="s">
        <v>93</v>
      </c>
      <c r="E17" s="118" t="n">
        <v>285</v>
      </c>
      <c r="F17" s="111" t="n">
        <f aca="false">+E17</f>
        <v>285</v>
      </c>
      <c r="G17" s="113" t="n">
        <v>388.564</v>
      </c>
      <c r="H17" s="113" t="n">
        <f aca="false">+F17-G17</f>
        <v>-103.564</v>
      </c>
      <c r="I17" s="120" t="n">
        <f aca="false">1-G17/F17</f>
        <v>-0.363382456140351</v>
      </c>
      <c r="J17" s="126" t="s">
        <v>94</v>
      </c>
      <c r="K17" s="127" t="n">
        <v>6.336</v>
      </c>
      <c r="L17" s="122" t="n">
        <v>382.228</v>
      </c>
    </row>
    <row r="18" customFormat="false" ht="15" hidden="false" customHeight="true" outlineLevel="0" collapsed="false">
      <c r="A18" s="128"/>
      <c r="B18" s="129"/>
      <c r="C18" s="130"/>
      <c r="D18" s="131"/>
      <c r="E18" s="132"/>
      <c r="F18" s="133"/>
      <c r="G18" s="134"/>
      <c r="H18" s="134"/>
      <c r="I18" s="13"/>
      <c r="J18" s="135"/>
      <c r="K18" s="136"/>
      <c r="L18" s="137"/>
    </row>
    <row r="19" customFormat="false" ht="15" hidden="false" customHeight="true" outlineLevel="0" collapsed="false">
      <c r="A19" s="128"/>
      <c r="B19" s="129"/>
      <c r="C19" s="130"/>
      <c r="D19" s="131"/>
      <c r="E19" s="132"/>
      <c r="F19" s="133"/>
      <c r="G19" s="134"/>
      <c r="H19" s="134"/>
      <c r="I19" s="13"/>
      <c r="J19" s="135"/>
      <c r="K19" s="136"/>
      <c r="L19" s="137"/>
    </row>
    <row r="20" customFormat="false" ht="15" hidden="false" customHeight="true" outlineLevel="0" collapsed="false">
      <c r="A20" s="128"/>
      <c r="B20" s="129"/>
      <c r="C20" s="130"/>
      <c r="D20" s="131"/>
      <c r="E20" s="132"/>
      <c r="F20" s="133"/>
      <c r="G20" s="134"/>
      <c r="H20" s="134"/>
      <c r="I20" s="13"/>
      <c r="J20" s="135"/>
      <c r="K20" s="136"/>
      <c r="L20" s="137"/>
    </row>
    <row r="21" customFormat="false" ht="13.8" hidden="false" customHeight="false" outlineLevel="0" collapsed="false">
      <c r="A21" s="138"/>
      <c r="B21" s="138"/>
      <c r="C21" s="130"/>
      <c r="D21" s="131"/>
      <c r="E21" s="139"/>
      <c r="F21" s="139"/>
      <c r="G21" s="140"/>
      <c r="H21" s="141"/>
      <c r="I21" s="13"/>
      <c r="J21" s="142"/>
      <c r="K21" s="46"/>
    </row>
    <row r="22" customFormat="false" ht="15.6" hidden="false" customHeight="false" outlineLevel="0" collapsed="false">
      <c r="A22" s="143" t="s">
        <v>3</v>
      </c>
      <c r="B22" s="143" t="s">
        <v>4</v>
      </c>
      <c r="C22" s="50" t="s">
        <v>95</v>
      </c>
      <c r="D22" s="98" t="s">
        <v>46</v>
      </c>
      <c r="E22" s="144" t="s">
        <v>96</v>
      </c>
      <c r="F22" s="144"/>
      <c r="G22" s="145" t="s">
        <v>97</v>
      </c>
      <c r="H22" s="144" t="s">
        <v>98</v>
      </c>
      <c r="I22" s="144"/>
      <c r="J22" s="144" t="s">
        <v>99</v>
      </c>
      <c r="K22" s="146"/>
    </row>
    <row r="23" customFormat="false" ht="13.8" hidden="false" customHeight="true" outlineLevel="0" collapsed="false">
      <c r="A23" s="99" t="s">
        <v>100</v>
      </c>
      <c r="B23" s="147" t="s">
        <v>101</v>
      </c>
      <c r="C23" s="101" t="s">
        <v>102</v>
      </c>
      <c r="D23" s="147" t="s">
        <v>103</v>
      </c>
      <c r="E23" s="148" t="s">
        <v>104</v>
      </c>
      <c r="F23" s="148"/>
      <c r="G23" s="148" t="n">
        <v>5303.847</v>
      </c>
      <c r="H23" s="108" t="n">
        <f aca="false">+SUM(G23:G24)</f>
        <v>24315.386</v>
      </c>
      <c r="I23" s="108"/>
      <c r="J23" s="110"/>
      <c r="K23" s="46"/>
    </row>
    <row r="24" customFormat="false" ht="13.8" hidden="false" customHeight="false" outlineLevel="0" collapsed="false">
      <c r="A24" s="99"/>
      <c r="B24" s="147"/>
      <c r="C24" s="101"/>
      <c r="D24" s="147"/>
      <c r="E24" s="148" t="s">
        <v>105</v>
      </c>
      <c r="F24" s="148"/>
      <c r="G24" s="148" t="n">
        <v>19011.539</v>
      </c>
      <c r="H24" s="108"/>
      <c r="I24" s="108"/>
      <c r="J24" s="113"/>
      <c r="K24" s="149"/>
    </row>
    <row r="25" customFormat="false" ht="13.8" hidden="false" customHeight="true" outlineLevel="0" collapsed="false">
      <c r="A25" s="99" t="s">
        <v>106</v>
      </c>
      <c r="B25" s="147" t="s">
        <v>101</v>
      </c>
      <c r="C25" s="101" t="s">
        <v>102</v>
      </c>
      <c r="D25" s="147" t="s">
        <v>103</v>
      </c>
      <c r="E25" s="148" t="s">
        <v>104</v>
      </c>
      <c r="F25" s="148"/>
      <c r="G25" s="148" t="n">
        <v>20249.597</v>
      </c>
      <c r="H25" s="108" t="n">
        <f aca="false">+SUM(G25:G26)</f>
        <v>22942.812</v>
      </c>
      <c r="I25" s="108"/>
      <c r="J25" s="110"/>
      <c r="K25" s="46"/>
    </row>
    <row r="26" customFormat="false" ht="13.8" hidden="false" customHeight="false" outlineLevel="0" collapsed="false">
      <c r="A26" s="99"/>
      <c r="B26" s="147"/>
      <c r="C26" s="101"/>
      <c r="D26" s="147"/>
      <c r="E26" s="148" t="s">
        <v>105</v>
      </c>
      <c r="F26" s="148"/>
      <c r="G26" s="148" t="n">
        <v>2693.215</v>
      </c>
      <c r="H26" s="108"/>
      <c r="I26" s="108"/>
      <c r="J26" s="110"/>
      <c r="K26" s="46"/>
    </row>
    <row r="27" customFormat="false" ht="13.8" hidden="false" customHeight="true" outlineLevel="0" collapsed="false">
      <c r="A27" s="99" t="s">
        <v>107</v>
      </c>
      <c r="B27" s="147" t="s">
        <v>101</v>
      </c>
      <c r="C27" s="101" t="s">
        <v>102</v>
      </c>
      <c r="D27" s="147" t="s">
        <v>103</v>
      </c>
      <c r="E27" s="148" t="s">
        <v>104</v>
      </c>
      <c r="F27" s="148"/>
      <c r="G27" s="148" t="n">
        <v>5431.94</v>
      </c>
      <c r="H27" s="108" t="n">
        <f aca="false">+SUM(G27:G28)</f>
        <v>6349.617</v>
      </c>
      <c r="I27" s="108"/>
      <c r="J27" s="110"/>
      <c r="K27" s="46"/>
    </row>
    <row r="28" customFormat="false" ht="13.8" hidden="false" customHeight="true" outlineLevel="0" collapsed="false">
      <c r="A28" s="99"/>
      <c r="B28" s="147"/>
      <c r="C28" s="101"/>
      <c r="D28" s="147"/>
      <c r="E28" s="148" t="s">
        <v>105</v>
      </c>
      <c r="F28" s="148"/>
      <c r="G28" s="148" t="n">
        <v>917.677</v>
      </c>
      <c r="H28" s="108"/>
      <c r="I28" s="108"/>
      <c r="J28" s="110"/>
      <c r="K28" s="46"/>
    </row>
    <row r="29" customFormat="false" ht="13.8" hidden="false" customHeight="true" outlineLevel="0" collapsed="false">
      <c r="A29" s="99" t="s">
        <v>108</v>
      </c>
      <c r="B29" s="147" t="s">
        <v>109</v>
      </c>
      <c r="C29" s="101" t="s">
        <v>102</v>
      </c>
      <c r="D29" s="147" t="s">
        <v>103</v>
      </c>
      <c r="E29" s="148" t="s">
        <v>104</v>
      </c>
      <c r="F29" s="148"/>
      <c r="G29" s="148" t="n">
        <v>2057.096</v>
      </c>
      <c r="H29" s="108" t="n">
        <f aca="false">+SUM(G29:G30)</f>
        <v>2057.128</v>
      </c>
      <c r="I29" s="108"/>
      <c r="J29" s="110"/>
      <c r="K29" s="46"/>
    </row>
    <row r="30" customFormat="false" ht="13.8" hidden="false" customHeight="false" outlineLevel="0" collapsed="false">
      <c r="A30" s="99"/>
      <c r="B30" s="147"/>
      <c r="C30" s="101"/>
      <c r="D30" s="147"/>
      <c r="E30" s="148" t="s">
        <v>105</v>
      </c>
      <c r="F30" s="148"/>
      <c r="G30" s="150" t="n">
        <v>0.032</v>
      </c>
      <c r="H30" s="108"/>
      <c r="I30" s="108"/>
      <c r="J30" s="110"/>
      <c r="K30" s="46"/>
    </row>
    <row r="31" customFormat="false" ht="13.8" hidden="false" customHeight="false" outlineLevel="0" collapsed="false">
      <c r="A31" s="151" t="s">
        <v>110</v>
      </c>
      <c r="B31" s="151" t="s">
        <v>111</v>
      </c>
      <c r="C31" s="152" t="n">
        <v>138240</v>
      </c>
      <c r="D31" s="114" t="s">
        <v>112</v>
      </c>
      <c r="E31" s="148" t="s">
        <v>104</v>
      </c>
      <c r="F31" s="148"/>
      <c r="G31" s="150" t="n">
        <v>102545.48</v>
      </c>
      <c r="H31" s="153" t="n">
        <f aca="false">G32+G31</f>
        <v>127625.205</v>
      </c>
      <c r="I31" s="153"/>
      <c r="J31" s="153" t="n">
        <f aca="false">C31-G31</f>
        <v>35694.52</v>
      </c>
      <c r="K31" s="46"/>
    </row>
    <row r="32" customFormat="false" ht="13.8" hidden="false" customHeight="false" outlineLevel="0" collapsed="false">
      <c r="A32" s="151"/>
      <c r="B32" s="151"/>
      <c r="C32" s="152" t="n">
        <v>34560</v>
      </c>
      <c r="D32" s="154" t="s">
        <v>112</v>
      </c>
      <c r="E32" s="148" t="s">
        <v>105</v>
      </c>
      <c r="F32" s="148"/>
      <c r="G32" s="150" t="n">
        <v>25079.725</v>
      </c>
      <c r="H32" s="153"/>
      <c r="I32" s="153"/>
      <c r="J32" s="153" t="n">
        <f aca="false">C32-G32</f>
        <v>9480.275</v>
      </c>
      <c r="K32" s="46"/>
    </row>
    <row r="33" customFormat="false" ht="12.75" hidden="false" customHeight="true" outlineLevel="0" collapsed="false">
      <c r="A33" s="46"/>
      <c r="B33" s="46"/>
      <c r="C33" s="149"/>
      <c r="D33" s="149"/>
      <c r="E33" s="46"/>
      <c r="F33" s="46"/>
      <c r="G33" s="46"/>
      <c r="H33" s="46"/>
      <c r="I33" s="46"/>
      <c r="J33" s="46"/>
      <c r="K33" s="46"/>
    </row>
    <row r="34" customFormat="false" ht="13.8" hidden="false" customHeight="fals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</row>
    <row r="35" customFormat="false" ht="14.4" hidden="false" customHeight="false" outlineLevel="0" collapsed="false">
      <c r="G35" s="155"/>
    </row>
  </sheetData>
  <mergeCells count="51">
    <mergeCell ref="A2:J2"/>
    <mergeCell ref="A3:J3"/>
    <mergeCell ref="A5:A6"/>
    <mergeCell ref="B5:B6"/>
    <mergeCell ref="C5:C6"/>
    <mergeCell ref="D5:F5"/>
    <mergeCell ref="G5:G6"/>
    <mergeCell ref="H5:H6"/>
    <mergeCell ref="I5:I6"/>
    <mergeCell ref="J5:J6"/>
    <mergeCell ref="A7:A8"/>
    <mergeCell ref="B7:B8"/>
    <mergeCell ref="C7:C8"/>
    <mergeCell ref="A9:A10"/>
    <mergeCell ref="B9:B10"/>
    <mergeCell ref="C9:C10"/>
    <mergeCell ref="E22:F22"/>
    <mergeCell ref="H22:I22"/>
    <mergeCell ref="A23:A24"/>
    <mergeCell ref="B23:B24"/>
    <mergeCell ref="C23:C24"/>
    <mergeCell ref="D23:D24"/>
    <mergeCell ref="E23:F23"/>
    <mergeCell ref="H23:I24"/>
    <mergeCell ref="E24:F24"/>
    <mergeCell ref="A25:A26"/>
    <mergeCell ref="B25:B26"/>
    <mergeCell ref="C25:C26"/>
    <mergeCell ref="D25:D26"/>
    <mergeCell ref="E25:F25"/>
    <mergeCell ref="H25:I26"/>
    <mergeCell ref="E26:F26"/>
    <mergeCell ref="A27:A28"/>
    <mergeCell ref="B27:B28"/>
    <mergeCell ref="C27:C28"/>
    <mergeCell ref="D27:D28"/>
    <mergeCell ref="E27:F27"/>
    <mergeCell ref="H27:I28"/>
    <mergeCell ref="E28:F28"/>
    <mergeCell ref="A29:A30"/>
    <mergeCell ref="B29:B30"/>
    <mergeCell ref="C29:C30"/>
    <mergeCell ref="D29:D30"/>
    <mergeCell ref="E29:F29"/>
    <mergeCell ref="H29:I30"/>
    <mergeCell ref="E30:F30"/>
    <mergeCell ref="A31:A32"/>
    <mergeCell ref="B31:B32"/>
    <mergeCell ref="E31:F31"/>
    <mergeCell ref="H31:I32"/>
    <mergeCell ref="E32:F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2:N7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64" activeCellId="0" sqref="K64"/>
    </sheetView>
  </sheetViews>
  <sheetFormatPr defaultColWidth="11.0546875" defaultRowHeight="13.2" customHeight="false" zeroHeight="false" outlineLevelRow="0" outlineLevelCol="0"/>
  <cols>
    <col collapsed="false" customWidth="true" hidden="false" outlineLevel="0" max="1" min="1" style="0" width="23.1"/>
    <col collapsed="false" customWidth="true" hidden="false" outlineLevel="0" max="2" min="2" style="0" width="5.99"/>
    <col collapsed="false" customWidth="true" hidden="false" outlineLevel="0" max="3" min="3" style="0" width="15.87"/>
    <col collapsed="false" customWidth="true" hidden="false" outlineLevel="0" max="4" min="4" style="0" width="20.66"/>
    <col collapsed="false" customWidth="true" hidden="false" outlineLevel="0" max="6" min="6" style="0" width="10.43"/>
    <col collapsed="false" customWidth="true" hidden="false" outlineLevel="0" max="7" min="7" style="0" width="19.99"/>
    <col collapsed="false" customWidth="true" hidden="false" outlineLevel="0" max="8" min="8" style="0" width="11.87"/>
    <col collapsed="false" customWidth="true" hidden="false" outlineLevel="0" max="9" min="9" style="0" width="17.55"/>
    <col collapsed="false" customWidth="true" hidden="false" outlineLevel="0" max="10" min="10" style="0" width="18.33"/>
    <col collapsed="false" customWidth="true" hidden="false" outlineLevel="0" max="11" min="11" style="0" width="17.32"/>
    <col collapsed="false" customWidth="true" hidden="false" outlineLevel="0" max="12" min="12" style="156" width="14.66"/>
    <col collapsed="false" customWidth="true" hidden="false" outlineLevel="0" max="14" min="14" style="0" width="24.55"/>
  </cols>
  <sheetData>
    <row r="2" customFormat="false" ht="15.6" hidden="false" customHeight="false" outlineLevel="0" collapsed="false">
      <c r="A2" s="157" t="s">
        <v>113</v>
      </c>
      <c r="B2" s="157"/>
      <c r="C2" s="157"/>
      <c r="D2" s="157"/>
      <c r="E2" s="157"/>
      <c r="F2" s="157"/>
      <c r="G2" s="157"/>
      <c r="H2" s="157"/>
      <c r="I2" s="157"/>
      <c r="J2" s="157"/>
    </row>
    <row r="3" customFormat="false" ht="15.6" hidden="false" customHeight="false" outlineLevel="0" collapsed="false">
      <c r="A3" s="158" t="s">
        <v>114</v>
      </c>
      <c r="B3" s="158"/>
      <c r="C3" s="158"/>
      <c r="D3" s="158"/>
      <c r="E3" s="158"/>
      <c r="F3" s="158"/>
      <c r="G3" s="158"/>
      <c r="H3" s="158"/>
      <c r="I3" s="158"/>
      <c r="J3" s="158"/>
      <c r="L3" s="159"/>
    </row>
    <row r="4" customFormat="false" ht="15" hidden="false" customHeight="false" outlineLevel="0" collapsed="false">
      <c r="A4" s="160"/>
      <c r="B4" s="160"/>
      <c r="C4" s="160"/>
      <c r="D4" s="160"/>
      <c r="E4" s="160"/>
      <c r="F4" s="160"/>
      <c r="G4" s="160"/>
      <c r="H4" s="160"/>
      <c r="I4" s="160"/>
      <c r="J4" s="160"/>
      <c r="L4" s="161"/>
    </row>
    <row r="5" customFormat="false" ht="15" hidden="false" customHeight="true" outlineLevel="0" collapsed="false">
      <c r="A5" s="162" t="s">
        <v>3</v>
      </c>
      <c r="B5" s="162" t="s">
        <v>4</v>
      </c>
      <c r="C5" s="162" t="s">
        <v>5</v>
      </c>
      <c r="D5" s="163" t="s">
        <v>42</v>
      </c>
      <c r="E5" s="163"/>
      <c r="F5" s="163"/>
      <c r="G5" s="164" t="s">
        <v>43</v>
      </c>
      <c r="H5" s="165" t="s">
        <v>44</v>
      </c>
      <c r="I5" s="162" t="s">
        <v>45</v>
      </c>
      <c r="J5" s="162" t="s">
        <v>115</v>
      </c>
      <c r="L5" s="161"/>
    </row>
    <row r="6" customFormat="false" ht="16.2" hidden="false" customHeight="false" outlineLevel="0" collapsed="false">
      <c r="A6" s="162"/>
      <c r="B6" s="162"/>
      <c r="C6" s="162"/>
      <c r="D6" s="157" t="s">
        <v>46</v>
      </c>
      <c r="E6" s="157" t="s">
        <v>80</v>
      </c>
      <c r="F6" s="157" t="s">
        <v>81</v>
      </c>
      <c r="G6" s="164"/>
      <c r="H6" s="165"/>
      <c r="I6" s="162"/>
      <c r="J6" s="162"/>
      <c r="L6" s="166"/>
    </row>
    <row r="7" customFormat="false" ht="14.4" hidden="false" customHeight="true" outlineLevel="0" collapsed="false">
      <c r="A7" s="167" t="s">
        <v>15</v>
      </c>
      <c r="B7" s="168" t="s">
        <v>116</v>
      </c>
      <c r="C7" s="169" t="n">
        <f aca="false">+E7+E8+E9</f>
        <v>85</v>
      </c>
      <c r="D7" s="170" t="s">
        <v>58</v>
      </c>
      <c r="E7" s="171" t="n">
        <v>38</v>
      </c>
      <c r="F7" s="171" t="n">
        <f aca="false">+E7</f>
        <v>38</v>
      </c>
      <c r="G7" s="172"/>
      <c r="H7" s="173" t="n">
        <f aca="false">+F7-G7</f>
        <v>38</v>
      </c>
      <c r="I7" s="174" t="n">
        <f aca="false">1-G7/F7</f>
        <v>1</v>
      </c>
      <c r="J7" s="175"/>
      <c r="L7" s="166"/>
    </row>
    <row r="8" customFormat="false" ht="14.4" hidden="false" customHeight="false" outlineLevel="0" collapsed="false">
      <c r="A8" s="167"/>
      <c r="B8" s="168"/>
      <c r="C8" s="169"/>
      <c r="D8" s="176" t="s">
        <v>59</v>
      </c>
      <c r="E8" s="63" t="n">
        <v>21</v>
      </c>
      <c r="F8" s="63" t="n">
        <f aca="false">+E8+H7</f>
        <v>59</v>
      </c>
      <c r="G8" s="177"/>
      <c r="H8" s="178" t="n">
        <f aca="false">+F8-G8</f>
        <v>59</v>
      </c>
      <c r="I8" s="179" t="n">
        <f aca="false">1-G8/F8</f>
        <v>1</v>
      </c>
      <c r="J8" s="180"/>
      <c r="L8" s="166"/>
    </row>
    <row r="9" customFormat="false" ht="15" hidden="false" customHeight="false" outlineLevel="0" collapsed="false">
      <c r="A9" s="167"/>
      <c r="B9" s="168"/>
      <c r="C9" s="169"/>
      <c r="D9" s="181" t="s">
        <v>117</v>
      </c>
      <c r="E9" s="182" t="n">
        <v>26</v>
      </c>
      <c r="F9" s="182" t="n">
        <f aca="false">+E9+H8</f>
        <v>85</v>
      </c>
      <c r="G9" s="183"/>
      <c r="H9" s="184" t="n">
        <f aca="false">+F9-G9</f>
        <v>85</v>
      </c>
      <c r="I9" s="185" t="n">
        <f aca="false">1-G9/F9</f>
        <v>1</v>
      </c>
      <c r="J9" s="186"/>
      <c r="L9" s="166"/>
    </row>
    <row r="10" customFormat="false" ht="14.4" hidden="false" customHeight="true" outlineLevel="0" collapsed="false">
      <c r="A10" s="167"/>
      <c r="B10" s="187" t="s">
        <v>118</v>
      </c>
      <c r="C10" s="169" t="n">
        <f aca="false">+E10+E11+E12</f>
        <v>260</v>
      </c>
      <c r="D10" s="170" t="s">
        <v>58</v>
      </c>
      <c r="E10" s="171" t="n">
        <v>117</v>
      </c>
      <c r="F10" s="171" t="n">
        <f aca="false">+E10</f>
        <v>117</v>
      </c>
      <c r="G10" s="188" t="n">
        <v>4.801</v>
      </c>
      <c r="H10" s="173" t="n">
        <f aca="false">+F10-G10</f>
        <v>112.199</v>
      </c>
      <c r="I10" s="174" t="n">
        <f aca="false">1-G10/F10</f>
        <v>0.958965811965812</v>
      </c>
      <c r="J10" s="175"/>
      <c r="K10" s="189"/>
      <c r="L10" s="166"/>
    </row>
    <row r="11" customFormat="false" ht="14.4" hidden="false" customHeight="false" outlineLevel="0" collapsed="false">
      <c r="A11" s="167"/>
      <c r="B11" s="187"/>
      <c r="C11" s="169"/>
      <c r="D11" s="176" t="s">
        <v>59</v>
      </c>
      <c r="E11" s="63" t="n">
        <v>65</v>
      </c>
      <c r="F11" s="63" t="n">
        <f aca="false">+E11+H10</f>
        <v>177.199</v>
      </c>
      <c r="G11" s="190"/>
      <c r="H11" s="178" t="n">
        <f aca="false">+F11-G11</f>
        <v>177.199</v>
      </c>
      <c r="I11" s="179" t="n">
        <f aca="false">1-G11/F11</f>
        <v>1</v>
      </c>
      <c r="J11" s="180"/>
      <c r="K11" s="189"/>
      <c r="L11" s="166"/>
    </row>
    <row r="12" customFormat="false" ht="15" hidden="false" customHeight="false" outlineLevel="0" collapsed="false">
      <c r="A12" s="167"/>
      <c r="B12" s="187"/>
      <c r="C12" s="169"/>
      <c r="D12" s="181" t="s">
        <v>117</v>
      </c>
      <c r="E12" s="182" t="n">
        <v>78</v>
      </c>
      <c r="F12" s="182" t="n">
        <f aca="false">+E12+H11</f>
        <v>255.199</v>
      </c>
      <c r="G12" s="191" t="n">
        <v>4.776</v>
      </c>
      <c r="H12" s="184" t="n">
        <f aca="false">+F12-G12</f>
        <v>250.423</v>
      </c>
      <c r="I12" s="185" t="n">
        <f aca="false">1-G12/F12</f>
        <v>0.981285193123798</v>
      </c>
      <c r="J12" s="192"/>
      <c r="K12" s="189"/>
      <c r="L12" s="166"/>
    </row>
    <row r="13" customFormat="false" ht="14.4" hidden="false" customHeight="false" outlineLevel="0" collapsed="false">
      <c r="A13" s="167"/>
      <c r="B13" s="193" t="s">
        <v>119</v>
      </c>
      <c r="C13" s="169" t="n">
        <f aca="false">+E13+E14+E15</f>
        <v>770</v>
      </c>
      <c r="D13" s="170" t="s">
        <v>58</v>
      </c>
      <c r="E13" s="171" t="n">
        <v>347</v>
      </c>
      <c r="F13" s="171" t="n">
        <f aca="false">+E13</f>
        <v>347</v>
      </c>
      <c r="G13" s="188" t="n">
        <v>348.613</v>
      </c>
      <c r="H13" s="173" t="n">
        <f aca="false">+F13-G13</f>
        <v>-1.613</v>
      </c>
      <c r="I13" s="174" t="n">
        <f aca="false">1-G13/F13</f>
        <v>-0.00464841498559077</v>
      </c>
      <c r="J13" s="194" t="s">
        <v>120</v>
      </c>
      <c r="K13" s="189"/>
      <c r="L13" s="195"/>
    </row>
    <row r="14" customFormat="false" ht="13.8" hidden="false" customHeight="false" outlineLevel="0" collapsed="false">
      <c r="A14" s="167"/>
      <c r="B14" s="193"/>
      <c r="C14" s="169"/>
      <c r="D14" s="176" t="s">
        <v>59</v>
      </c>
      <c r="E14" s="63" t="n">
        <v>193</v>
      </c>
      <c r="F14" s="63" t="n">
        <f aca="false">+E14+H13</f>
        <v>191.387</v>
      </c>
      <c r="G14" s="190" t="n">
        <v>212.248</v>
      </c>
      <c r="H14" s="178" t="n">
        <f aca="false">+F14-G14</f>
        <v>-20.861</v>
      </c>
      <c r="I14" s="179" t="n">
        <f aca="false">1-G14/F14</f>
        <v>-0.108999043822203</v>
      </c>
      <c r="J14" s="196" t="s">
        <v>121</v>
      </c>
      <c r="K14" s="189"/>
      <c r="L14" s="197"/>
    </row>
    <row r="15" customFormat="false" ht="14.4" hidden="false" customHeight="false" outlineLevel="0" collapsed="false">
      <c r="A15" s="167"/>
      <c r="B15" s="193"/>
      <c r="C15" s="169"/>
      <c r="D15" s="181" t="s">
        <v>117</v>
      </c>
      <c r="E15" s="182" t="n">
        <v>230</v>
      </c>
      <c r="F15" s="182" t="n">
        <f aca="false">+E15+H14</f>
        <v>209.139</v>
      </c>
      <c r="G15" s="191" t="n">
        <v>219.846</v>
      </c>
      <c r="H15" s="184" t="n">
        <f aca="false">+F15-G15</f>
        <v>-10.707</v>
      </c>
      <c r="I15" s="185" t="n">
        <f aca="false">1-G15/F15</f>
        <v>-0.051195616312596</v>
      </c>
      <c r="J15" s="198" t="s">
        <v>122</v>
      </c>
      <c r="K15" s="189"/>
      <c r="L15" s="197"/>
    </row>
    <row r="16" customFormat="false" ht="13.8" hidden="false" customHeight="false" outlineLevel="0" collapsed="false">
      <c r="A16" s="167"/>
      <c r="B16" s="193" t="s">
        <v>123</v>
      </c>
      <c r="C16" s="169" t="n">
        <f aca="false">+E16+E17+E18</f>
        <v>705</v>
      </c>
      <c r="D16" s="170" t="s">
        <v>58</v>
      </c>
      <c r="E16" s="171" t="n">
        <v>317</v>
      </c>
      <c r="F16" s="171" t="n">
        <f aca="false">+E16</f>
        <v>317</v>
      </c>
      <c r="G16" s="188" t="n">
        <v>306.075</v>
      </c>
      <c r="H16" s="173" t="n">
        <f aca="false">+F16-G16</f>
        <v>10.925</v>
      </c>
      <c r="I16" s="174" t="n">
        <f aca="false">1-G16/F16</f>
        <v>0.0344637223974764</v>
      </c>
      <c r="J16" s="194" t="s">
        <v>124</v>
      </c>
      <c r="L16" s="197"/>
    </row>
    <row r="17" customFormat="false" ht="13.8" hidden="false" customHeight="false" outlineLevel="0" collapsed="false">
      <c r="A17" s="167"/>
      <c r="B17" s="193"/>
      <c r="C17" s="169"/>
      <c r="D17" s="176" t="s">
        <v>59</v>
      </c>
      <c r="E17" s="63" t="n">
        <v>176</v>
      </c>
      <c r="F17" s="63" t="n">
        <f aca="false">+E17+H16</f>
        <v>186.925</v>
      </c>
      <c r="G17" s="190" t="n">
        <v>175.99</v>
      </c>
      <c r="H17" s="178" t="n">
        <f aca="false">+F17-G17</f>
        <v>10.935</v>
      </c>
      <c r="I17" s="179" t="n">
        <f aca="false">1-G17/F17</f>
        <v>0.05849939815434</v>
      </c>
      <c r="J17" s="196" t="s">
        <v>125</v>
      </c>
      <c r="L17" s="197"/>
    </row>
    <row r="18" customFormat="false" ht="14.4" hidden="false" customHeight="false" outlineLevel="0" collapsed="false">
      <c r="A18" s="167"/>
      <c r="B18" s="193"/>
      <c r="C18" s="169"/>
      <c r="D18" s="181" t="s">
        <v>117</v>
      </c>
      <c r="E18" s="182" t="n">
        <v>212</v>
      </c>
      <c r="F18" s="182" t="n">
        <f aca="false">+E18+H17</f>
        <v>222.935</v>
      </c>
      <c r="G18" s="191" t="n">
        <v>228.04</v>
      </c>
      <c r="H18" s="184" t="n">
        <f aca="false">+F18-G18</f>
        <v>-5.10499999999999</v>
      </c>
      <c r="I18" s="185" t="n">
        <f aca="false">1-G18/F18</f>
        <v>-0.0228990512929776</v>
      </c>
      <c r="J18" s="198" t="s">
        <v>126</v>
      </c>
      <c r="L18" s="197"/>
    </row>
    <row r="19" customFormat="false" ht="13.8" hidden="false" customHeight="false" outlineLevel="0" collapsed="false">
      <c r="A19" s="167"/>
      <c r="B19" s="193" t="s">
        <v>127</v>
      </c>
      <c r="C19" s="169" t="n">
        <f aca="false">+E19+E20+E21</f>
        <v>642</v>
      </c>
      <c r="D19" s="170" t="s">
        <v>58</v>
      </c>
      <c r="E19" s="171" t="n">
        <v>289</v>
      </c>
      <c r="F19" s="171" t="n">
        <f aca="false">+E19</f>
        <v>289</v>
      </c>
      <c r="G19" s="188" t="n">
        <v>295.536</v>
      </c>
      <c r="H19" s="173" t="n">
        <f aca="false">+F19-G19</f>
        <v>-6.536</v>
      </c>
      <c r="I19" s="174" t="n">
        <f aca="false">1-G19/F19</f>
        <v>-0.0226159169550173</v>
      </c>
      <c r="J19" s="194" t="s">
        <v>94</v>
      </c>
      <c r="K19" s="189"/>
      <c r="L19" s="197"/>
    </row>
    <row r="20" customFormat="false" ht="14.4" hidden="false" customHeight="false" outlineLevel="0" collapsed="false">
      <c r="A20" s="167"/>
      <c r="B20" s="193"/>
      <c r="C20" s="169"/>
      <c r="D20" s="176" t="s">
        <v>59</v>
      </c>
      <c r="E20" s="63" t="n">
        <v>161</v>
      </c>
      <c r="F20" s="63" t="n">
        <f aca="false">+E20+H19</f>
        <v>154.464</v>
      </c>
      <c r="G20" s="199" t="n">
        <v>164.559</v>
      </c>
      <c r="H20" s="200" t="n">
        <f aca="false">+F20-G20</f>
        <v>-10.095</v>
      </c>
      <c r="I20" s="179" t="n">
        <f aca="false">1-G20/F20</f>
        <v>-0.0653550341827223</v>
      </c>
      <c r="J20" s="196" t="s">
        <v>128</v>
      </c>
      <c r="K20" s="201"/>
      <c r="L20" s="202"/>
      <c r="M20" s="203"/>
      <c r="N20" s="203"/>
    </row>
    <row r="21" customFormat="false" ht="14.4" hidden="false" customHeight="false" outlineLevel="0" collapsed="false">
      <c r="A21" s="167"/>
      <c r="B21" s="193"/>
      <c r="C21" s="169"/>
      <c r="D21" s="181" t="s">
        <v>117</v>
      </c>
      <c r="E21" s="182" t="n">
        <v>192</v>
      </c>
      <c r="F21" s="204" t="n">
        <f aca="false">+E21+H20</f>
        <v>181.905</v>
      </c>
      <c r="G21" s="191" t="n">
        <v>177.565</v>
      </c>
      <c r="H21" s="184" t="n">
        <f aca="false">+F21-G21</f>
        <v>4.34</v>
      </c>
      <c r="I21" s="185" t="n">
        <f aca="false">1-G21/F21</f>
        <v>0.0238586075149116</v>
      </c>
      <c r="J21" s="198" t="s">
        <v>129</v>
      </c>
      <c r="L21" s="205"/>
      <c r="M21" s="203"/>
      <c r="N21" s="203"/>
    </row>
    <row r="22" customFormat="false" ht="13.8" hidden="false" customHeight="false" outlineLevel="0" collapsed="false">
      <c r="A22" s="167"/>
      <c r="B22" s="193" t="s">
        <v>130</v>
      </c>
      <c r="C22" s="169" t="n">
        <f aca="false">+E22+E23+E24</f>
        <v>1052</v>
      </c>
      <c r="D22" s="170" t="s">
        <v>58</v>
      </c>
      <c r="E22" s="171" t="n">
        <v>473</v>
      </c>
      <c r="F22" s="171" t="n">
        <f aca="false">+E22</f>
        <v>473</v>
      </c>
      <c r="G22" s="188" t="n">
        <v>465.613</v>
      </c>
      <c r="H22" s="173" t="n">
        <f aca="false">+F22-G22</f>
        <v>7.387</v>
      </c>
      <c r="I22" s="174" t="n">
        <f aca="false">1-G22/F22</f>
        <v>0.0156173361522198</v>
      </c>
      <c r="J22" s="194" t="s">
        <v>131</v>
      </c>
      <c r="K22" s="189"/>
      <c r="L22" s="205"/>
      <c r="M22" s="203"/>
      <c r="N22" s="203"/>
    </row>
    <row r="23" customFormat="false" ht="13.8" hidden="false" customHeight="false" outlineLevel="0" collapsed="false">
      <c r="A23" s="167"/>
      <c r="B23" s="193"/>
      <c r="C23" s="169"/>
      <c r="D23" s="176" t="s">
        <v>59</v>
      </c>
      <c r="E23" s="63" t="n">
        <v>263</v>
      </c>
      <c r="F23" s="63" t="n">
        <f aca="false">+E23+H22</f>
        <v>270.387</v>
      </c>
      <c r="G23" s="199" t="n">
        <v>119.318</v>
      </c>
      <c r="H23" s="178" t="n">
        <f aca="false">+F23-G23</f>
        <v>151.069</v>
      </c>
      <c r="I23" s="179" t="n">
        <f aca="false">1-G23/F23</f>
        <v>0.558713991427103</v>
      </c>
      <c r="J23" s="206"/>
      <c r="K23" s="207"/>
      <c r="L23" s="205"/>
      <c r="M23" s="203"/>
      <c r="N23" s="203"/>
    </row>
    <row r="24" customFormat="false" ht="14.4" hidden="false" customHeight="false" outlineLevel="0" collapsed="false">
      <c r="A24" s="167"/>
      <c r="B24" s="193"/>
      <c r="C24" s="169"/>
      <c r="D24" s="181" t="s">
        <v>117</v>
      </c>
      <c r="E24" s="182" t="n">
        <v>316</v>
      </c>
      <c r="F24" s="182" t="n">
        <f aca="false">+E24+H23</f>
        <v>467.069</v>
      </c>
      <c r="G24" s="191" t="n">
        <v>469.885</v>
      </c>
      <c r="H24" s="184" t="n">
        <f aca="false">+F24-G24</f>
        <v>-2.81599999999997</v>
      </c>
      <c r="I24" s="185" t="n">
        <f aca="false">1-G24/F24</f>
        <v>-0.00602908777932165</v>
      </c>
      <c r="J24" s="198" t="s">
        <v>132</v>
      </c>
      <c r="K24" s="137"/>
      <c r="L24" s="205"/>
      <c r="M24" s="203"/>
      <c r="N24" s="203"/>
    </row>
    <row r="25" customFormat="false" ht="13.8" hidden="false" customHeight="true" outlineLevel="0" collapsed="false">
      <c r="A25" s="167"/>
      <c r="B25" s="168" t="s">
        <v>133</v>
      </c>
      <c r="C25" s="169" t="n">
        <f aca="false">+E25+E26+E27</f>
        <v>442</v>
      </c>
      <c r="D25" s="170" t="s">
        <v>58</v>
      </c>
      <c r="E25" s="171" t="n">
        <v>199</v>
      </c>
      <c r="F25" s="171" t="n">
        <f aca="false">+E25</f>
        <v>199</v>
      </c>
      <c r="G25" s="188" t="n">
        <v>32.881</v>
      </c>
      <c r="H25" s="173" t="n">
        <f aca="false">+F25-G25</f>
        <v>166.119</v>
      </c>
      <c r="I25" s="174" t="n">
        <f aca="false">1-G25/F25</f>
        <v>0.834768844221106</v>
      </c>
      <c r="J25" s="208"/>
      <c r="L25" s="205"/>
      <c r="M25" s="203"/>
      <c r="N25" s="203"/>
    </row>
    <row r="26" customFormat="false" ht="13.8" hidden="false" customHeight="false" outlineLevel="0" collapsed="false">
      <c r="A26" s="167"/>
      <c r="B26" s="168"/>
      <c r="C26" s="169"/>
      <c r="D26" s="176" t="s">
        <v>59</v>
      </c>
      <c r="E26" s="63" t="n">
        <v>110</v>
      </c>
      <c r="F26" s="63" t="n">
        <f aca="false">+E26+H25</f>
        <v>276.119</v>
      </c>
      <c r="G26" s="190" t="n">
        <v>1.716</v>
      </c>
      <c r="H26" s="178" t="n">
        <f aca="false">+F26-G26</f>
        <v>274.403</v>
      </c>
      <c r="I26" s="179" t="n">
        <f aca="false">1-G26/F26</f>
        <v>0.993785288227177</v>
      </c>
      <c r="J26" s="209"/>
      <c r="K26" s="189"/>
      <c r="L26" s="205"/>
      <c r="M26" s="203"/>
      <c r="N26" s="203"/>
    </row>
    <row r="27" customFormat="false" ht="14.4" hidden="false" customHeight="false" outlineLevel="0" collapsed="false">
      <c r="A27" s="167"/>
      <c r="B27" s="168"/>
      <c r="C27" s="169"/>
      <c r="D27" s="181" t="s">
        <v>117</v>
      </c>
      <c r="E27" s="182" t="n">
        <v>133</v>
      </c>
      <c r="F27" s="182" t="n">
        <f aca="false">+E27+H26</f>
        <v>407.403</v>
      </c>
      <c r="G27" s="191" t="n">
        <v>74.824</v>
      </c>
      <c r="H27" s="184" t="n">
        <f aca="false">+F27-G27</f>
        <v>332.579</v>
      </c>
      <c r="I27" s="185" t="n">
        <f aca="false">1-G27/F27</f>
        <v>0.816339104032126</v>
      </c>
      <c r="J27" s="210"/>
      <c r="L27" s="205"/>
      <c r="M27" s="203"/>
      <c r="N27" s="203"/>
    </row>
    <row r="28" customFormat="false" ht="13.8" hidden="false" customHeight="false" outlineLevel="0" collapsed="false">
      <c r="A28" s="211" t="s">
        <v>24</v>
      </c>
      <c r="B28" s="193" t="s">
        <v>118</v>
      </c>
      <c r="C28" s="169" t="n">
        <f aca="false">+E28+E29+E30</f>
        <v>397</v>
      </c>
      <c r="D28" s="170" t="s">
        <v>66</v>
      </c>
      <c r="E28" s="171" t="n">
        <v>199</v>
      </c>
      <c r="F28" s="171" t="n">
        <f aca="false">+E28</f>
        <v>199</v>
      </c>
      <c r="G28" s="172"/>
      <c r="H28" s="173" t="n">
        <f aca="false">+F28-G28</f>
        <v>199</v>
      </c>
      <c r="I28" s="174" t="n">
        <f aca="false">1-G28/F28</f>
        <v>1</v>
      </c>
      <c r="J28" s="212"/>
      <c r="L28" s="205"/>
      <c r="M28" s="203"/>
      <c r="N28" s="203"/>
    </row>
    <row r="29" customFormat="false" ht="13.8" hidden="false" customHeight="false" outlineLevel="0" collapsed="false">
      <c r="A29" s="211"/>
      <c r="B29" s="193"/>
      <c r="C29" s="169"/>
      <c r="D29" s="176" t="s">
        <v>67</v>
      </c>
      <c r="E29" s="63" t="n">
        <v>119</v>
      </c>
      <c r="F29" s="63" t="n">
        <f aca="false">+E29+H28</f>
        <v>318</v>
      </c>
      <c r="G29" s="177" t="n">
        <v>20.398</v>
      </c>
      <c r="H29" s="178" t="n">
        <f aca="false">+F29-G29</f>
        <v>297.602</v>
      </c>
      <c r="I29" s="179" t="n">
        <f aca="false">1-G29/F29</f>
        <v>0.93585534591195</v>
      </c>
      <c r="J29" s="180"/>
      <c r="K29" s="189"/>
      <c r="L29" s="213"/>
      <c r="M29" s="214"/>
      <c r="N29" s="214"/>
    </row>
    <row r="30" customFormat="false" ht="14.4" hidden="false" customHeight="false" outlineLevel="0" collapsed="false">
      <c r="A30" s="211"/>
      <c r="B30" s="193"/>
      <c r="C30" s="169"/>
      <c r="D30" s="181" t="s">
        <v>65</v>
      </c>
      <c r="E30" s="182" t="n">
        <v>79</v>
      </c>
      <c r="F30" s="182" t="n">
        <f aca="false">+E30+H29</f>
        <v>376.602</v>
      </c>
      <c r="G30" s="183" t="n">
        <v>36.308</v>
      </c>
      <c r="H30" s="184" t="n">
        <f aca="false">+F30-G30</f>
        <v>340.294</v>
      </c>
      <c r="I30" s="185" t="n">
        <f aca="false">1-G30/F30</f>
        <v>0.903590527931344</v>
      </c>
      <c r="J30" s="192"/>
      <c r="L30" s="213"/>
      <c r="M30" s="214"/>
      <c r="N30" s="214"/>
    </row>
    <row r="31" customFormat="false" ht="13.8" hidden="false" customHeight="false" outlineLevel="0" collapsed="false">
      <c r="A31" s="211"/>
      <c r="B31" s="193" t="s">
        <v>119</v>
      </c>
      <c r="C31" s="169" t="n">
        <f aca="false">+E31+E32+E33</f>
        <v>1586</v>
      </c>
      <c r="D31" s="170" t="s">
        <v>66</v>
      </c>
      <c r="E31" s="171" t="n">
        <v>793</v>
      </c>
      <c r="F31" s="171" t="n">
        <f aca="false">+E31</f>
        <v>793</v>
      </c>
      <c r="G31" s="172" t="n">
        <v>852.279</v>
      </c>
      <c r="H31" s="173" t="n">
        <f aca="false">+F31-G31</f>
        <v>-59.279</v>
      </c>
      <c r="I31" s="174" t="n">
        <f aca="false">1-G31/F31</f>
        <v>-0.0747528373266078</v>
      </c>
      <c r="J31" s="194" t="s">
        <v>134</v>
      </c>
      <c r="L31" s="213"/>
      <c r="M31" s="214"/>
      <c r="N31" s="214"/>
    </row>
    <row r="32" customFormat="false" ht="13.8" hidden="false" customHeight="false" outlineLevel="0" collapsed="false">
      <c r="A32" s="211"/>
      <c r="B32" s="193"/>
      <c r="C32" s="169"/>
      <c r="D32" s="176" t="s">
        <v>67</v>
      </c>
      <c r="E32" s="63" t="n">
        <v>476</v>
      </c>
      <c r="F32" s="63" t="n">
        <f aca="false">+E32+H31</f>
        <v>416.721</v>
      </c>
      <c r="G32" s="215" t="n">
        <v>438.74</v>
      </c>
      <c r="H32" s="178" t="n">
        <f aca="false">+F32-G32</f>
        <v>-22.019</v>
      </c>
      <c r="I32" s="179" t="n">
        <f aca="false">1-G32/F32</f>
        <v>-0.0528387098322378</v>
      </c>
      <c r="J32" s="196" t="s">
        <v>135</v>
      </c>
      <c r="L32" s="213"/>
      <c r="M32" s="216"/>
      <c r="N32" s="214"/>
    </row>
    <row r="33" customFormat="false" ht="14.4" hidden="false" customHeight="false" outlineLevel="0" collapsed="false">
      <c r="A33" s="211"/>
      <c r="B33" s="193"/>
      <c r="C33" s="169"/>
      <c r="D33" s="181" t="s">
        <v>65</v>
      </c>
      <c r="E33" s="182" t="n">
        <v>317</v>
      </c>
      <c r="F33" s="182" t="n">
        <f aca="false">+E33+H32</f>
        <v>294.981</v>
      </c>
      <c r="G33" s="183" t="n">
        <v>359.305</v>
      </c>
      <c r="H33" s="184" t="n">
        <f aca="false">+F33-G33</f>
        <v>-64.324</v>
      </c>
      <c r="I33" s="185" t="n">
        <f aca="false">1-G33/F33</f>
        <v>-0.218061502266248</v>
      </c>
      <c r="J33" s="198" t="s">
        <v>136</v>
      </c>
      <c r="L33" s="197"/>
      <c r="M33" s="189"/>
    </row>
    <row r="34" customFormat="false" ht="13.8" hidden="false" customHeight="true" outlineLevel="0" collapsed="false">
      <c r="A34" s="217" t="s">
        <v>137</v>
      </c>
      <c r="B34" s="218" t="s">
        <v>123</v>
      </c>
      <c r="C34" s="219" t="n">
        <f aca="false">+E34+E35</f>
        <v>1050</v>
      </c>
      <c r="D34" s="170" t="s">
        <v>66</v>
      </c>
      <c r="E34" s="171" t="n">
        <v>525</v>
      </c>
      <c r="F34" s="171" t="n">
        <f aca="false">+E34</f>
        <v>525</v>
      </c>
      <c r="G34" s="171" t="n">
        <v>847.568</v>
      </c>
      <c r="H34" s="173" t="n">
        <f aca="false">+F34-G34</f>
        <v>-322.568</v>
      </c>
      <c r="I34" s="174" t="n">
        <f aca="false">1-G34/F34</f>
        <v>-0.614415238095238</v>
      </c>
      <c r="J34" s="220" t="s">
        <v>138</v>
      </c>
      <c r="L34" s="221"/>
      <c r="M34" s="189"/>
    </row>
    <row r="35" customFormat="false" ht="14.4" hidden="false" customHeight="false" outlineLevel="0" collapsed="false">
      <c r="A35" s="217"/>
      <c r="B35" s="218"/>
      <c r="C35" s="219"/>
      <c r="D35" s="176" t="s">
        <v>139</v>
      </c>
      <c r="E35" s="63" t="n">
        <v>525</v>
      </c>
      <c r="F35" s="63" t="n">
        <f aca="false">+E35+H34</f>
        <v>202.432</v>
      </c>
      <c r="G35" s="222" t="n">
        <v>188.882</v>
      </c>
      <c r="H35" s="178" t="n">
        <f aca="false">+F35-G35</f>
        <v>13.55</v>
      </c>
      <c r="I35" s="179" t="n">
        <f aca="false">1-G35/F35</f>
        <v>0.0669360575403099</v>
      </c>
      <c r="J35" s="196" t="s">
        <v>140</v>
      </c>
      <c r="M35" s="189"/>
    </row>
    <row r="36" customFormat="false" ht="13.8" hidden="false" customHeight="false" outlineLevel="0" collapsed="false">
      <c r="A36" s="217"/>
      <c r="B36" s="218" t="s">
        <v>127</v>
      </c>
      <c r="C36" s="219" t="n">
        <f aca="false">+E36+E37</f>
        <v>750</v>
      </c>
      <c r="D36" s="170" t="s">
        <v>66</v>
      </c>
      <c r="E36" s="171" t="n">
        <v>375</v>
      </c>
      <c r="F36" s="171" t="n">
        <f aca="false">+E36</f>
        <v>375</v>
      </c>
      <c r="G36" s="172" t="n">
        <v>38.659</v>
      </c>
      <c r="H36" s="173" t="n">
        <f aca="false">+F36-G36</f>
        <v>336.341</v>
      </c>
      <c r="I36" s="174" t="n">
        <f aca="false">1-G36/F36</f>
        <v>0.896909333333333</v>
      </c>
      <c r="J36" s="208"/>
      <c r="K36" s="207"/>
    </row>
    <row r="37" customFormat="false" ht="14.4" hidden="false" customHeight="false" outlineLevel="0" collapsed="false">
      <c r="A37" s="217"/>
      <c r="B37" s="218"/>
      <c r="C37" s="219"/>
      <c r="D37" s="176" t="s">
        <v>139</v>
      </c>
      <c r="E37" s="63" t="n">
        <v>375</v>
      </c>
      <c r="F37" s="63" t="n">
        <f aca="false">+E37+H36</f>
        <v>711.341</v>
      </c>
      <c r="G37" s="177" t="n">
        <v>219.546</v>
      </c>
      <c r="H37" s="178" t="n">
        <f aca="false">+F37-G37</f>
        <v>491.795</v>
      </c>
      <c r="I37" s="179" t="n">
        <f aca="false">1-G37/F37</f>
        <v>0.691363213985979</v>
      </c>
      <c r="J37" s="209"/>
      <c r="K37" s="223"/>
      <c r="L37" s="197"/>
    </row>
    <row r="38" customFormat="false" ht="13.5" hidden="true" customHeight="true" outlineLevel="0" collapsed="false">
      <c r="A38" s="217"/>
      <c r="B38" s="193" t="s">
        <v>130</v>
      </c>
      <c r="C38" s="169" t="n">
        <f aca="false">+E38+E39+E40</f>
        <v>0</v>
      </c>
      <c r="D38" s="170" t="s">
        <v>66</v>
      </c>
      <c r="E38" s="171"/>
      <c r="F38" s="171" t="n">
        <f aca="false">+E38</f>
        <v>0</v>
      </c>
      <c r="G38" s="172"/>
      <c r="H38" s="173" t="n">
        <f aca="false">+F38-G38</f>
        <v>0</v>
      </c>
      <c r="I38" s="174" t="e">
        <f aca="false">1-G38/F38</f>
        <v>#DIV/0!</v>
      </c>
      <c r="J38" s="208"/>
      <c r="L38" s="197"/>
    </row>
    <row r="39" customFormat="false" ht="13.5" hidden="true" customHeight="true" outlineLevel="0" collapsed="false">
      <c r="A39" s="217"/>
      <c r="B39" s="193"/>
      <c r="C39" s="169"/>
      <c r="D39" s="176" t="s">
        <v>67</v>
      </c>
      <c r="E39" s="63"/>
      <c r="F39" s="63" t="n">
        <f aca="false">+E39+H38</f>
        <v>0</v>
      </c>
      <c r="G39" s="177"/>
      <c r="H39" s="178" t="n">
        <f aca="false">+F39-G39</f>
        <v>0</v>
      </c>
      <c r="I39" s="179" t="e">
        <f aca="false">1-G39/F39</f>
        <v>#DIV/0!</v>
      </c>
      <c r="J39" s="209"/>
      <c r="L39" s="197"/>
    </row>
    <row r="40" customFormat="false" ht="13.5" hidden="true" customHeight="true" outlineLevel="0" collapsed="false">
      <c r="A40" s="217"/>
      <c r="B40" s="193"/>
      <c r="C40" s="169"/>
      <c r="D40" s="181" t="s">
        <v>65</v>
      </c>
      <c r="E40" s="182"/>
      <c r="F40" s="182" t="n">
        <f aca="false">+E40+H39</f>
        <v>0</v>
      </c>
      <c r="G40" s="183"/>
      <c r="H40" s="184" t="n">
        <f aca="false">+F40-G40</f>
        <v>0</v>
      </c>
      <c r="I40" s="185" t="e">
        <f aca="false">1-G40/F40</f>
        <v>#DIV/0!</v>
      </c>
      <c r="J40" s="210"/>
      <c r="L40" s="197"/>
    </row>
    <row r="41" customFormat="false" ht="13.5" hidden="true" customHeight="true" outlineLevel="0" collapsed="false">
      <c r="A41" s="217"/>
      <c r="B41" s="193" t="s">
        <v>133</v>
      </c>
      <c r="C41" s="169" t="n">
        <f aca="false">+E41+E42+E43</f>
        <v>0</v>
      </c>
      <c r="D41" s="170" t="s">
        <v>66</v>
      </c>
      <c r="E41" s="171"/>
      <c r="F41" s="171" t="n">
        <f aca="false">+E41</f>
        <v>0</v>
      </c>
      <c r="G41" s="172"/>
      <c r="H41" s="173" t="n">
        <f aca="false">+F41-G41</f>
        <v>0</v>
      </c>
      <c r="I41" s="174" t="e">
        <f aca="false">1-G41/F41</f>
        <v>#DIV/0!</v>
      </c>
      <c r="J41" s="208"/>
      <c r="L41" s="197"/>
    </row>
    <row r="42" customFormat="false" ht="13.5" hidden="true" customHeight="true" outlineLevel="0" collapsed="false">
      <c r="A42" s="217"/>
      <c r="B42" s="193"/>
      <c r="C42" s="169"/>
      <c r="D42" s="176" t="s">
        <v>67</v>
      </c>
      <c r="E42" s="63"/>
      <c r="F42" s="63" t="n">
        <f aca="false">+E42+H41</f>
        <v>0</v>
      </c>
      <c r="G42" s="177"/>
      <c r="H42" s="178" t="n">
        <f aca="false">+F42-G42</f>
        <v>0</v>
      </c>
      <c r="I42" s="179" t="e">
        <f aca="false">1-G42/F42</f>
        <v>#DIV/0!</v>
      </c>
      <c r="J42" s="209"/>
      <c r="L42" s="197"/>
    </row>
    <row r="43" customFormat="false" ht="13.5" hidden="true" customHeight="true" outlineLevel="0" collapsed="false">
      <c r="A43" s="217"/>
      <c r="B43" s="193"/>
      <c r="C43" s="169"/>
      <c r="D43" s="181" t="s">
        <v>65</v>
      </c>
      <c r="E43" s="182"/>
      <c r="F43" s="182" t="n">
        <f aca="false">+E43+H42</f>
        <v>0</v>
      </c>
      <c r="G43" s="183"/>
      <c r="H43" s="184" t="n">
        <f aca="false">+F43-G43</f>
        <v>0</v>
      </c>
      <c r="I43" s="185" t="e">
        <f aca="false">1-G43/F43</f>
        <v>#DIV/0!</v>
      </c>
      <c r="J43" s="210"/>
      <c r="L43" s="197"/>
    </row>
    <row r="44" customFormat="false" ht="13.8" hidden="false" customHeight="true" outlineLevel="0" collapsed="false">
      <c r="A44" s="224" t="s">
        <v>27</v>
      </c>
      <c r="B44" s="168" t="s">
        <v>116</v>
      </c>
      <c r="C44" s="169" t="n">
        <f aca="false">+E44+E45+E46</f>
        <v>10</v>
      </c>
      <c r="D44" s="170" t="s">
        <v>66</v>
      </c>
      <c r="E44" s="171" t="n">
        <v>5</v>
      </c>
      <c r="F44" s="171" t="n">
        <f aca="false">+E44</f>
        <v>5</v>
      </c>
      <c r="G44" s="172" t="n">
        <v>0</v>
      </c>
      <c r="H44" s="173" t="n">
        <f aca="false">+F44-G44</f>
        <v>5</v>
      </c>
      <c r="I44" s="174" t="n">
        <f aca="false">1-G44/F44</f>
        <v>1</v>
      </c>
      <c r="J44" s="175"/>
    </row>
    <row r="45" customFormat="false" ht="13.8" hidden="false" customHeight="false" outlineLevel="0" collapsed="false">
      <c r="A45" s="224"/>
      <c r="B45" s="168"/>
      <c r="C45" s="169"/>
      <c r="D45" s="176" t="s">
        <v>67</v>
      </c>
      <c r="E45" s="63" t="n">
        <v>3</v>
      </c>
      <c r="F45" s="63" t="n">
        <f aca="false">+E45+H44</f>
        <v>8</v>
      </c>
      <c r="G45" s="177"/>
      <c r="H45" s="178" t="n">
        <f aca="false">+F45-G45</f>
        <v>8</v>
      </c>
      <c r="I45" s="179" t="n">
        <f aca="false">1-G45/F45</f>
        <v>1</v>
      </c>
      <c r="J45" s="180"/>
      <c r="L45" s="197"/>
    </row>
    <row r="46" customFormat="false" ht="14.4" hidden="false" customHeight="false" outlineLevel="0" collapsed="false">
      <c r="A46" s="224"/>
      <c r="B46" s="168"/>
      <c r="C46" s="169"/>
      <c r="D46" s="181" t="s">
        <v>65</v>
      </c>
      <c r="E46" s="182" t="n">
        <v>2</v>
      </c>
      <c r="F46" s="182" t="n">
        <f aca="false">+E46+H45</f>
        <v>10</v>
      </c>
      <c r="G46" s="183"/>
      <c r="H46" s="184" t="n">
        <f aca="false">+F46-G46</f>
        <v>10</v>
      </c>
      <c r="I46" s="185" t="n">
        <f aca="false">1-G46/F46</f>
        <v>1</v>
      </c>
      <c r="J46" s="192"/>
      <c r="L46" s="197"/>
    </row>
    <row r="47" customFormat="false" ht="13.8" hidden="false" customHeight="true" outlineLevel="0" collapsed="false">
      <c r="A47" s="224"/>
      <c r="B47" s="168" t="s">
        <v>118</v>
      </c>
      <c r="C47" s="169" t="n">
        <f aca="false">+E47+E48+E49</f>
        <v>90</v>
      </c>
      <c r="D47" s="170" t="s">
        <v>66</v>
      </c>
      <c r="E47" s="171" t="n">
        <v>45</v>
      </c>
      <c r="F47" s="171" t="n">
        <f aca="false">+E47</f>
        <v>45</v>
      </c>
      <c r="G47" s="172"/>
      <c r="H47" s="173" t="n">
        <f aca="false">+F47-G47</f>
        <v>45</v>
      </c>
      <c r="I47" s="174" t="n">
        <f aca="false">1-G47/F47</f>
        <v>1</v>
      </c>
      <c r="J47" s="175"/>
      <c r="L47" s="197"/>
    </row>
    <row r="48" customFormat="false" ht="13.8" hidden="false" customHeight="false" outlineLevel="0" collapsed="false">
      <c r="A48" s="224"/>
      <c r="B48" s="168"/>
      <c r="C48" s="169"/>
      <c r="D48" s="176" t="s">
        <v>67</v>
      </c>
      <c r="E48" s="63" t="n">
        <v>32</v>
      </c>
      <c r="F48" s="63" t="n">
        <f aca="false">+E48+H47</f>
        <v>77</v>
      </c>
      <c r="G48" s="177"/>
      <c r="H48" s="178" t="n">
        <f aca="false">+F48-G48</f>
        <v>77</v>
      </c>
      <c r="I48" s="179" t="n">
        <f aca="false">1-G48/F48</f>
        <v>1</v>
      </c>
      <c r="J48" s="180"/>
      <c r="L48" s="197"/>
    </row>
    <row r="49" customFormat="false" ht="14.4" hidden="false" customHeight="false" outlineLevel="0" collapsed="false">
      <c r="A49" s="224"/>
      <c r="B49" s="168"/>
      <c r="C49" s="169"/>
      <c r="D49" s="181" t="s">
        <v>65</v>
      </c>
      <c r="E49" s="182" t="n">
        <v>13</v>
      </c>
      <c r="F49" s="182" t="n">
        <f aca="false">+E49+H48</f>
        <v>90</v>
      </c>
      <c r="G49" s="183"/>
      <c r="H49" s="184" t="n">
        <f aca="false">+F49-G49</f>
        <v>90</v>
      </c>
      <c r="I49" s="185" t="n">
        <f aca="false">1-G49/F49</f>
        <v>1</v>
      </c>
      <c r="J49" s="192"/>
      <c r="L49" s="197"/>
    </row>
    <row r="50" customFormat="false" ht="13.8" hidden="false" customHeight="true" outlineLevel="0" collapsed="false">
      <c r="A50" s="224"/>
      <c r="B50" s="225" t="s">
        <v>119</v>
      </c>
      <c r="C50" s="226" t="n">
        <f aca="false">+E50+E51+E52</f>
        <v>1215</v>
      </c>
      <c r="D50" s="170" t="s">
        <v>66</v>
      </c>
      <c r="E50" s="171" t="n">
        <v>258</v>
      </c>
      <c r="F50" s="171" t="n">
        <f aca="false">+E50</f>
        <v>258</v>
      </c>
      <c r="G50" s="172" t="n">
        <v>268.14</v>
      </c>
      <c r="H50" s="173" t="n">
        <f aca="false">+F50-G50</f>
        <v>-10.14</v>
      </c>
      <c r="I50" s="174" t="n">
        <f aca="false">1-G50/F50</f>
        <v>-0.0393023255813954</v>
      </c>
      <c r="J50" s="227" t="s">
        <v>141</v>
      </c>
      <c r="L50" s="197"/>
    </row>
    <row r="51" customFormat="false" ht="13.8" hidden="false" customHeight="false" outlineLevel="0" collapsed="false">
      <c r="A51" s="224"/>
      <c r="B51" s="225"/>
      <c r="C51" s="226"/>
      <c r="D51" s="176" t="s">
        <v>67</v>
      </c>
      <c r="E51" s="63" t="n">
        <v>680</v>
      </c>
      <c r="F51" s="63" t="n">
        <f aca="false">+E51+H50</f>
        <v>669.86</v>
      </c>
      <c r="G51" s="177" t="n">
        <v>165.271</v>
      </c>
      <c r="H51" s="178" t="n">
        <f aca="false">+F51-G51</f>
        <v>504.589</v>
      </c>
      <c r="I51" s="179" t="n">
        <f aca="false">1-G51/F51</f>
        <v>0.753275311259069</v>
      </c>
      <c r="J51" s="228" t="s">
        <v>135</v>
      </c>
      <c r="K51" s="189"/>
      <c r="L51" s="197"/>
    </row>
    <row r="52" customFormat="false" ht="14.4" hidden="false" customHeight="false" outlineLevel="0" collapsed="false">
      <c r="A52" s="224"/>
      <c r="B52" s="225"/>
      <c r="C52" s="226"/>
      <c r="D52" s="229" t="s">
        <v>65</v>
      </c>
      <c r="E52" s="230" t="n">
        <f aca="false">277</f>
        <v>277</v>
      </c>
      <c r="F52" s="230" t="n">
        <f aca="false">+E52+H51</f>
        <v>781.589</v>
      </c>
      <c r="G52" s="231" t="n">
        <v>684.314</v>
      </c>
      <c r="H52" s="232" t="n">
        <f aca="false">+F52-G52</f>
        <v>97.2750000000001</v>
      </c>
      <c r="I52" s="233" t="n">
        <f aca="false">1-G52/F52</f>
        <v>0.124457995186729</v>
      </c>
      <c r="J52" s="234"/>
      <c r="K52" s="235"/>
      <c r="L52" s="197"/>
    </row>
    <row r="53" customFormat="false" ht="13.8" hidden="false" customHeight="true" outlineLevel="0" collapsed="false">
      <c r="A53" s="236" t="s">
        <v>142</v>
      </c>
      <c r="B53" s="193" t="s">
        <v>123</v>
      </c>
      <c r="C53" s="169" t="n">
        <f aca="false">+E53+E54+E55</f>
        <v>750</v>
      </c>
      <c r="D53" s="170" t="s">
        <v>66</v>
      </c>
      <c r="E53" s="171" t="n">
        <v>375</v>
      </c>
      <c r="F53" s="171" t="n">
        <f aca="false">+E53</f>
        <v>375</v>
      </c>
      <c r="G53" s="172" t="n">
        <v>470.686</v>
      </c>
      <c r="H53" s="237" t="n">
        <f aca="false">+F53-G53</f>
        <v>-95.686</v>
      </c>
      <c r="I53" s="174" t="n">
        <f aca="false">1-G53/F53</f>
        <v>-0.255162666666667</v>
      </c>
      <c r="J53" s="220" t="s">
        <v>143</v>
      </c>
      <c r="L53" s="197"/>
    </row>
    <row r="54" customFormat="false" ht="13.8" hidden="false" customHeight="false" outlineLevel="0" collapsed="false">
      <c r="A54" s="236"/>
      <c r="B54" s="193"/>
      <c r="C54" s="169"/>
      <c r="D54" s="176" t="s">
        <v>67</v>
      </c>
      <c r="E54" s="63" t="n">
        <v>262</v>
      </c>
      <c r="F54" s="63" t="n">
        <f aca="false">+E54+H53</f>
        <v>166.314</v>
      </c>
      <c r="G54" s="177" t="n">
        <v>223.949</v>
      </c>
      <c r="H54" s="178" t="n">
        <f aca="false">+F54-G54</f>
        <v>-57.635</v>
      </c>
      <c r="I54" s="179" t="n">
        <f aca="false">1-G54/F54</f>
        <v>-0.346543285592313</v>
      </c>
      <c r="J54" s="196" t="s">
        <v>144</v>
      </c>
      <c r="L54" s="197"/>
    </row>
    <row r="55" customFormat="false" ht="14.4" hidden="false" customHeight="false" outlineLevel="0" collapsed="false">
      <c r="A55" s="236"/>
      <c r="B55" s="193"/>
      <c r="C55" s="169"/>
      <c r="D55" s="181" t="s">
        <v>65</v>
      </c>
      <c r="E55" s="182" t="n">
        <v>113</v>
      </c>
      <c r="F55" s="182" t="n">
        <f aca="false">+E55+H54</f>
        <v>55.365</v>
      </c>
      <c r="G55" s="183" t="n">
        <v>20.887</v>
      </c>
      <c r="H55" s="184" t="n">
        <f aca="false">+F55-G55</f>
        <v>34.478</v>
      </c>
      <c r="I55" s="185" t="n">
        <f aca="false">1-G55/F55</f>
        <v>0.622739998193805</v>
      </c>
      <c r="J55" s="238"/>
      <c r="L55" s="197"/>
    </row>
    <row r="56" customFormat="false" ht="13.8" hidden="false" customHeight="false" outlineLevel="0" collapsed="false">
      <c r="A56" s="236"/>
      <c r="B56" s="193" t="s">
        <v>127</v>
      </c>
      <c r="C56" s="169" t="n">
        <f aca="false">+E56+E57+E58</f>
        <v>450</v>
      </c>
      <c r="D56" s="170" t="s">
        <v>66</v>
      </c>
      <c r="E56" s="171" t="n">
        <v>225</v>
      </c>
      <c r="F56" s="171" t="n">
        <f aca="false">+E56</f>
        <v>225</v>
      </c>
      <c r="G56" s="172" t="n">
        <v>168.869</v>
      </c>
      <c r="H56" s="173" t="n">
        <f aca="false">+F56-G56</f>
        <v>56.131</v>
      </c>
      <c r="I56" s="174" t="n">
        <f aca="false">1-G56/F56</f>
        <v>0.249471111111111</v>
      </c>
      <c r="J56" s="208"/>
    </row>
    <row r="57" customFormat="false" ht="13.8" hidden="false" customHeight="false" outlineLevel="0" collapsed="false">
      <c r="A57" s="236"/>
      <c r="B57" s="193"/>
      <c r="C57" s="169"/>
      <c r="D57" s="176" t="s">
        <v>67</v>
      </c>
      <c r="E57" s="63" t="n">
        <v>158</v>
      </c>
      <c r="F57" s="63" t="n">
        <f aca="false">+E57+H56</f>
        <v>214.131</v>
      </c>
      <c r="G57" s="177" t="n">
        <v>192.929</v>
      </c>
      <c r="H57" s="178" t="n">
        <f aca="false">+F57-G57</f>
        <v>21.202</v>
      </c>
      <c r="I57" s="179" t="n">
        <f aca="false">1-G57/F57</f>
        <v>0.0990141548864947</v>
      </c>
      <c r="J57" s="228" t="s">
        <v>145</v>
      </c>
    </row>
    <row r="58" customFormat="false" ht="14.4" hidden="false" customHeight="false" outlineLevel="0" collapsed="false">
      <c r="A58" s="236"/>
      <c r="B58" s="193"/>
      <c r="C58" s="169"/>
      <c r="D58" s="181" t="s">
        <v>65</v>
      </c>
      <c r="E58" s="182" t="n">
        <v>67</v>
      </c>
      <c r="F58" s="182" t="n">
        <f aca="false">+E58+H57</f>
        <v>88.202</v>
      </c>
      <c r="G58" s="183" t="n">
        <v>1.992</v>
      </c>
      <c r="H58" s="184" t="n">
        <f aca="false">+F58-G58</f>
        <v>86.21</v>
      </c>
      <c r="I58" s="185" t="n">
        <f aca="false">1-G58/F58</f>
        <v>0.977415478107072</v>
      </c>
      <c r="J58" s="210"/>
    </row>
    <row r="59" customFormat="false" ht="13.8" hidden="false" customHeight="false" outlineLevel="0" collapsed="false">
      <c r="A59" s="236"/>
      <c r="B59" s="193" t="s">
        <v>130</v>
      </c>
      <c r="C59" s="169" t="n">
        <f aca="false">+E59+E60+E61</f>
        <v>1300</v>
      </c>
      <c r="D59" s="170" t="s">
        <v>66</v>
      </c>
      <c r="E59" s="171" t="n">
        <v>650</v>
      </c>
      <c r="F59" s="171" t="n">
        <f aca="false">+E59</f>
        <v>650</v>
      </c>
      <c r="G59" s="239" t="n">
        <v>575.778</v>
      </c>
      <c r="H59" s="173" t="n">
        <f aca="false">+F59-G59</f>
        <v>74.222</v>
      </c>
      <c r="I59" s="174" t="n">
        <f aca="false">1-G59/F59</f>
        <v>0.114187692307692</v>
      </c>
      <c r="J59" s="208"/>
    </row>
    <row r="60" customFormat="false" ht="13.8" hidden="false" customHeight="false" outlineLevel="0" collapsed="false">
      <c r="A60" s="236"/>
      <c r="B60" s="193"/>
      <c r="C60" s="169"/>
      <c r="D60" s="176" t="s">
        <v>67</v>
      </c>
      <c r="E60" s="63" t="n">
        <v>455</v>
      </c>
      <c r="F60" s="63" t="n">
        <f aca="false">+E60+H59</f>
        <v>529.222</v>
      </c>
      <c r="G60" s="215" t="n">
        <v>372.093</v>
      </c>
      <c r="H60" s="178" t="n">
        <f aca="false">+F60-G60</f>
        <v>157.129</v>
      </c>
      <c r="I60" s="179" t="n">
        <f aca="false">1-G60/F60</f>
        <v>0.296905646401699</v>
      </c>
      <c r="J60" s="209"/>
    </row>
    <row r="61" customFormat="false" ht="14.4" hidden="false" customHeight="false" outlineLevel="0" collapsed="false">
      <c r="A61" s="236"/>
      <c r="B61" s="193"/>
      <c r="C61" s="169"/>
      <c r="D61" s="181" t="s">
        <v>65</v>
      </c>
      <c r="E61" s="182" t="n">
        <v>195</v>
      </c>
      <c r="F61" s="182" t="n">
        <f aca="false">+E61+H60</f>
        <v>352.129</v>
      </c>
      <c r="G61" s="204" t="n">
        <v>347.006</v>
      </c>
      <c r="H61" s="184" t="n">
        <f aca="false">+F61-G61</f>
        <v>5.12299999999999</v>
      </c>
      <c r="I61" s="185" t="n">
        <f aca="false">1-G61/F61</f>
        <v>0.0145486455247934</v>
      </c>
      <c r="J61" s="240" t="s">
        <v>146</v>
      </c>
    </row>
    <row r="62" customFormat="false" ht="13.8" hidden="false" customHeight="false" outlineLevel="0" collapsed="false">
      <c r="A62" s="236"/>
      <c r="B62" s="193" t="s">
        <v>133</v>
      </c>
      <c r="C62" s="169" t="n">
        <f aca="false">+E62+E63+E64</f>
        <v>2500</v>
      </c>
      <c r="D62" s="170" t="s">
        <v>66</v>
      </c>
      <c r="E62" s="171" t="n">
        <v>1250</v>
      </c>
      <c r="F62" s="171" t="n">
        <f aca="false">+E62</f>
        <v>1250</v>
      </c>
      <c r="G62" s="172" t="n">
        <v>838.021</v>
      </c>
      <c r="H62" s="173" t="n">
        <f aca="false">+F62-G62</f>
        <v>411.979</v>
      </c>
      <c r="I62" s="174" t="n">
        <f aca="false">1-G62/F62</f>
        <v>0.3295832</v>
      </c>
      <c r="J62" s="208"/>
      <c r="K62" s="223"/>
    </row>
    <row r="63" customFormat="false" ht="13.8" hidden="false" customHeight="false" outlineLevel="0" collapsed="false">
      <c r="A63" s="236"/>
      <c r="B63" s="193"/>
      <c r="C63" s="169"/>
      <c r="D63" s="176" t="s">
        <v>67</v>
      </c>
      <c r="E63" s="63" t="n">
        <v>875</v>
      </c>
      <c r="F63" s="63" t="n">
        <f aca="false">+E63+H62</f>
        <v>1286.979</v>
      </c>
      <c r="G63" s="177" t="n">
        <v>1082.37</v>
      </c>
      <c r="H63" s="178" t="n">
        <f aca="false">+F63-G63</f>
        <v>204.609</v>
      </c>
      <c r="I63" s="179" t="n">
        <f aca="false">1-G63/F63</f>
        <v>0.158983946124995</v>
      </c>
      <c r="J63" s="209"/>
    </row>
    <row r="64" customFormat="false" ht="14.4" hidden="false" customHeight="false" outlineLevel="0" collapsed="false">
      <c r="A64" s="236"/>
      <c r="B64" s="193"/>
      <c r="C64" s="169"/>
      <c r="D64" s="181" t="s">
        <v>65</v>
      </c>
      <c r="E64" s="182" t="n">
        <v>375</v>
      </c>
      <c r="F64" s="182" t="n">
        <f aca="false">+E64+H63</f>
        <v>579.609</v>
      </c>
      <c r="G64" s="183" t="n">
        <v>540.409</v>
      </c>
      <c r="H64" s="184" t="n">
        <f aca="false">+F64-G64</f>
        <v>39.2000000000002</v>
      </c>
      <c r="I64" s="185" t="n">
        <f aca="false">1-G64/F64</f>
        <v>0.0676318000583155</v>
      </c>
      <c r="J64" s="210"/>
    </row>
    <row r="66" customFormat="false" ht="13.8" hidden="false" customHeight="false" outlineLevel="0" collapsed="false">
      <c r="G66" s="46"/>
    </row>
    <row r="73" customFormat="false" ht="13.2" hidden="false" customHeight="false" outlineLevel="0" collapsed="false">
      <c r="H73" s="223"/>
      <c r="I73" s="241"/>
    </row>
    <row r="74" customFormat="false" ht="13.2" hidden="false" customHeight="false" outlineLevel="0" collapsed="false">
      <c r="G74" s="223"/>
    </row>
  </sheetData>
  <mergeCells count="55">
    <mergeCell ref="A2:J2"/>
    <mergeCell ref="A3:J3"/>
    <mergeCell ref="A5:A6"/>
    <mergeCell ref="B5:B6"/>
    <mergeCell ref="C5:C6"/>
    <mergeCell ref="D5:F5"/>
    <mergeCell ref="G5:G6"/>
    <mergeCell ref="H5:H6"/>
    <mergeCell ref="I5:I6"/>
    <mergeCell ref="J5:J6"/>
    <mergeCell ref="A7:A27"/>
    <mergeCell ref="B7:B9"/>
    <mergeCell ref="C7:C9"/>
    <mergeCell ref="B10:B12"/>
    <mergeCell ref="C10:C12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A28:A33"/>
    <mergeCell ref="B28:B30"/>
    <mergeCell ref="C28:C30"/>
    <mergeCell ref="B31:B33"/>
    <mergeCell ref="C31:C33"/>
    <mergeCell ref="A34:A43"/>
    <mergeCell ref="B34:B35"/>
    <mergeCell ref="C34:C35"/>
    <mergeCell ref="B36:B37"/>
    <mergeCell ref="C36:C37"/>
    <mergeCell ref="B38:B40"/>
    <mergeCell ref="C38:C40"/>
    <mergeCell ref="B41:B43"/>
    <mergeCell ref="C41:C43"/>
    <mergeCell ref="A44:A52"/>
    <mergeCell ref="B44:B46"/>
    <mergeCell ref="C44:C46"/>
    <mergeCell ref="B47:B49"/>
    <mergeCell ref="C47:C49"/>
    <mergeCell ref="B50:B52"/>
    <mergeCell ref="C50:C52"/>
    <mergeCell ref="A53:A64"/>
    <mergeCell ref="B53:B55"/>
    <mergeCell ref="C53:C55"/>
    <mergeCell ref="B56:B58"/>
    <mergeCell ref="C56:C58"/>
    <mergeCell ref="B59:B61"/>
    <mergeCell ref="C59:C61"/>
    <mergeCell ref="B62:B64"/>
    <mergeCell ref="C62:C64"/>
  </mergeCells>
  <printOptions headings="false" gridLines="false" gridLinesSet="true" horizontalCentered="false" verticalCentered="false"/>
  <pageMargins left="0.354166666666667" right="0.275694444444444" top="0.157638888888889" bottom="0.157638888888889" header="0.511811023622047" footer="0.511811023622047"/>
  <pageSetup paperSize="5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2:U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31" activeCellId="0" sqref="K31"/>
    </sheetView>
  </sheetViews>
  <sheetFormatPr defaultColWidth="11.43359375" defaultRowHeight="13.8" customHeight="false" zeroHeight="false" outlineLevelRow="0" outlineLevelCol="0"/>
  <cols>
    <col collapsed="false" customWidth="true" hidden="false" outlineLevel="0" max="1" min="1" style="46" width="30.32"/>
    <col collapsed="false" customWidth="true" hidden="false" outlineLevel="0" max="2" min="2" style="46" width="11.32"/>
    <col collapsed="false" customWidth="true" hidden="false" outlineLevel="0" max="3" min="3" style="46" width="17.1"/>
    <col collapsed="false" customWidth="true" hidden="false" outlineLevel="0" max="4" min="4" style="46" width="17.55"/>
    <col collapsed="false" customWidth="true" hidden="false" outlineLevel="0" max="5" min="5" style="46" width="12.66"/>
    <col collapsed="false" customWidth="true" hidden="false" outlineLevel="0" max="6" min="6" style="46" width="12.32"/>
    <col collapsed="false" customWidth="true" hidden="false" outlineLevel="0" max="7" min="7" style="46" width="18.43"/>
    <col collapsed="false" customWidth="true" hidden="false" outlineLevel="0" max="8" min="8" style="46" width="19.99"/>
    <col collapsed="false" customWidth="true" hidden="false" outlineLevel="0" max="9" min="9" style="46" width="9.55"/>
    <col collapsed="false" customWidth="true" hidden="false" outlineLevel="0" max="10" min="10" style="46" width="19.43"/>
    <col collapsed="false" customWidth="true" hidden="false" outlineLevel="0" max="11" min="11" style="46" width="9.99"/>
    <col collapsed="false" customWidth="true" hidden="true" outlineLevel="0" max="12" min="12" style="46" width="13.99"/>
    <col collapsed="false" customWidth="true" hidden="false" outlineLevel="0" max="13" min="13" style="46" width="27.66"/>
    <col collapsed="false" customWidth="true" hidden="false" outlineLevel="0" max="14" min="14" style="46" width="17.99"/>
    <col collapsed="false" customWidth="true" hidden="false" outlineLevel="0" max="15" min="15" style="46" width="9.43"/>
    <col collapsed="false" customWidth="false" hidden="false" outlineLevel="0" max="18" min="16" style="46" width="11.43"/>
    <col collapsed="false" customWidth="true" hidden="false" outlineLevel="0" max="19" min="19" style="46" width="14.33"/>
    <col collapsed="false" customWidth="false" hidden="false" outlineLevel="0" max="257" min="20" style="46" width="11.43"/>
  </cols>
  <sheetData>
    <row r="2" customFormat="false" ht="15.6" hidden="false" customHeight="false" outlineLevel="0" collapsed="false">
      <c r="A2" s="157" t="s">
        <v>147</v>
      </c>
      <c r="B2" s="157"/>
      <c r="C2" s="157"/>
      <c r="D2" s="157"/>
      <c r="E2" s="157"/>
      <c r="F2" s="157"/>
      <c r="G2" s="157"/>
      <c r="H2" s="157"/>
      <c r="I2" s="157"/>
      <c r="J2" s="157"/>
    </row>
    <row r="3" customFormat="false" ht="15.6" hidden="false" customHeight="false" outlineLevel="0" collapsed="false">
      <c r="A3" s="242" t="s">
        <v>148</v>
      </c>
      <c r="B3" s="242"/>
      <c r="C3" s="242"/>
      <c r="D3" s="242"/>
      <c r="E3" s="242"/>
      <c r="F3" s="242"/>
      <c r="G3" s="242"/>
      <c r="H3" s="242"/>
      <c r="I3" s="242"/>
      <c r="J3" s="242"/>
    </row>
    <row r="5" customFormat="false" ht="15.6" hidden="false" customHeight="false" outlineLevel="0" collapsed="false">
      <c r="A5" s="243" t="s">
        <v>149</v>
      </c>
      <c r="B5" s="244" t="n">
        <v>1800</v>
      </c>
      <c r="C5" s="244"/>
      <c r="D5" s="244"/>
    </row>
    <row r="6" customFormat="false" ht="15.6" hidden="false" customHeight="true" outlineLevel="0" collapsed="false">
      <c r="A6" s="245" t="s">
        <v>150</v>
      </c>
      <c r="B6" s="245" t="s">
        <v>151</v>
      </c>
      <c r="C6" s="245" t="s">
        <v>152</v>
      </c>
      <c r="D6" s="245" t="s">
        <v>153</v>
      </c>
      <c r="E6" s="243" t="s">
        <v>154</v>
      </c>
      <c r="F6" s="243"/>
      <c r="G6" s="245" t="s">
        <v>155</v>
      </c>
      <c r="H6" s="246" t="s">
        <v>156</v>
      </c>
      <c r="I6" s="246"/>
      <c r="J6" s="246"/>
      <c r="M6" s="247"/>
      <c r="N6" s="247"/>
      <c r="O6" s="247"/>
      <c r="P6" s="247"/>
      <c r="Q6" s="247"/>
      <c r="R6" s="247"/>
      <c r="S6" s="247"/>
      <c r="T6" s="247"/>
      <c r="U6" s="247"/>
    </row>
    <row r="7" customFormat="false" ht="16.5" hidden="false" customHeight="true" outlineLevel="0" collapsed="false">
      <c r="A7" s="245"/>
      <c r="B7" s="245"/>
      <c r="C7" s="245"/>
      <c r="D7" s="245"/>
      <c r="E7" s="248" t="s">
        <v>157</v>
      </c>
      <c r="F7" s="248" t="s">
        <v>158</v>
      </c>
      <c r="G7" s="245"/>
      <c r="H7" s="248" t="s">
        <v>43</v>
      </c>
      <c r="I7" s="248" t="s">
        <v>44</v>
      </c>
      <c r="J7" s="248" t="s">
        <v>159</v>
      </c>
      <c r="M7" s="247"/>
      <c r="N7" s="247"/>
      <c r="O7" s="247"/>
      <c r="P7" s="247"/>
      <c r="Q7" s="247"/>
      <c r="R7" s="247"/>
      <c r="S7" s="247"/>
      <c r="T7" s="247"/>
      <c r="U7" s="247"/>
    </row>
    <row r="8" customFormat="false" ht="15" hidden="false" customHeight="true" outlineLevel="0" collapsed="false">
      <c r="A8" s="249" t="s">
        <v>160</v>
      </c>
      <c r="B8" s="148" t="n">
        <v>46.57</v>
      </c>
      <c r="C8" s="148" t="n">
        <f aca="false">+$B$5*B8/100</f>
        <v>838.26</v>
      </c>
      <c r="D8" s="148"/>
      <c r="E8" s="148" t="n">
        <v>370.7352</v>
      </c>
      <c r="F8" s="148" t="n">
        <v>350</v>
      </c>
      <c r="G8" s="148" t="n">
        <f aca="false">+C8+E8-F8-D8</f>
        <v>858.9952</v>
      </c>
      <c r="H8" s="150" t="n">
        <v>519.53</v>
      </c>
      <c r="I8" s="113" t="n">
        <f aca="false">+G8-H8</f>
        <v>339.4652</v>
      </c>
      <c r="J8" s="120" t="n">
        <f aca="false">+H8/G8</f>
        <v>0.604811295802351</v>
      </c>
      <c r="M8" s="247"/>
      <c r="N8" s="247"/>
      <c r="O8" s="247"/>
      <c r="P8" s="247"/>
      <c r="Q8" s="247"/>
      <c r="R8" s="247"/>
      <c r="S8" s="247"/>
      <c r="T8" s="247"/>
      <c r="U8" s="247"/>
    </row>
    <row r="9" customFormat="false" ht="15" hidden="false" customHeight="true" outlineLevel="0" collapsed="false">
      <c r="A9" s="250" t="s">
        <v>161</v>
      </c>
      <c r="B9" s="148" t="n">
        <v>0</v>
      </c>
      <c r="C9" s="148" t="n">
        <f aca="false">+$B$5*B9/100</f>
        <v>0</v>
      </c>
      <c r="D9" s="148"/>
      <c r="E9" s="148"/>
      <c r="F9" s="148"/>
      <c r="G9" s="148" t="n">
        <f aca="false">+C9+E9-F9-D9</f>
        <v>0</v>
      </c>
      <c r="H9" s="150" t="n">
        <v>0</v>
      </c>
      <c r="I9" s="113" t="n">
        <f aca="false">+G9-H9</f>
        <v>0</v>
      </c>
      <c r="J9" s="120" t="e">
        <f aca="false">+H9/G9</f>
        <v>#DIV/0!</v>
      </c>
      <c r="U9" s="247"/>
    </row>
    <row r="10" customFormat="false" ht="15" hidden="false" customHeight="true" outlineLevel="0" collapsed="false">
      <c r="A10" s="251" t="s">
        <v>162</v>
      </c>
      <c r="B10" s="148" t="n">
        <v>20.6</v>
      </c>
      <c r="C10" s="148" t="n">
        <f aca="false">+$B$5*B10/100</f>
        <v>370.8</v>
      </c>
      <c r="D10" s="148"/>
      <c r="E10" s="148"/>
      <c r="F10" s="148" t="n">
        <v>370.7352</v>
      </c>
      <c r="G10" s="148" t="n">
        <f aca="false">+C10+E10-F10-D10</f>
        <v>0.0647999999999911</v>
      </c>
      <c r="H10" s="150" t="n">
        <v>0</v>
      </c>
      <c r="I10" s="113" t="n">
        <f aca="false">+G10-H10</f>
        <v>0.0647999999999911</v>
      </c>
      <c r="J10" s="120" t="n">
        <f aca="false">+H10/G10</f>
        <v>0</v>
      </c>
      <c r="U10" s="247"/>
    </row>
    <row r="11" customFormat="false" ht="15" hidden="false" customHeight="true" outlineLevel="0" collapsed="false">
      <c r="A11" s="249" t="s">
        <v>163</v>
      </c>
      <c r="B11" s="148" t="n">
        <v>0</v>
      </c>
      <c r="C11" s="148" t="n">
        <f aca="false">+$B$5*B11/100</f>
        <v>0</v>
      </c>
      <c r="D11" s="148"/>
      <c r="E11" s="148"/>
      <c r="F11" s="148"/>
      <c r="G11" s="148" t="n">
        <f aca="false">+C11+E11-F11-D11</f>
        <v>0</v>
      </c>
      <c r="H11" s="150" t="n">
        <v>0</v>
      </c>
      <c r="I11" s="113" t="n">
        <f aca="false">+G11-H11</f>
        <v>0</v>
      </c>
      <c r="J11" s="120" t="e">
        <f aca="false">+H11/G11</f>
        <v>#DIV/0!</v>
      </c>
      <c r="U11" s="247"/>
    </row>
    <row r="12" customFormat="false" ht="15" hidden="false" customHeight="true" outlineLevel="0" collapsed="false">
      <c r="A12" s="249" t="s">
        <v>164</v>
      </c>
      <c r="B12" s="148" t="n">
        <v>1.16</v>
      </c>
      <c r="C12" s="148" t="n">
        <f aca="false">+$B$5*B12/100</f>
        <v>20.88</v>
      </c>
      <c r="D12" s="148"/>
      <c r="E12" s="150"/>
      <c r="F12" s="148" t="n">
        <v>20.88</v>
      </c>
      <c r="G12" s="148" t="n">
        <f aca="false">+C12+E12-F12-D12</f>
        <v>0</v>
      </c>
      <c r="H12" s="150" t="n">
        <v>0</v>
      </c>
      <c r="I12" s="113" t="n">
        <f aca="false">+G12-H12</f>
        <v>0</v>
      </c>
      <c r="J12" s="120" t="e">
        <f aca="false">+H12/G12</f>
        <v>#DIV/0!</v>
      </c>
      <c r="U12" s="247"/>
    </row>
    <row r="13" customFormat="false" ht="15" hidden="false" customHeight="true" outlineLevel="0" collapsed="false">
      <c r="A13" s="249" t="s">
        <v>165</v>
      </c>
      <c r="B13" s="148" t="n">
        <v>14.13</v>
      </c>
      <c r="C13" s="148" t="n">
        <f aca="false">+$B$5*B13/100</f>
        <v>254.34</v>
      </c>
      <c r="D13" s="148"/>
      <c r="E13" s="148"/>
      <c r="F13" s="148"/>
      <c r="G13" s="148" t="n">
        <f aca="false">+C13+E13-F13-D13</f>
        <v>254.34</v>
      </c>
      <c r="H13" s="150" t="n">
        <v>257.432</v>
      </c>
      <c r="I13" s="113" t="n">
        <f aca="false">+G13-H13</f>
        <v>-3.09200000000001</v>
      </c>
      <c r="J13" s="120" t="n">
        <f aca="false">+H13/G13</f>
        <v>1.01215695525674</v>
      </c>
      <c r="U13" s="247"/>
    </row>
    <row r="14" customFormat="false" ht="15" hidden="false" customHeight="true" outlineLevel="0" collapsed="false">
      <c r="A14" s="249" t="s">
        <v>166</v>
      </c>
      <c r="B14" s="148" t="n">
        <v>7.92</v>
      </c>
      <c r="C14" s="148" t="n">
        <f aca="false">+$B$5*B14/100</f>
        <v>142.56</v>
      </c>
      <c r="D14" s="148"/>
      <c r="E14" s="244" t="n">
        <v>399.68</v>
      </c>
      <c r="F14" s="148"/>
      <c r="G14" s="148" t="n">
        <f aca="false">+C14+E14-F14-D14</f>
        <v>542.24</v>
      </c>
      <c r="H14" s="150" t="n">
        <v>391.849</v>
      </c>
      <c r="I14" s="113" t="n">
        <f aca="false">+G14-H14</f>
        <v>150.391</v>
      </c>
      <c r="J14" s="120" t="n">
        <f aca="false">+H14/G14</f>
        <v>0.722648642667454</v>
      </c>
      <c r="U14" s="247"/>
    </row>
    <row r="15" customFormat="false" ht="15" hidden="false" customHeight="true" outlineLevel="0" collapsed="false">
      <c r="A15" s="249" t="s">
        <v>167</v>
      </c>
      <c r="B15" s="148" t="n">
        <v>0.3</v>
      </c>
      <c r="C15" s="148" t="n">
        <f aca="false">+$B$5*B15/100</f>
        <v>5.4</v>
      </c>
      <c r="D15" s="148"/>
      <c r="E15" s="148"/>
      <c r="F15" s="148" t="n">
        <v>5.4</v>
      </c>
      <c r="G15" s="148" t="n">
        <f aca="false">+C15+E15-F15-D15</f>
        <v>0</v>
      </c>
      <c r="H15" s="150" t="n">
        <v>0</v>
      </c>
      <c r="I15" s="113" t="n">
        <f aca="false">+G15-H15</f>
        <v>0</v>
      </c>
      <c r="J15" s="120" t="e">
        <f aca="false">+H15/G15</f>
        <v>#DIV/0!</v>
      </c>
      <c r="U15" s="247"/>
    </row>
    <row r="16" customFormat="false" ht="15" hidden="false" customHeight="true" outlineLevel="0" collapsed="false">
      <c r="A16" s="249" t="s">
        <v>168</v>
      </c>
      <c r="B16" s="148" t="n">
        <v>1.53</v>
      </c>
      <c r="C16" s="148" t="n">
        <f aca="false">+$B$5*B16/100</f>
        <v>27.54</v>
      </c>
      <c r="D16" s="148"/>
      <c r="E16" s="148"/>
      <c r="F16" s="148"/>
      <c r="G16" s="148" t="n">
        <f aca="false">+C16+E16-F16-D16</f>
        <v>27.54</v>
      </c>
      <c r="H16" s="150" t="n">
        <v>26.636</v>
      </c>
      <c r="I16" s="113" t="n">
        <f aca="false">+G16-H16</f>
        <v>0.904</v>
      </c>
      <c r="J16" s="120" t="n">
        <f aca="false">+H16/G16</f>
        <v>0.96717501815541</v>
      </c>
      <c r="U16" s="247"/>
    </row>
    <row r="17" customFormat="false" ht="15" hidden="false" customHeight="true" outlineLevel="0" collapsed="false">
      <c r="A17" s="249" t="s">
        <v>169</v>
      </c>
      <c r="B17" s="152" t="n">
        <v>6.49</v>
      </c>
      <c r="C17" s="152" t="n">
        <f aca="false">+$B$5*B17/100</f>
        <v>116.82</v>
      </c>
      <c r="D17" s="152"/>
      <c r="E17" s="148"/>
      <c r="F17" s="152"/>
      <c r="G17" s="152" t="n">
        <f aca="false">+C17+E17-F17-D17</f>
        <v>116.82</v>
      </c>
      <c r="H17" s="150" t="n">
        <v>119.09</v>
      </c>
      <c r="I17" s="113" t="n">
        <f aca="false">+G17-H17</f>
        <v>-2.27000000000001</v>
      </c>
      <c r="J17" s="120" t="n">
        <f aca="false">+H17/G17</f>
        <v>1.01943160417737</v>
      </c>
      <c r="U17" s="247"/>
    </row>
    <row r="18" customFormat="false" ht="15" hidden="false" customHeight="true" outlineLevel="0" collapsed="false">
      <c r="A18" s="249" t="s">
        <v>170</v>
      </c>
      <c r="B18" s="152" t="n">
        <v>0</v>
      </c>
      <c r="C18" s="152" t="n">
        <f aca="false">+$B$5*B18/100</f>
        <v>0</v>
      </c>
      <c r="D18" s="152"/>
      <c r="E18" s="153"/>
      <c r="F18" s="152"/>
      <c r="G18" s="152" t="n">
        <f aca="false">+C18+E18-F18-D18</f>
        <v>0</v>
      </c>
      <c r="H18" s="150" t="n">
        <v>0</v>
      </c>
      <c r="I18" s="113" t="n">
        <f aca="false">+G18-H18</f>
        <v>0</v>
      </c>
      <c r="J18" s="120" t="e">
        <f aca="false">+H18/G18</f>
        <v>#DIV/0!</v>
      </c>
      <c r="U18" s="247"/>
    </row>
    <row r="19" customFormat="false" ht="15" hidden="false" customHeight="true" outlineLevel="0" collapsed="false">
      <c r="A19" s="249" t="s">
        <v>171</v>
      </c>
      <c r="B19" s="152" t="n">
        <v>1</v>
      </c>
      <c r="C19" s="152" t="n">
        <f aca="false">+$B$5*B19/100</f>
        <v>18</v>
      </c>
      <c r="D19" s="152"/>
      <c r="E19" s="148"/>
      <c r="F19" s="151" t="n">
        <v>18</v>
      </c>
      <c r="G19" s="152" t="n">
        <f aca="false">+C19+E19-F19-D19</f>
        <v>0</v>
      </c>
      <c r="H19" s="150" t="n">
        <v>0</v>
      </c>
      <c r="I19" s="113" t="n">
        <f aca="false">+G19-H19</f>
        <v>0</v>
      </c>
      <c r="J19" s="120" t="e">
        <f aca="false">+H19/G19</f>
        <v>#DIV/0!</v>
      </c>
      <c r="U19" s="247"/>
    </row>
    <row r="20" customFormat="false" ht="15" hidden="false" customHeight="true" outlineLevel="0" collapsed="false">
      <c r="A20" s="252" t="s">
        <v>172</v>
      </c>
      <c r="B20" s="152" t="n">
        <v>0.3</v>
      </c>
      <c r="C20" s="152" t="n">
        <f aca="false">+$B$5*B20/100</f>
        <v>5.4</v>
      </c>
      <c r="D20" s="152"/>
      <c r="E20" s="153"/>
      <c r="F20" s="152" t="n">
        <v>5.4</v>
      </c>
      <c r="G20" s="152" t="n">
        <f aca="false">+C20+E20-F20-D20</f>
        <v>0</v>
      </c>
      <c r="H20" s="150" t="n">
        <v>0</v>
      </c>
      <c r="I20" s="113" t="n">
        <f aca="false">+G20-H20</f>
        <v>0</v>
      </c>
      <c r="J20" s="120" t="e">
        <f aca="false">+H20/G20</f>
        <v>#DIV/0!</v>
      </c>
      <c r="M20" s="247"/>
      <c r="N20" s="247"/>
      <c r="O20" s="247"/>
      <c r="U20" s="247"/>
    </row>
    <row r="21" customFormat="false" ht="13.8" hidden="false" customHeight="false" outlineLevel="0" collapsed="false">
      <c r="A21" s="253"/>
      <c r="B21" s="253"/>
      <c r="C21" s="253"/>
      <c r="D21" s="253"/>
      <c r="E21" s="253"/>
      <c r="F21" s="253"/>
      <c r="G21" s="253"/>
      <c r="H21" s="253"/>
      <c r="I21" s="253"/>
      <c r="J21" s="253"/>
      <c r="M21" s="247"/>
      <c r="N21" s="247"/>
      <c r="O21" s="247"/>
      <c r="P21" s="247"/>
      <c r="Q21" s="247"/>
      <c r="R21" s="247"/>
      <c r="S21" s="247"/>
      <c r="T21" s="247"/>
      <c r="U21" s="247"/>
    </row>
    <row r="22" customFormat="false" ht="15.6" hidden="false" customHeight="true" outlineLevel="0" collapsed="false">
      <c r="A22" s="243" t="s">
        <v>173</v>
      </c>
      <c r="B22" s="245" t="s">
        <v>151</v>
      </c>
      <c r="C22" s="245" t="s">
        <v>152</v>
      </c>
      <c r="D22" s="245" t="s">
        <v>153</v>
      </c>
      <c r="E22" s="243" t="s">
        <v>154</v>
      </c>
      <c r="F22" s="243"/>
      <c r="G22" s="245" t="s">
        <v>155</v>
      </c>
      <c r="H22" s="246" t="s">
        <v>156</v>
      </c>
      <c r="I22" s="246"/>
      <c r="J22" s="246"/>
      <c r="M22" s="247"/>
      <c r="N22" s="247"/>
      <c r="O22" s="247"/>
      <c r="P22" s="247"/>
      <c r="Q22" s="247"/>
      <c r="R22" s="247"/>
      <c r="S22" s="247"/>
      <c r="T22" s="247"/>
      <c r="U22" s="247"/>
    </row>
    <row r="23" customFormat="false" ht="15.6" hidden="false" customHeight="false" outlineLevel="0" collapsed="false">
      <c r="A23" s="248" t="s">
        <v>149</v>
      </c>
      <c r="B23" s="245"/>
      <c r="C23" s="245"/>
      <c r="D23" s="245"/>
      <c r="E23" s="248" t="s">
        <v>157</v>
      </c>
      <c r="F23" s="248" t="s">
        <v>158</v>
      </c>
      <c r="G23" s="245"/>
      <c r="H23" s="248" t="s">
        <v>43</v>
      </c>
      <c r="I23" s="248" t="s">
        <v>44</v>
      </c>
      <c r="J23" s="248" t="s">
        <v>159</v>
      </c>
      <c r="M23" s="247"/>
      <c r="N23" s="247"/>
      <c r="O23" s="247"/>
      <c r="P23" s="247"/>
      <c r="Q23" s="247"/>
      <c r="R23" s="247"/>
      <c r="S23" s="247"/>
      <c r="T23" s="247"/>
      <c r="U23" s="247"/>
    </row>
    <row r="24" customFormat="false" ht="13.8" hidden="false" customHeight="false" outlineLevel="0" collapsed="false">
      <c r="A24" s="248"/>
      <c r="B24" s="152" t="n">
        <f aca="false">SUM(B8:B20)</f>
        <v>100</v>
      </c>
      <c r="C24" s="152" t="n">
        <f aca="false">SUM(C8:C20)</f>
        <v>1800</v>
      </c>
      <c r="D24" s="152" t="n">
        <f aca="false">SUM(D8:D20)</f>
        <v>0</v>
      </c>
      <c r="E24" s="152" t="n">
        <f aca="false">SUM(E8:E20)</f>
        <v>770.4152</v>
      </c>
      <c r="F24" s="152" t="n">
        <f aca="false">SUM(F8:F20)</f>
        <v>770.4152</v>
      </c>
      <c r="G24" s="152" t="n">
        <f aca="false">SUM(G8:G20)</f>
        <v>1800</v>
      </c>
      <c r="H24" s="152" t="n">
        <f aca="false">SUM(H8:H20)</f>
        <v>1314.537</v>
      </c>
      <c r="I24" s="152" t="n">
        <f aca="false">SUM(I8:I20)</f>
        <v>485.463</v>
      </c>
      <c r="J24" s="120" t="n">
        <f aca="false">+H24/G24</f>
        <v>0.730298333333333</v>
      </c>
      <c r="M24" s="247"/>
      <c r="N24" s="247"/>
      <c r="O24" s="247"/>
      <c r="P24" s="247"/>
      <c r="Q24" s="247"/>
      <c r="R24" s="247"/>
      <c r="S24" s="247"/>
      <c r="T24" s="247"/>
      <c r="U24" s="247"/>
    </row>
    <row r="25" customFormat="false" ht="13.8" hidden="false" customHeight="false" outlineLevel="0" collapsed="false">
      <c r="B25" s="244"/>
      <c r="C25" s="244"/>
      <c r="D25" s="244"/>
      <c r="M25" s="247"/>
      <c r="N25" s="247"/>
      <c r="O25" s="247"/>
      <c r="P25" s="247"/>
      <c r="Q25" s="247"/>
      <c r="R25" s="247"/>
      <c r="S25" s="247"/>
      <c r="T25" s="247"/>
      <c r="U25" s="247"/>
    </row>
    <row r="26" customFormat="false" ht="15.6" hidden="false" customHeight="false" outlineLevel="0" collapsed="false">
      <c r="A26" s="243" t="s">
        <v>174</v>
      </c>
      <c r="B26" s="244" t="n">
        <v>5000</v>
      </c>
      <c r="C26" s="244"/>
      <c r="D26" s="244"/>
      <c r="M26" s="247"/>
      <c r="N26" s="247"/>
      <c r="O26" s="247"/>
      <c r="P26" s="247"/>
      <c r="Q26" s="247"/>
      <c r="R26" s="247"/>
      <c r="S26" s="247"/>
      <c r="T26" s="247"/>
      <c r="U26" s="247"/>
    </row>
    <row r="27" customFormat="false" ht="15.6" hidden="false" customHeight="true" outlineLevel="0" collapsed="false">
      <c r="A27" s="245" t="s">
        <v>150</v>
      </c>
      <c r="B27" s="245" t="s">
        <v>151</v>
      </c>
      <c r="C27" s="245" t="s">
        <v>152</v>
      </c>
      <c r="D27" s="245" t="s">
        <v>153</v>
      </c>
      <c r="E27" s="243" t="s">
        <v>154</v>
      </c>
      <c r="F27" s="243"/>
      <c r="G27" s="245" t="s">
        <v>155</v>
      </c>
      <c r="H27" s="246" t="s">
        <v>156</v>
      </c>
      <c r="I27" s="246"/>
      <c r="J27" s="246"/>
      <c r="L27" s="254"/>
      <c r="U27" s="247"/>
    </row>
    <row r="28" customFormat="false" ht="14.25" hidden="false" customHeight="true" outlineLevel="0" collapsed="false">
      <c r="A28" s="245"/>
      <c r="B28" s="245"/>
      <c r="C28" s="245"/>
      <c r="D28" s="245"/>
      <c r="E28" s="248" t="s">
        <v>157</v>
      </c>
      <c r="F28" s="248" t="s">
        <v>158</v>
      </c>
      <c r="G28" s="245"/>
      <c r="H28" s="248" t="s">
        <v>43</v>
      </c>
      <c r="I28" s="248" t="s">
        <v>44</v>
      </c>
      <c r="J28" s="248" t="s">
        <v>159</v>
      </c>
      <c r="L28" s="254"/>
      <c r="M28" s="247"/>
      <c r="N28" s="247"/>
      <c r="O28" s="247"/>
      <c r="P28" s="247"/>
      <c r="Q28" s="247"/>
      <c r="R28" s="247"/>
      <c r="S28" s="247"/>
      <c r="T28" s="247"/>
      <c r="U28" s="247"/>
    </row>
    <row r="29" customFormat="false" ht="18" hidden="false" customHeight="true" outlineLevel="0" collapsed="false">
      <c r="A29" s="252" t="s">
        <v>175</v>
      </c>
      <c r="B29" s="152" t="n">
        <v>65.73</v>
      </c>
      <c r="C29" s="152" t="n">
        <f aca="false">+$B$26*B29/100</f>
        <v>3286.5</v>
      </c>
      <c r="D29" s="152"/>
      <c r="E29" s="148" t="n">
        <v>1138.63</v>
      </c>
      <c r="F29" s="244" t="n">
        <v>450</v>
      </c>
      <c r="G29" s="152" t="n">
        <f aca="false">+C29+E29-F29-D29</f>
        <v>3975.13</v>
      </c>
      <c r="H29" s="150" t="n">
        <v>3756.074</v>
      </c>
      <c r="I29" s="113" t="n">
        <f aca="false">+G29-H29</f>
        <v>219.056</v>
      </c>
      <c r="J29" s="120" t="n">
        <f aca="false">+H29/G29</f>
        <v>0.944893374556304</v>
      </c>
      <c r="L29" s="254"/>
      <c r="M29" s="255"/>
      <c r="N29" s="255"/>
      <c r="O29" s="256"/>
      <c r="P29" s="256"/>
      <c r="Q29" s="256"/>
      <c r="R29" s="256"/>
      <c r="S29" s="256"/>
      <c r="T29" s="256"/>
      <c r="U29" s="247"/>
    </row>
    <row r="30" customFormat="false" ht="15" hidden="false" customHeight="true" outlineLevel="0" collapsed="false">
      <c r="A30" s="252" t="s">
        <v>176</v>
      </c>
      <c r="B30" s="152" t="n">
        <v>22.7726</v>
      </c>
      <c r="C30" s="152" t="n">
        <f aca="false">+$B$26*B30/100</f>
        <v>1138.63</v>
      </c>
      <c r="D30" s="152"/>
      <c r="E30" s="148"/>
      <c r="F30" s="152" t="n">
        <v>1138.63</v>
      </c>
      <c r="G30" s="152" t="n">
        <f aca="false">+C30+E30-F30-D30</f>
        <v>0</v>
      </c>
      <c r="H30" s="150" t="n">
        <v>0</v>
      </c>
      <c r="I30" s="113" t="n">
        <f aca="false">+G30-H30</f>
        <v>0</v>
      </c>
      <c r="J30" s="120" t="e">
        <f aca="false">+H30/G30</f>
        <v>#DIV/0!</v>
      </c>
      <c r="L30" s="254"/>
      <c r="M30" s="156"/>
      <c r="N30" s="257"/>
      <c r="O30" s="257"/>
      <c r="P30" s="257"/>
      <c r="Q30" s="257"/>
      <c r="R30" s="197"/>
      <c r="S30" s="257"/>
      <c r="T30" s="257"/>
      <c r="U30" s="247"/>
    </row>
    <row r="31" customFormat="false" ht="15" hidden="false" customHeight="true" outlineLevel="0" collapsed="false">
      <c r="A31" s="249" t="s">
        <v>168</v>
      </c>
      <c r="B31" s="152" t="n">
        <v>0.225</v>
      </c>
      <c r="C31" s="152" t="n">
        <f aca="false">+$B$26*B31/100</f>
        <v>11.25</v>
      </c>
      <c r="D31" s="152"/>
      <c r="E31" s="148"/>
      <c r="F31" s="148"/>
      <c r="G31" s="152" t="n">
        <f aca="false">+C31+E31-F31-D31</f>
        <v>11.25</v>
      </c>
      <c r="H31" s="150" t="n">
        <v>10.806</v>
      </c>
      <c r="I31" s="113" t="n">
        <f aca="false">+G31-H31</f>
        <v>0.444000000000001</v>
      </c>
      <c r="J31" s="120" t="n">
        <f aca="false">+H31/G31</f>
        <v>0.960533333333333</v>
      </c>
      <c r="L31" s="254"/>
      <c r="U31" s="247"/>
    </row>
    <row r="32" customFormat="false" ht="15" hidden="false" customHeight="true" outlineLevel="0" collapsed="false">
      <c r="A32" s="258" t="s">
        <v>165</v>
      </c>
      <c r="B32" s="152" t="n">
        <v>4.44</v>
      </c>
      <c r="C32" s="152" t="n">
        <f aca="false">+$B$26*B32/100</f>
        <v>222</v>
      </c>
      <c r="D32" s="152"/>
      <c r="E32" s="153"/>
      <c r="F32" s="152"/>
      <c r="G32" s="152" t="n">
        <f aca="false">+C32+E32-F32-D32</f>
        <v>222</v>
      </c>
      <c r="H32" s="150" t="n">
        <v>183.798</v>
      </c>
      <c r="I32" s="113" t="n">
        <f aca="false">+G32-H32</f>
        <v>38.202</v>
      </c>
      <c r="J32" s="120" t="n">
        <f aca="false">+H32/G32</f>
        <v>0.827918918918919</v>
      </c>
      <c r="L32" s="254"/>
      <c r="U32" s="247"/>
    </row>
    <row r="33" customFormat="false" ht="15" hidden="false" customHeight="true" outlineLevel="0" collapsed="false">
      <c r="A33" s="252" t="s">
        <v>177</v>
      </c>
      <c r="B33" s="152" t="n">
        <v>1.5</v>
      </c>
      <c r="C33" s="152" t="n">
        <f aca="false">+$B$26*B33/100</f>
        <v>75</v>
      </c>
      <c r="D33" s="152"/>
      <c r="E33" s="148"/>
      <c r="F33" s="148"/>
      <c r="G33" s="152" t="n">
        <f aca="false">+C33+E33-F33-D33</f>
        <v>75</v>
      </c>
      <c r="H33" s="150" t="n">
        <v>0</v>
      </c>
      <c r="I33" s="113" t="n">
        <f aca="false">+G33-H33</f>
        <v>75</v>
      </c>
      <c r="J33" s="120" t="n">
        <f aca="false">+H33/G33</f>
        <v>0</v>
      </c>
      <c r="L33" s="254"/>
      <c r="M33" s="156"/>
      <c r="N33" s="257"/>
      <c r="O33" s="257"/>
      <c r="P33" s="257"/>
      <c r="Q33" s="257"/>
      <c r="R33" s="257"/>
      <c r="S33" s="257"/>
      <c r="T33" s="257"/>
      <c r="U33" s="247"/>
    </row>
    <row r="34" customFormat="false" ht="15" hidden="false" customHeight="true" outlineLevel="0" collapsed="false">
      <c r="A34" s="252" t="s">
        <v>178</v>
      </c>
      <c r="B34" s="152" t="n">
        <v>0.5</v>
      </c>
      <c r="C34" s="152" t="n">
        <f aca="false">+$B$26*B34/100</f>
        <v>25</v>
      </c>
      <c r="D34" s="152"/>
      <c r="E34" s="148"/>
      <c r="F34" s="152"/>
      <c r="G34" s="152" t="n">
        <f aca="false">+C34+E34-F34-D34</f>
        <v>25</v>
      </c>
      <c r="H34" s="150" t="n">
        <v>0</v>
      </c>
      <c r="I34" s="113" t="n">
        <f aca="false">+G34-H34</f>
        <v>25</v>
      </c>
      <c r="J34" s="120" t="n">
        <f aca="false">+H34/G34</f>
        <v>0</v>
      </c>
      <c r="L34" s="254"/>
      <c r="U34" s="247"/>
    </row>
    <row r="35" customFormat="false" ht="15" hidden="false" customHeight="true" outlineLevel="0" collapsed="false">
      <c r="A35" s="252" t="s">
        <v>164</v>
      </c>
      <c r="B35" s="152" t="n">
        <v>0.5</v>
      </c>
      <c r="C35" s="152" t="n">
        <f aca="false">+$B$26*B35/100</f>
        <v>25</v>
      </c>
      <c r="D35" s="152"/>
      <c r="E35" s="148"/>
      <c r="F35" s="152" t="n">
        <v>25</v>
      </c>
      <c r="G35" s="152" t="n">
        <f aca="false">+C35+E35-F35-D35</f>
        <v>0</v>
      </c>
      <c r="H35" s="150" t="n">
        <v>0</v>
      </c>
      <c r="I35" s="113" t="n">
        <f aca="false">+G35-H35</f>
        <v>0</v>
      </c>
      <c r="J35" s="120" t="e">
        <f aca="false">+H35/G35</f>
        <v>#DIV/0!</v>
      </c>
      <c r="L35" s="254"/>
      <c r="U35" s="247"/>
    </row>
    <row r="36" customFormat="false" ht="13.8" hidden="false" customHeight="false" outlineLevel="0" collapsed="false">
      <c r="A36" s="252" t="s">
        <v>179</v>
      </c>
      <c r="B36" s="152" t="n">
        <v>0.5</v>
      </c>
      <c r="C36" s="152" t="n">
        <f aca="false">+$B$26*B36/100</f>
        <v>25</v>
      </c>
      <c r="D36" s="152"/>
      <c r="E36" s="148"/>
      <c r="F36" s="152"/>
      <c r="G36" s="152" t="n">
        <f aca="false">+C36+E36-F36-D36</f>
        <v>25</v>
      </c>
      <c r="H36" s="150" t="n">
        <v>0</v>
      </c>
      <c r="I36" s="113" t="n">
        <f aca="false">+G36-H36</f>
        <v>25</v>
      </c>
      <c r="J36" s="120" t="n">
        <f aca="false">+H36/G36</f>
        <v>0</v>
      </c>
      <c r="L36" s="254"/>
      <c r="M36" s="247"/>
      <c r="N36" s="247"/>
      <c r="O36" s="247"/>
      <c r="P36" s="247"/>
      <c r="Q36" s="247"/>
      <c r="R36" s="247"/>
      <c r="S36" s="247"/>
      <c r="T36" s="247"/>
      <c r="U36" s="247"/>
    </row>
    <row r="37" customFormat="false" ht="13.8" hidden="false" customHeight="false" outlineLevel="0" collapsed="false">
      <c r="A37" s="252" t="s">
        <v>166</v>
      </c>
      <c r="B37" s="152" t="n">
        <v>1.68</v>
      </c>
      <c r="C37" s="152" t="n">
        <f aca="false">+$B$26*B37/100</f>
        <v>84</v>
      </c>
      <c r="D37" s="152"/>
      <c r="E37" s="244" t="n">
        <v>486.25</v>
      </c>
      <c r="F37" s="152"/>
      <c r="G37" s="152" t="n">
        <f aca="false">+C37+E37-F37-D37</f>
        <v>570.25</v>
      </c>
      <c r="H37" s="150" t="n">
        <v>550.736</v>
      </c>
      <c r="I37" s="113" t="n">
        <f aca="false">+G37-H37</f>
        <v>19.514</v>
      </c>
      <c r="J37" s="120" t="n">
        <f aca="false">+H37/G37</f>
        <v>0.965779921087242</v>
      </c>
      <c r="L37" s="254"/>
      <c r="M37" s="247"/>
      <c r="N37" s="247"/>
      <c r="O37" s="247"/>
      <c r="P37" s="247"/>
      <c r="Q37" s="247"/>
      <c r="R37" s="247"/>
      <c r="S37" s="247"/>
      <c r="T37" s="247"/>
      <c r="U37" s="247"/>
    </row>
    <row r="38" customFormat="false" ht="13.8" hidden="false" customHeight="false" outlineLevel="0" collapsed="false">
      <c r="A38" s="252" t="s">
        <v>180</v>
      </c>
      <c r="B38" s="152" t="n">
        <v>1.93</v>
      </c>
      <c r="C38" s="152" t="n">
        <f aca="false">+$B$26*B38/100</f>
        <v>96.5</v>
      </c>
      <c r="D38" s="152"/>
      <c r="E38" s="148"/>
      <c r="F38" s="152"/>
      <c r="G38" s="152" t="n">
        <f aca="false">+C38+E38-F38-D38</f>
        <v>96.5</v>
      </c>
      <c r="H38" s="150" t="n">
        <v>94.45</v>
      </c>
      <c r="I38" s="113" t="n">
        <f aca="false">+G38-H38</f>
        <v>2.05</v>
      </c>
      <c r="J38" s="120" t="n">
        <f aca="false">+H38/G38</f>
        <v>0.978756476683938</v>
      </c>
      <c r="L38" s="254"/>
      <c r="M38" s="156"/>
      <c r="N38" s="257"/>
      <c r="O38" s="257"/>
      <c r="P38" s="257"/>
      <c r="Q38" s="257"/>
      <c r="R38" s="197"/>
      <c r="S38" s="257"/>
      <c r="T38" s="257"/>
      <c r="U38" s="247"/>
    </row>
    <row r="39" customFormat="false" ht="13.8" hidden="false" customHeight="false" outlineLevel="0" collapsed="false">
      <c r="A39" s="252" t="s">
        <v>181</v>
      </c>
      <c r="B39" s="152" t="n">
        <v>0</v>
      </c>
      <c r="C39" s="152" t="n">
        <f aca="false">+$B$26*B39/100</f>
        <v>0</v>
      </c>
      <c r="D39" s="152"/>
      <c r="E39" s="148"/>
      <c r="F39" s="152"/>
      <c r="G39" s="152" t="n">
        <f aca="false">+C39+E39-F39-D39</f>
        <v>0</v>
      </c>
      <c r="H39" s="150" t="n">
        <v>0</v>
      </c>
      <c r="I39" s="113" t="n">
        <f aca="false">+G39-H39</f>
        <v>0</v>
      </c>
      <c r="J39" s="120" t="e">
        <f aca="false">+H39/G39</f>
        <v>#DIV/0!</v>
      </c>
      <c r="L39" s="254"/>
      <c r="U39" s="247"/>
    </row>
    <row r="40" customFormat="false" ht="13.8" hidden="false" customHeight="false" outlineLevel="0" collapsed="false">
      <c r="A40" s="114" t="s">
        <v>182</v>
      </c>
      <c r="B40" s="152" t="n">
        <v>0.225</v>
      </c>
      <c r="C40" s="152" t="n">
        <f aca="false">+$B$26*B40/100</f>
        <v>11.25</v>
      </c>
      <c r="D40" s="152"/>
      <c r="E40" s="148"/>
      <c r="F40" s="152" t="n">
        <v>11.25</v>
      </c>
      <c r="G40" s="152" t="n">
        <f aca="false">+C40+E40-F40-D40</f>
        <v>0</v>
      </c>
      <c r="H40" s="150" t="n">
        <v>0</v>
      </c>
      <c r="I40" s="113" t="n">
        <f aca="false">+G40-H40</f>
        <v>0</v>
      </c>
      <c r="J40" s="120" t="e">
        <f aca="false">+H40/G40</f>
        <v>#DIV/0!</v>
      </c>
      <c r="L40" s="254"/>
      <c r="U40" s="247"/>
    </row>
    <row r="41" customFormat="false" ht="13.8" hidden="false" customHeight="false" outlineLevel="0" collapsed="false">
      <c r="A41" s="253"/>
      <c r="B41" s="253"/>
      <c r="C41" s="253"/>
      <c r="D41" s="253"/>
      <c r="E41" s="253"/>
      <c r="F41" s="253"/>
      <c r="G41" s="253"/>
      <c r="H41" s="253"/>
      <c r="I41" s="253"/>
      <c r="J41" s="253"/>
      <c r="L41" s="149"/>
      <c r="U41" s="247"/>
    </row>
    <row r="42" customFormat="false" ht="15.6" hidden="false" customHeight="true" outlineLevel="0" collapsed="false">
      <c r="A42" s="243" t="s">
        <v>173</v>
      </c>
      <c r="B42" s="245" t="s">
        <v>151</v>
      </c>
      <c r="C42" s="245" t="s">
        <v>152</v>
      </c>
      <c r="D42" s="245" t="s">
        <v>153</v>
      </c>
      <c r="E42" s="243" t="s">
        <v>154</v>
      </c>
      <c r="F42" s="243"/>
      <c r="G42" s="245" t="s">
        <v>155</v>
      </c>
      <c r="H42" s="246" t="s">
        <v>156</v>
      </c>
      <c r="I42" s="246"/>
      <c r="J42" s="246"/>
    </row>
    <row r="43" customFormat="false" ht="15.6" hidden="false" customHeight="false" outlineLevel="0" collapsed="false">
      <c r="A43" s="248" t="s">
        <v>174</v>
      </c>
      <c r="B43" s="245"/>
      <c r="C43" s="245"/>
      <c r="D43" s="245"/>
      <c r="E43" s="248" t="s">
        <v>157</v>
      </c>
      <c r="F43" s="248" t="s">
        <v>158</v>
      </c>
      <c r="G43" s="245"/>
      <c r="H43" s="248" t="s">
        <v>43</v>
      </c>
      <c r="I43" s="248" t="s">
        <v>44</v>
      </c>
      <c r="J43" s="248" t="s">
        <v>159</v>
      </c>
      <c r="U43" s="247"/>
    </row>
    <row r="44" customFormat="false" ht="13.8" hidden="false" customHeight="false" outlineLevel="0" collapsed="false">
      <c r="A44" s="248"/>
      <c r="B44" s="152" t="n">
        <f aca="false">SUM(B29:B39)</f>
        <v>99.7776</v>
      </c>
      <c r="C44" s="152" t="n">
        <f aca="false">SUM(C29:C39)</f>
        <v>4988.88</v>
      </c>
      <c r="D44" s="152" t="n">
        <f aca="false">SUM(D29:D39)</f>
        <v>0</v>
      </c>
      <c r="E44" s="152" t="n">
        <f aca="false">SUM(E29:E39)</f>
        <v>1624.88</v>
      </c>
      <c r="F44" s="152" t="n">
        <f aca="false">SUM(F29:F39)</f>
        <v>1613.63</v>
      </c>
      <c r="G44" s="152" t="n">
        <f aca="false">SUM(G29:G39)</f>
        <v>5000.13</v>
      </c>
      <c r="H44" s="152" t="n">
        <f aca="false">SUM(H29:H39)</f>
        <v>4595.864</v>
      </c>
      <c r="I44" s="152" t="n">
        <f aca="false">SUM(I29:I39)</f>
        <v>404.266</v>
      </c>
      <c r="J44" s="120" t="n">
        <f aca="false">+H44/G44</f>
        <v>0.919148902128545</v>
      </c>
      <c r="M44" s="247"/>
      <c r="N44" s="247"/>
      <c r="O44" s="247"/>
      <c r="P44" s="247"/>
      <c r="Q44" s="247"/>
      <c r="R44" s="247"/>
      <c r="S44" s="247"/>
      <c r="T44" s="247"/>
      <c r="U44" s="247"/>
    </row>
    <row r="45" customFormat="false" ht="13.8" hidden="false" customHeight="false" outlineLevel="0" collapsed="false">
      <c r="B45" s="244"/>
      <c r="C45" s="244"/>
      <c r="D45" s="244"/>
      <c r="M45" s="247"/>
      <c r="N45" s="247"/>
      <c r="O45" s="247"/>
      <c r="P45" s="247"/>
      <c r="Q45" s="247"/>
      <c r="R45" s="247"/>
      <c r="S45" s="247"/>
      <c r="T45" s="247"/>
      <c r="U45" s="247"/>
    </row>
    <row r="46" customFormat="false" ht="15.6" hidden="false" customHeight="false" outlineLevel="0" collapsed="false">
      <c r="A46" s="243" t="s">
        <v>183</v>
      </c>
      <c r="B46" s="244" t="n">
        <v>3000</v>
      </c>
      <c r="C46" s="244"/>
      <c r="D46" s="244"/>
      <c r="M46" s="247"/>
      <c r="N46" s="247"/>
      <c r="O46" s="247"/>
      <c r="P46" s="247"/>
      <c r="Q46" s="247"/>
      <c r="R46" s="247"/>
      <c r="S46" s="247"/>
      <c r="T46" s="247"/>
      <c r="U46" s="247"/>
    </row>
    <row r="47" customFormat="false" ht="15.6" hidden="false" customHeight="true" outlineLevel="0" collapsed="false">
      <c r="A47" s="245" t="s">
        <v>150</v>
      </c>
      <c r="B47" s="245" t="s">
        <v>151</v>
      </c>
      <c r="C47" s="245" t="s">
        <v>152</v>
      </c>
      <c r="D47" s="245" t="s">
        <v>153</v>
      </c>
      <c r="E47" s="243" t="s">
        <v>154</v>
      </c>
      <c r="F47" s="243"/>
      <c r="G47" s="245" t="s">
        <v>155</v>
      </c>
      <c r="H47" s="246" t="s">
        <v>156</v>
      </c>
      <c r="I47" s="246"/>
      <c r="J47" s="246"/>
      <c r="K47" s="254"/>
      <c r="L47" s="254"/>
      <c r="M47" s="247"/>
      <c r="N47" s="254"/>
      <c r="O47" s="254"/>
      <c r="P47" s="254"/>
      <c r="Q47" s="254"/>
      <c r="R47" s="254"/>
      <c r="S47" s="254"/>
      <c r="T47" s="254"/>
      <c r="U47" s="254"/>
    </row>
    <row r="48" customFormat="false" ht="18.75" hidden="false" customHeight="true" outlineLevel="0" collapsed="false">
      <c r="A48" s="245"/>
      <c r="B48" s="245"/>
      <c r="C48" s="245"/>
      <c r="D48" s="245"/>
      <c r="E48" s="248" t="s">
        <v>157</v>
      </c>
      <c r="F48" s="248" t="s">
        <v>158</v>
      </c>
      <c r="G48" s="245"/>
      <c r="H48" s="248" t="s">
        <v>43</v>
      </c>
      <c r="I48" s="248" t="s">
        <v>44</v>
      </c>
      <c r="J48" s="248" t="s">
        <v>159</v>
      </c>
      <c r="K48" s="254"/>
      <c r="L48" s="254"/>
      <c r="M48" s="256"/>
      <c r="N48" s="256"/>
      <c r="O48" s="256"/>
      <c r="P48" s="256"/>
      <c r="Q48" s="256"/>
      <c r="R48" s="256"/>
      <c r="S48" s="256"/>
      <c r="T48" s="254"/>
    </row>
    <row r="49" customFormat="false" ht="13.8" hidden="false" customHeight="false" outlineLevel="0" collapsed="false">
      <c r="A49" s="252" t="s">
        <v>184</v>
      </c>
      <c r="B49" s="152" t="n">
        <v>10</v>
      </c>
      <c r="C49" s="152" t="n">
        <f aca="false">+B49*$B$46/100</f>
        <v>300</v>
      </c>
      <c r="D49" s="152"/>
      <c r="E49" s="153"/>
      <c r="F49" s="152"/>
      <c r="G49" s="152" t="n">
        <f aca="false">+C49-D49+E49-F49</f>
        <v>300</v>
      </c>
      <c r="H49" s="150" t="n">
        <v>219.8</v>
      </c>
      <c r="I49" s="113" t="n">
        <f aca="false">G49-H49</f>
        <v>80.2</v>
      </c>
      <c r="J49" s="120" t="n">
        <f aca="false">+H49/G49</f>
        <v>0.732666666666667</v>
      </c>
      <c r="K49" s="259"/>
      <c r="L49" s="259"/>
      <c r="M49" s="260"/>
      <c r="N49" s="260"/>
      <c r="O49" s="260"/>
      <c r="P49" s="260"/>
      <c r="Q49" s="260"/>
      <c r="R49" s="260"/>
      <c r="S49" s="260"/>
      <c r="T49" s="254"/>
    </row>
    <row r="50" customFormat="false" ht="13.8" hidden="false" customHeight="false" outlineLevel="0" collapsed="false">
      <c r="A50" s="252" t="s">
        <v>185</v>
      </c>
      <c r="B50" s="152" t="n">
        <v>1</v>
      </c>
      <c r="C50" s="152" t="n">
        <f aca="false">+B50*$B$46/100</f>
        <v>30</v>
      </c>
      <c r="D50" s="152"/>
      <c r="E50" s="153"/>
      <c r="F50" s="152" t="n">
        <v>30</v>
      </c>
      <c r="G50" s="152" t="n">
        <f aca="false">+C50-D50+E50-F50</f>
        <v>0</v>
      </c>
      <c r="H50" s="150" t="n">
        <v>0</v>
      </c>
      <c r="I50" s="113" t="n">
        <f aca="false">G50-H50</f>
        <v>0</v>
      </c>
      <c r="J50" s="120" t="e">
        <f aca="false">+H50/G50</f>
        <v>#DIV/0!</v>
      </c>
      <c r="K50" s="259"/>
      <c r="L50" s="259"/>
      <c r="M50" s="260"/>
      <c r="N50" s="260"/>
      <c r="O50" s="260"/>
      <c r="P50" s="260"/>
      <c r="Q50" s="260"/>
      <c r="R50" s="260"/>
      <c r="S50" s="260"/>
      <c r="T50" s="254"/>
    </row>
    <row r="51" customFormat="false" ht="13.8" hidden="false" customHeight="false" outlineLevel="0" collapsed="false">
      <c r="A51" s="252" t="s">
        <v>186</v>
      </c>
      <c r="B51" s="152" t="n">
        <v>28.315</v>
      </c>
      <c r="C51" s="152" t="n">
        <f aca="false">+B51*$B$46/100</f>
        <v>849.45</v>
      </c>
      <c r="D51" s="152"/>
      <c r="E51" s="148"/>
      <c r="F51" s="148"/>
      <c r="G51" s="152" t="n">
        <f aca="false">+C51-D51+E51-F51</f>
        <v>849.45</v>
      </c>
      <c r="H51" s="150" t="n">
        <v>280.894</v>
      </c>
      <c r="I51" s="113" t="n">
        <f aca="false">G51-H51</f>
        <v>568.556</v>
      </c>
      <c r="J51" s="120" t="n">
        <f aca="false">+H51/G51</f>
        <v>0.330677497204073</v>
      </c>
      <c r="K51" s="259"/>
      <c r="L51" s="259"/>
      <c r="M51" s="260"/>
      <c r="N51" s="260"/>
      <c r="O51" s="260"/>
      <c r="P51" s="260"/>
      <c r="Q51" s="260"/>
      <c r="R51" s="260"/>
      <c r="S51" s="260"/>
      <c r="T51" s="254"/>
    </row>
    <row r="52" customFormat="false" ht="13.8" hidden="false" customHeight="false" outlineLevel="0" collapsed="false">
      <c r="A52" s="252" t="s">
        <v>187</v>
      </c>
      <c r="B52" s="152" t="n">
        <v>18.61</v>
      </c>
      <c r="C52" s="152" t="n">
        <f aca="false">+B52*$B$46/100</f>
        <v>558.3</v>
      </c>
      <c r="D52" s="152"/>
      <c r="E52" s="148"/>
      <c r="F52" s="152"/>
      <c r="G52" s="152" t="n">
        <f aca="false">+C52-D52+E52-F52</f>
        <v>558.3</v>
      </c>
      <c r="H52" s="150" t="n">
        <v>328.752</v>
      </c>
      <c r="I52" s="113" t="n">
        <f aca="false">G52-H52</f>
        <v>229.548</v>
      </c>
      <c r="J52" s="120" t="n">
        <f aca="false">+H52/G52</f>
        <v>0.588844707146695</v>
      </c>
      <c r="K52" s="259"/>
      <c r="L52" s="259"/>
      <c r="M52" s="260"/>
      <c r="N52" s="260"/>
      <c r="O52" s="260"/>
      <c r="P52" s="260"/>
      <c r="Q52" s="260"/>
      <c r="R52" s="260"/>
      <c r="S52" s="260"/>
      <c r="T52" s="254"/>
    </row>
    <row r="53" customFormat="false" ht="13.8" hidden="false" customHeight="false" outlineLevel="0" collapsed="false">
      <c r="A53" s="249" t="s">
        <v>188</v>
      </c>
      <c r="B53" s="152"/>
      <c r="C53" s="152" t="n">
        <f aca="false">+B53*$B$46/100</f>
        <v>0</v>
      </c>
      <c r="D53" s="152"/>
      <c r="E53" s="148"/>
      <c r="F53" s="148"/>
      <c r="G53" s="152" t="n">
        <f aca="false">+C53-D53+E53-F53</f>
        <v>0</v>
      </c>
      <c r="H53" s="150"/>
      <c r="I53" s="113" t="n">
        <f aca="false">G53-H53</f>
        <v>0</v>
      </c>
      <c r="J53" s="120" t="e">
        <f aca="false">+H53/G53</f>
        <v>#DIV/0!</v>
      </c>
      <c r="K53" s="254"/>
    </row>
    <row r="54" customFormat="false" ht="13.8" hidden="false" customHeight="false" outlineLevel="0" collapsed="false">
      <c r="A54" s="252" t="s">
        <v>189</v>
      </c>
      <c r="B54" s="152" t="n">
        <v>42.075</v>
      </c>
      <c r="C54" s="152" t="n">
        <f aca="false">+B54*$B$46/100</f>
        <v>1262.25</v>
      </c>
      <c r="D54" s="152"/>
      <c r="E54" s="148" t="n">
        <v>30</v>
      </c>
      <c r="F54" s="152"/>
      <c r="G54" s="152" t="n">
        <f aca="false">+C54-D54+E54-F54</f>
        <v>1292.25</v>
      </c>
      <c r="H54" s="150" t="n">
        <v>918.464</v>
      </c>
      <c r="I54" s="113" t="n">
        <f aca="false">G54-H54</f>
        <v>373.786</v>
      </c>
      <c r="J54" s="120" t="n">
        <f aca="false">+H54/G54</f>
        <v>0.710747920294061</v>
      </c>
      <c r="K54" s="259"/>
      <c r="U54" s="254"/>
    </row>
    <row r="55" customFormat="false" ht="13.8" hidden="false" customHeight="false" outlineLevel="0" collapsed="false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L55" s="259"/>
      <c r="U55" s="254"/>
    </row>
    <row r="56" customFormat="false" ht="15.6" hidden="false" customHeight="true" outlineLevel="0" collapsed="false">
      <c r="A56" s="243" t="s">
        <v>173</v>
      </c>
      <c r="B56" s="245" t="s">
        <v>151</v>
      </c>
      <c r="C56" s="245" t="s">
        <v>152</v>
      </c>
      <c r="D56" s="245" t="s">
        <v>153</v>
      </c>
      <c r="E56" s="243" t="s">
        <v>154</v>
      </c>
      <c r="F56" s="243"/>
      <c r="G56" s="245" t="s">
        <v>155</v>
      </c>
      <c r="H56" s="246" t="s">
        <v>156</v>
      </c>
      <c r="I56" s="246"/>
      <c r="J56" s="246"/>
      <c r="M56" s="254"/>
      <c r="N56" s="254"/>
      <c r="O56" s="254"/>
      <c r="P56" s="254"/>
      <c r="Q56" s="254"/>
      <c r="R56" s="254"/>
      <c r="S56" s="254"/>
      <c r="T56" s="254"/>
      <c r="U56" s="254"/>
    </row>
    <row r="57" customFormat="false" ht="15.6" hidden="false" customHeight="false" outlineLevel="0" collapsed="false">
      <c r="A57" s="248" t="s">
        <v>183</v>
      </c>
      <c r="B57" s="245"/>
      <c r="C57" s="245"/>
      <c r="D57" s="245"/>
      <c r="E57" s="248" t="s">
        <v>157</v>
      </c>
      <c r="F57" s="248" t="s">
        <v>158</v>
      </c>
      <c r="G57" s="245"/>
      <c r="H57" s="248" t="s">
        <v>43</v>
      </c>
      <c r="I57" s="248" t="s">
        <v>44</v>
      </c>
      <c r="J57" s="248" t="s">
        <v>159</v>
      </c>
    </row>
    <row r="58" customFormat="false" ht="13.8" hidden="false" customHeight="false" outlineLevel="0" collapsed="false">
      <c r="A58" s="248"/>
      <c r="B58" s="152" t="n">
        <f aca="false">SUM(B49:B54)</f>
        <v>100</v>
      </c>
      <c r="C58" s="152" t="n">
        <f aca="false">SUM(C49:C54)</f>
        <v>3000</v>
      </c>
      <c r="D58" s="152" t="n">
        <f aca="false">SUM(D49:D54)</f>
        <v>0</v>
      </c>
      <c r="E58" s="152" t="n">
        <f aca="false">SUM(E49:E54)</f>
        <v>30</v>
      </c>
      <c r="F58" s="152" t="n">
        <f aca="false">SUM(F49:F54)</f>
        <v>30</v>
      </c>
      <c r="G58" s="152" t="n">
        <f aca="false">SUM(G49:G54)</f>
        <v>3000</v>
      </c>
      <c r="H58" s="152" t="n">
        <f aca="false">SUM(H49:H54)</f>
        <v>1747.91</v>
      </c>
      <c r="I58" s="152" t="n">
        <f aca="false">SUM(I49:I54)</f>
        <v>1252.09</v>
      </c>
      <c r="J58" s="262" t="n">
        <f aca="false">+H58/G58</f>
        <v>0.582636666666667</v>
      </c>
    </row>
    <row r="60" customFormat="false" ht="13.8" hidden="false" customHeight="false" outlineLevel="0" collapsed="false">
      <c r="A60" s="251"/>
    </row>
    <row r="61" customFormat="false" ht="13.8" hidden="false" customHeight="false" outlineLevel="0" collapsed="false">
      <c r="A61" s="263"/>
      <c r="B61" s="254"/>
    </row>
    <row r="62" customFormat="false" ht="13.8" hidden="false" customHeight="false" outlineLevel="0" collapsed="false">
      <c r="A62" s="263"/>
      <c r="B62" s="254"/>
    </row>
    <row r="63" customFormat="false" ht="13.8" hidden="false" customHeight="false" outlineLevel="0" collapsed="false">
      <c r="A63" s="263"/>
      <c r="B63" s="254"/>
    </row>
    <row r="64" customFormat="false" ht="13.8" hidden="false" customHeight="false" outlineLevel="0" collapsed="false">
      <c r="A64" s="263"/>
      <c r="B64" s="254"/>
    </row>
    <row r="65" customFormat="false" ht="13.8" hidden="false" customHeight="false" outlineLevel="0" collapsed="false">
      <c r="A65" s="263"/>
      <c r="B65" s="254"/>
    </row>
    <row r="66" customFormat="false" ht="13.8" hidden="false" customHeight="false" outlineLevel="0" collapsed="false">
      <c r="A66" s="247"/>
      <c r="B66" s="254"/>
    </row>
  </sheetData>
  <mergeCells count="44">
    <mergeCell ref="A2:J2"/>
    <mergeCell ref="A3:J3"/>
    <mergeCell ref="A6:A7"/>
    <mergeCell ref="B6:B7"/>
    <mergeCell ref="C6:C7"/>
    <mergeCell ref="D6:D7"/>
    <mergeCell ref="E6:F6"/>
    <mergeCell ref="G6:G7"/>
    <mergeCell ref="H6:J6"/>
    <mergeCell ref="B22:B23"/>
    <mergeCell ref="C22:C23"/>
    <mergeCell ref="D22:D23"/>
    <mergeCell ref="E22:F22"/>
    <mergeCell ref="G22:G23"/>
    <mergeCell ref="H22:J22"/>
    <mergeCell ref="A23:A24"/>
    <mergeCell ref="A27:A28"/>
    <mergeCell ref="B27:B28"/>
    <mergeCell ref="C27:C28"/>
    <mergeCell ref="D27:D28"/>
    <mergeCell ref="E27:F27"/>
    <mergeCell ref="G27:G28"/>
    <mergeCell ref="H27:J27"/>
    <mergeCell ref="B42:B43"/>
    <mergeCell ref="C42:C43"/>
    <mergeCell ref="D42:D43"/>
    <mergeCell ref="E42:F42"/>
    <mergeCell ref="G42:G43"/>
    <mergeCell ref="H42:J42"/>
    <mergeCell ref="A43:A44"/>
    <mergeCell ref="A47:A48"/>
    <mergeCell ref="B47:B48"/>
    <mergeCell ref="C47:C48"/>
    <mergeCell ref="D47:D48"/>
    <mergeCell ref="E47:F47"/>
    <mergeCell ref="G47:G48"/>
    <mergeCell ref="H47:J47"/>
    <mergeCell ref="B56:B57"/>
    <mergeCell ref="C56:C57"/>
    <mergeCell ref="D56:D57"/>
    <mergeCell ref="E56:F56"/>
    <mergeCell ref="G56:G57"/>
    <mergeCell ref="H56:J56"/>
    <mergeCell ref="A57:A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2:Q7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L9" activeCellId="0" sqref="A5:L10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264" width="27.55"/>
    <col collapsed="false" customWidth="true" hidden="false" outlineLevel="0" max="2" min="2" style="264" width="6.99"/>
    <col collapsed="false" customWidth="true" hidden="false" outlineLevel="0" max="3" min="3" style="264" width="7.1"/>
    <col collapsed="false" customWidth="true" hidden="false" outlineLevel="0" max="4" min="4" style="264" width="12.43"/>
    <col collapsed="false" customWidth="true" hidden="false" outlineLevel="0" max="5" min="5" style="264" width="11.87"/>
    <col collapsed="false" customWidth="true" hidden="false" outlineLevel="0" max="6" min="6" style="264" width="19.99"/>
    <col collapsed="false" customWidth="true" hidden="false" outlineLevel="0" max="7" min="7" style="264" width="11.87"/>
    <col collapsed="false" customWidth="true" hidden="false" outlineLevel="0" max="8" min="8" style="264" width="13.99"/>
    <col collapsed="false" customWidth="true" hidden="false" outlineLevel="0" max="9" min="9" style="264" width="12.32"/>
    <col collapsed="false" customWidth="true" hidden="false" outlineLevel="0" max="10" min="10" style="264" width="19.99"/>
    <col collapsed="false" customWidth="true" hidden="false" outlineLevel="0" max="11" min="11" style="264" width="11.87"/>
    <col collapsed="false" customWidth="true" hidden="false" outlineLevel="0" max="12" min="12" style="264" width="13.99"/>
    <col collapsed="false" customWidth="true" hidden="false" outlineLevel="0" max="13" min="13" style="264" width="19.33"/>
    <col collapsed="false" customWidth="true" hidden="false" outlineLevel="0" max="14" min="14" style="264" width="19.55"/>
    <col collapsed="false" customWidth="false" hidden="false" outlineLevel="0" max="257" min="15" style="264" width="11.43"/>
  </cols>
  <sheetData>
    <row r="2" customFormat="false" ht="15.6" hidden="false" customHeight="false" outlineLevel="0" collapsed="false">
      <c r="A2" s="265" t="s">
        <v>190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</row>
    <row r="3" customFormat="false" ht="15.6" hidden="false" customHeight="false" outlineLevel="0" collapsed="false">
      <c r="A3" s="242" t="s">
        <v>114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</row>
    <row r="4" customFormat="false" ht="13.8" hidden="false" customHeight="false" outlineLevel="0" collapsed="false">
      <c r="A4" s="266"/>
      <c r="B4" s="267"/>
      <c r="C4" s="267"/>
      <c r="D4" s="267"/>
      <c r="E4" s="268"/>
      <c r="F4" s="268"/>
      <c r="G4" s="266"/>
      <c r="H4" s="269"/>
      <c r="I4" s="269"/>
      <c r="J4" s="269"/>
      <c r="K4" s="269"/>
      <c r="L4" s="269"/>
    </row>
    <row r="5" customFormat="false" ht="15.6" hidden="false" customHeight="true" outlineLevel="0" collapsed="false">
      <c r="A5" s="243" t="s">
        <v>191</v>
      </c>
      <c r="B5" s="243" t="s">
        <v>192</v>
      </c>
      <c r="C5" s="243"/>
      <c r="D5" s="243" t="s">
        <v>193</v>
      </c>
      <c r="E5" s="243"/>
      <c r="F5" s="243" t="s">
        <v>156</v>
      </c>
      <c r="G5" s="243"/>
      <c r="H5" s="243"/>
      <c r="I5" s="243" t="s">
        <v>194</v>
      </c>
      <c r="J5" s="243"/>
      <c r="K5" s="243"/>
      <c r="L5" s="243"/>
      <c r="N5" s="270" t="s">
        <v>195</v>
      </c>
      <c r="O5" s="248" t="s">
        <v>196</v>
      </c>
      <c r="P5" s="248" t="s">
        <v>197</v>
      </c>
      <c r="Q5" s="248" t="s">
        <v>198</v>
      </c>
    </row>
    <row r="6" customFormat="false" ht="15.6" hidden="false" customHeight="false" outlineLevel="0" collapsed="false">
      <c r="A6" s="271" t="s">
        <v>150</v>
      </c>
      <c r="B6" s="157" t="s">
        <v>199</v>
      </c>
      <c r="C6" s="157" t="s">
        <v>200</v>
      </c>
      <c r="D6" s="164" t="s">
        <v>201</v>
      </c>
      <c r="E6" s="164" t="s">
        <v>202</v>
      </c>
      <c r="F6" s="164" t="s">
        <v>43</v>
      </c>
      <c r="G6" s="164" t="s">
        <v>44</v>
      </c>
      <c r="H6" s="164" t="s">
        <v>159</v>
      </c>
      <c r="I6" s="164" t="s">
        <v>193</v>
      </c>
      <c r="J6" s="164" t="s">
        <v>43</v>
      </c>
      <c r="K6" s="164" t="s">
        <v>44</v>
      </c>
      <c r="L6" s="164" t="s">
        <v>159</v>
      </c>
      <c r="N6" s="272" t="s">
        <v>203</v>
      </c>
      <c r="O6" s="264" t="n">
        <v>3634.789</v>
      </c>
      <c r="P6" s="264" t="n">
        <v>1362.791</v>
      </c>
      <c r="Q6" s="273" t="n">
        <f aca="false">O6+P6</f>
        <v>4997.58</v>
      </c>
    </row>
    <row r="7" customFormat="false" ht="20.1" hidden="false" customHeight="true" outlineLevel="0" collapsed="false">
      <c r="A7" s="274" t="s">
        <v>204</v>
      </c>
      <c r="B7" s="275" t="n">
        <v>39083</v>
      </c>
      <c r="C7" s="275" t="n">
        <v>39263</v>
      </c>
      <c r="D7" s="276" t="n">
        <v>380097.259</v>
      </c>
      <c r="E7" s="276" t="n">
        <f aca="false">+D7</f>
        <v>380097.259</v>
      </c>
      <c r="F7" s="277" t="n">
        <v>141971.103</v>
      </c>
      <c r="G7" s="278" t="n">
        <f aca="false">+E7-F7</f>
        <v>238126.156</v>
      </c>
      <c r="H7" s="279" t="n">
        <f aca="false">+F7/E7</f>
        <v>0.373512567213751</v>
      </c>
      <c r="I7" s="280" t="n">
        <f aca="false">SUM(D7:D8)</f>
        <v>501854.957</v>
      </c>
      <c r="J7" s="280" t="n">
        <f aca="false">SUM(F7:F8)</f>
        <v>492340.278</v>
      </c>
      <c r="K7" s="281" t="n">
        <f aca="false">+I7-J7</f>
        <v>9514.67900000006</v>
      </c>
      <c r="L7" s="282" t="n">
        <f aca="false">+J7/I7</f>
        <v>0.981040978339883</v>
      </c>
      <c r="M7" s="283"/>
      <c r="N7" s="272" t="s">
        <v>205</v>
      </c>
      <c r="O7" s="284" t="n">
        <v>37673.88</v>
      </c>
      <c r="P7" s="264" t="n">
        <v>141601.188</v>
      </c>
      <c r="Q7" s="273" t="n">
        <f aca="false">O7+P7</f>
        <v>179275.068</v>
      </c>
    </row>
    <row r="8" customFormat="false" ht="20.1" hidden="false" customHeight="true" outlineLevel="0" collapsed="false">
      <c r="A8" s="274"/>
      <c r="B8" s="285" t="n">
        <v>39264</v>
      </c>
      <c r="C8" s="285" t="n">
        <v>39447</v>
      </c>
      <c r="D8" s="286" t="n">
        <v>121757.698</v>
      </c>
      <c r="E8" s="286" t="n">
        <f aca="false">+D8+G7</f>
        <v>359883.854</v>
      </c>
      <c r="F8" s="286" t="n">
        <v>350369.175</v>
      </c>
      <c r="G8" s="287" t="n">
        <f aca="false">+E8-F8</f>
        <v>9514.67900000006</v>
      </c>
      <c r="H8" s="288" t="n">
        <f aca="false">+F8/E8</f>
        <v>0.973561806415466</v>
      </c>
      <c r="I8" s="280"/>
      <c r="J8" s="280"/>
      <c r="K8" s="281"/>
      <c r="L8" s="282"/>
      <c r="M8" s="289"/>
      <c r="N8" s="272" t="s">
        <v>206</v>
      </c>
      <c r="O8" s="284" t="n">
        <v>28788.604</v>
      </c>
      <c r="P8" s="264" t="n">
        <v>10793.705</v>
      </c>
      <c r="Q8" s="273" t="n">
        <f aca="false">O8+P8</f>
        <v>39582.309</v>
      </c>
    </row>
    <row r="9" customFormat="false" ht="20.1" hidden="false" customHeight="true" outlineLevel="0" collapsed="false">
      <c r="A9" s="290" t="s">
        <v>207</v>
      </c>
      <c r="B9" s="275" t="n">
        <v>39083</v>
      </c>
      <c r="C9" s="275" t="n">
        <v>39263</v>
      </c>
      <c r="D9" s="276" t="n">
        <v>100851.676</v>
      </c>
      <c r="E9" s="276" t="n">
        <f aca="false">+D9</f>
        <v>100851.676</v>
      </c>
      <c r="F9" s="291" t="n">
        <v>39186.188</v>
      </c>
      <c r="G9" s="292" t="n">
        <f aca="false">+E9-F9</f>
        <v>61665.488</v>
      </c>
      <c r="H9" s="279" t="n">
        <f aca="false">+F9/E9</f>
        <v>0.388552670160881</v>
      </c>
      <c r="I9" s="293" t="n">
        <f aca="false">SUM(D9:D10)</f>
        <v>138663.973</v>
      </c>
      <c r="J9" s="293" t="n">
        <f aca="false">SUM(F9:F10)</f>
        <v>138561.508</v>
      </c>
      <c r="K9" s="294" t="n">
        <f aca="false">+I9-J9</f>
        <v>102.464999999997</v>
      </c>
      <c r="L9" s="295" t="n">
        <f aca="false">+J9/I9</f>
        <v>0.999261055357184</v>
      </c>
      <c r="M9" s="296"/>
      <c r="N9" s="297" t="s">
        <v>208</v>
      </c>
      <c r="O9" s="298" t="n">
        <f aca="false">SUM(O6:O8)</f>
        <v>70097.273</v>
      </c>
      <c r="P9" s="299" t="n">
        <f aca="false">SUM(P6:P8)</f>
        <v>153757.684</v>
      </c>
      <c r="Q9" s="298" t="n">
        <f aca="false">SUM(Q6:Q8)</f>
        <v>223854.957</v>
      </c>
    </row>
    <row r="10" customFormat="false" ht="20.1" hidden="false" customHeight="true" outlineLevel="0" collapsed="false">
      <c r="A10" s="290"/>
      <c r="B10" s="300" t="n">
        <v>39264</v>
      </c>
      <c r="C10" s="300" t="n">
        <v>39447</v>
      </c>
      <c r="D10" s="301" t="n">
        <v>37812.297</v>
      </c>
      <c r="E10" s="301" t="n">
        <f aca="false">+D10+G9</f>
        <v>99477.785</v>
      </c>
      <c r="F10" s="301" t="n">
        <v>99375.32</v>
      </c>
      <c r="G10" s="302" t="n">
        <f aca="false">+E10-F10</f>
        <v>102.464999999997</v>
      </c>
      <c r="H10" s="303" t="n">
        <f aca="false">+F10/E10</f>
        <v>0.998969971034237</v>
      </c>
      <c r="I10" s="293"/>
      <c r="J10" s="293"/>
      <c r="K10" s="294"/>
      <c r="L10" s="295"/>
      <c r="M10" s="304"/>
      <c r="N10" s="305" t="s">
        <v>209</v>
      </c>
      <c r="O10" s="306" t="n">
        <f aca="false">-20000+-20000</f>
        <v>-40000</v>
      </c>
      <c r="P10" s="298" t="n">
        <f aca="false">-12000+-10000+-5000</f>
        <v>-27000</v>
      </c>
      <c r="Q10" s="298" t="n">
        <f aca="false">O10+P10</f>
        <v>-67000</v>
      </c>
    </row>
    <row r="11" customFormat="false" ht="15.6" hidden="false" customHeight="false" outlineLevel="0" collapsed="false">
      <c r="A11" s="307"/>
      <c r="B11" s="307"/>
      <c r="C11" s="307"/>
      <c r="D11" s="307"/>
      <c r="E11" s="307"/>
      <c r="F11" s="307"/>
      <c r="G11" s="307"/>
      <c r="H11" s="307"/>
      <c r="I11" s="308"/>
      <c r="J11" s="309"/>
      <c r="K11" s="308"/>
      <c r="L11" s="310"/>
      <c r="N11" s="248" t="s">
        <v>210</v>
      </c>
      <c r="O11" s="298" t="n">
        <f aca="false">O9+O10</f>
        <v>30097.273</v>
      </c>
      <c r="P11" s="298" t="n">
        <f aca="false">P9+P10</f>
        <v>126757.684</v>
      </c>
      <c r="Q11" s="298" t="n">
        <f aca="false">Q9+Q10</f>
        <v>156854.957</v>
      </c>
    </row>
    <row r="12" customFormat="false" ht="15.6" hidden="false" customHeight="false" outlineLevel="0" collapsed="false">
      <c r="A12" s="243" t="s">
        <v>173</v>
      </c>
      <c r="B12" s="243" t="s">
        <v>192</v>
      </c>
      <c r="C12" s="243"/>
      <c r="D12" s="243" t="s">
        <v>193</v>
      </c>
      <c r="E12" s="243"/>
      <c r="F12" s="243" t="s">
        <v>156</v>
      </c>
      <c r="G12" s="243"/>
      <c r="H12" s="243"/>
      <c r="I12" s="243" t="s">
        <v>194</v>
      </c>
      <c r="J12" s="243"/>
      <c r="K12" s="243"/>
      <c r="L12" s="243"/>
    </row>
    <row r="13" customFormat="false" ht="15.6" hidden="false" customHeight="false" outlineLevel="0" collapsed="false">
      <c r="A13" s="248" t="s">
        <v>191</v>
      </c>
      <c r="B13" s="243" t="s">
        <v>199</v>
      </c>
      <c r="C13" s="243" t="s">
        <v>200</v>
      </c>
      <c r="D13" s="248" t="s">
        <v>201</v>
      </c>
      <c r="E13" s="248" t="s">
        <v>202</v>
      </c>
      <c r="F13" s="248" t="s">
        <v>43</v>
      </c>
      <c r="G13" s="248" t="s">
        <v>44</v>
      </c>
      <c r="H13" s="248" t="s">
        <v>159</v>
      </c>
      <c r="I13" s="248" t="s">
        <v>193</v>
      </c>
      <c r="J13" s="248" t="s">
        <v>43</v>
      </c>
      <c r="K13" s="248" t="s">
        <v>44</v>
      </c>
      <c r="L13" s="248" t="s">
        <v>159</v>
      </c>
    </row>
    <row r="14" customFormat="false" ht="13.8" hidden="false" customHeight="false" outlineLevel="0" collapsed="false">
      <c r="A14" s="248"/>
      <c r="B14" s="311" t="n">
        <v>39083</v>
      </c>
      <c r="C14" s="311" t="n">
        <v>39263</v>
      </c>
      <c r="D14" s="108" t="n">
        <f aca="false">SUM(D7,D9)</f>
        <v>480948.935</v>
      </c>
      <c r="E14" s="108" t="n">
        <f aca="false">+D14</f>
        <v>480948.935</v>
      </c>
      <c r="F14" s="108" t="n">
        <f aca="false">SUM(F7,F9)</f>
        <v>181157.291</v>
      </c>
      <c r="G14" s="312" t="n">
        <f aca="false">+E14-F14</f>
        <v>299791.644</v>
      </c>
      <c r="H14" s="105" t="n">
        <f aca="false">+F14/E14</f>
        <v>0.376666373115058</v>
      </c>
      <c r="I14" s="313" t="n">
        <f aca="false">SUM(D14:D15)</f>
        <v>640518.93</v>
      </c>
      <c r="J14" s="313" t="n">
        <f aca="false">SUM(F14:F15)</f>
        <v>630901.786</v>
      </c>
      <c r="K14" s="314" t="n">
        <f aca="false">+I14-J14</f>
        <v>9617.14400000009</v>
      </c>
      <c r="L14" s="315" t="n">
        <f aca="false">+J14/I14</f>
        <v>0.984985386770692</v>
      </c>
      <c r="M14" s="289"/>
    </row>
    <row r="15" customFormat="false" ht="13.8" hidden="false" customHeight="false" outlineLevel="0" collapsed="false">
      <c r="A15" s="248"/>
      <c r="B15" s="311" t="n">
        <v>39264</v>
      </c>
      <c r="C15" s="311" t="n">
        <v>39447</v>
      </c>
      <c r="D15" s="108" t="n">
        <f aca="false">SUM(D8,D10)</f>
        <v>159569.995</v>
      </c>
      <c r="E15" s="108" t="n">
        <f aca="false">+D15+G14</f>
        <v>459361.639</v>
      </c>
      <c r="F15" s="108" t="n">
        <f aca="false">SUM(F8,F10)</f>
        <v>449744.495</v>
      </c>
      <c r="G15" s="312" t="n">
        <f aca="false">+E15-F15</f>
        <v>9617.14400000009</v>
      </c>
      <c r="H15" s="105" t="n">
        <f aca="false">+F15/E15</f>
        <v>0.979064111620344</v>
      </c>
      <c r="I15" s="313"/>
      <c r="J15" s="313"/>
      <c r="K15" s="314"/>
      <c r="L15" s="315"/>
    </row>
    <row r="16" customFormat="false" ht="13.8" hidden="false" customHeight="false" outlineLevel="0" collapsed="false">
      <c r="A16" s="247"/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7"/>
    </row>
    <row r="17" customFormat="false" ht="15.6" hidden="false" customHeight="false" outlineLevel="0" collapsed="false">
      <c r="A17" s="243" t="s">
        <v>211</v>
      </c>
      <c r="B17" s="243" t="s">
        <v>192</v>
      </c>
      <c r="C17" s="243"/>
      <c r="D17" s="243" t="s">
        <v>193</v>
      </c>
      <c r="E17" s="243"/>
      <c r="F17" s="243" t="s">
        <v>156</v>
      </c>
      <c r="G17" s="243"/>
      <c r="H17" s="243"/>
      <c r="I17" s="243" t="s">
        <v>194</v>
      </c>
      <c r="J17" s="243"/>
      <c r="K17" s="243"/>
      <c r="L17" s="243"/>
    </row>
    <row r="18" customFormat="false" ht="15.6" hidden="false" customHeight="false" outlineLevel="0" collapsed="false">
      <c r="A18" s="271" t="s">
        <v>150</v>
      </c>
      <c r="B18" s="157" t="s">
        <v>199</v>
      </c>
      <c r="C18" s="157" t="s">
        <v>200</v>
      </c>
      <c r="D18" s="164" t="s">
        <v>201</v>
      </c>
      <c r="E18" s="164" t="s">
        <v>202</v>
      </c>
      <c r="F18" s="164" t="s">
        <v>43</v>
      </c>
      <c r="G18" s="164" t="s">
        <v>44</v>
      </c>
      <c r="H18" s="164" t="s">
        <v>159</v>
      </c>
      <c r="I18" s="164" t="s">
        <v>193</v>
      </c>
      <c r="J18" s="164" t="s">
        <v>43</v>
      </c>
      <c r="K18" s="164" t="s">
        <v>44</v>
      </c>
      <c r="L18" s="164" t="s">
        <v>159</v>
      </c>
    </row>
    <row r="19" customFormat="false" ht="21" hidden="false" customHeight="true" outlineLevel="0" collapsed="false">
      <c r="A19" s="316" t="s">
        <v>212</v>
      </c>
      <c r="B19" s="275" t="n">
        <v>39083</v>
      </c>
      <c r="C19" s="275" t="n">
        <v>39386</v>
      </c>
      <c r="D19" s="277" t="n">
        <v>0</v>
      </c>
      <c r="E19" s="277" t="n">
        <f aca="false">+D19</f>
        <v>0</v>
      </c>
      <c r="F19" s="277"/>
      <c r="G19" s="292" t="n">
        <f aca="false">+E19-F19</f>
        <v>0</v>
      </c>
      <c r="H19" s="279" t="e">
        <f aca="false">+F19/E19</f>
        <v>#DIV/0!</v>
      </c>
      <c r="I19" s="280" t="n">
        <f aca="false">SUM(D19:D20)</f>
        <v>0</v>
      </c>
      <c r="J19" s="280" t="n">
        <f aca="false">SUM(F19:F20)</f>
        <v>0</v>
      </c>
      <c r="K19" s="281" t="n">
        <f aca="false">+I19-J19</f>
        <v>0</v>
      </c>
      <c r="L19" s="282" t="e">
        <f aca="false">+J19/I19</f>
        <v>#DIV/0!</v>
      </c>
      <c r="M19" s="283"/>
      <c r="N19" s="283"/>
    </row>
    <row r="20" customFormat="false" ht="21" hidden="false" customHeight="true" outlineLevel="0" collapsed="false">
      <c r="A20" s="316"/>
      <c r="B20" s="285" t="n">
        <v>39387</v>
      </c>
      <c r="C20" s="285" t="n">
        <v>39447</v>
      </c>
      <c r="D20" s="317" t="n">
        <v>0</v>
      </c>
      <c r="E20" s="317" t="n">
        <f aca="false">+D20+G19</f>
        <v>0</v>
      </c>
      <c r="F20" s="317"/>
      <c r="G20" s="318" t="n">
        <f aca="false">+E20-F20</f>
        <v>0</v>
      </c>
      <c r="H20" s="288" t="e">
        <f aca="false">+F20/E20</f>
        <v>#DIV/0!</v>
      </c>
      <c r="I20" s="280"/>
      <c r="J20" s="280"/>
      <c r="K20" s="281"/>
      <c r="L20" s="282"/>
    </row>
    <row r="21" customFormat="false" ht="20.1" hidden="false" customHeight="true" outlineLevel="0" collapsed="false">
      <c r="A21" s="316" t="s">
        <v>213</v>
      </c>
      <c r="B21" s="275" t="n">
        <v>39083</v>
      </c>
      <c r="C21" s="275" t="n">
        <v>39386</v>
      </c>
      <c r="D21" s="277" t="n">
        <v>0</v>
      </c>
      <c r="E21" s="277" t="n">
        <f aca="false">+D21</f>
        <v>0</v>
      </c>
      <c r="F21" s="277"/>
      <c r="G21" s="292" t="n">
        <f aca="false">+E21-F21</f>
        <v>0</v>
      </c>
      <c r="H21" s="279" t="e">
        <f aca="false">+F21/E21</f>
        <v>#DIV/0!</v>
      </c>
      <c r="I21" s="280" t="n">
        <f aca="false">SUM(D21:D22)</f>
        <v>0</v>
      </c>
      <c r="J21" s="280" t="n">
        <f aca="false">SUM(F21:F22)</f>
        <v>0</v>
      </c>
      <c r="K21" s="281" t="n">
        <f aca="false">+I21-J21</f>
        <v>0</v>
      </c>
      <c r="L21" s="282" t="e">
        <f aca="false">+J21/I21</f>
        <v>#DIV/0!</v>
      </c>
    </row>
    <row r="22" customFormat="false" ht="20.1" hidden="false" customHeight="true" outlineLevel="0" collapsed="false">
      <c r="A22" s="316"/>
      <c r="B22" s="285" t="n">
        <v>39387</v>
      </c>
      <c r="C22" s="285" t="n">
        <v>39447</v>
      </c>
      <c r="D22" s="317" t="n">
        <v>0</v>
      </c>
      <c r="E22" s="317" t="n">
        <f aca="false">+D22+G21</f>
        <v>0</v>
      </c>
      <c r="F22" s="317"/>
      <c r="G22" s="318" t="n">
        <f aca="false">+E22-F22</f>
        <v>0</v>
      </c>
      <c r="H22" s="288" t="e">
        <f aca="false">+F22/E22</f>
        <v>#DIV/0!</v>
      </c>
      <c r="I22" s="280"/>
      <c r="J22" s="280"/>
      <c r="K22" s="281"/>
      <c r="L22" s="282"/>
    </row>
    <row r="23" customFormat="false" ht="20.1" hidden="false" customHeight="true" outlineLevel="0" collapsed="false">
      <c r="A23" s="319" t="s">
        <v>214</v>
      </c>
      <c r="B23" s="275" t="n">
        <v>39083</v>
      </c>
      <c r="C23" s="275" t="n">
        <v>39386</v>
      </c>
      <c r="D23" s="277" t="n">
        <v>0</v>
      </c>
      <c r="E23" s="277" t="n">
        <f aca="false">+D23</f>
        <v>0</v>
      </c>
      <c r="F23" s="277"/>
      <c r="G23" s="292" t="n">
        <f aca="false">+E23-F23</f>
        <v>0</v>
      </c>
      <c r="H23" s="279" t="e">
        <f aca="false">+F23/E23</f>
        <v>#DIV/0!</v>
      </c>
      <c r="I23" s="293" t="n">
        <f aca="false">SUM(D23:D24)</f>
        <v>0</v>
      </c>
      <c r="J23" s="320" t="n">
        <f aca="false">SUM(F23:F24)</f>
        <v>0</v>
      </c>
      <c r="K23" s="294" t="n">
        <f aca="false">+I23-J23</f>
        <v>0</v>
      </c>
      <c r="L23" s="321" t="e">
        <f aca="false">+J23/I23</f>
        <v>#DIV/0!</v>
      </c>
    </row>
    <row r="24" customFormat="false" ht="20.1" hidden="false" customHeight="true" outlineLevel="0" collapsed="false">
      <c r="A24" s="319"/>
      <c r="B24" s="300" t="n">
        <v>39387</v>
      </c>
      <c r="C24" s="300" t="n">
        <v>39447</v>
      </c>
      <c r="D24" s="322" t="n">
        <v>0</v>
      </c>
      <c r="E24" s="322" t="n">
        <f aca="false">+D24+G23</f>
        <v>0</v>
      </c>
      <c r="F24" s="322"/>
      <c r="G24" s="323" t="n">
        <f aca="false">+E24-F24</f>
        <v>0</v>
      </c>
      <c r="H24" s="303" t="e">
        <f aca="false">+F24/E24</f>
        <v>#DIV/0!</v>
      </c>
      <c r="I24" s="293"/>
      <c r="J24" s="320"/>
      <c r="K24" s="294"/>
      <c r="L24" s="321"/>
    </row>
    <row r="25" customFormat="false" ht="20.1" hidden="false" customHeight="true" outlineLevel="0" collapsed="false">
      <c r="A25" s="324" t="s">
        <v>215</v>
      </c>
      <c r="B25" s="325" t="n">
        <v>39083</v>
      </c>
      <c r="C25" s="325" t="n">
        <v>39386</v>
      </c>
      <c r="D25" s="326" t="n">
        <v>0</v>
      </c>
      <c r="E25" s="326" t="n">
        <f aca="false">+D25</f>
        <v>0</v>
      </c>
      <c r="F25" s="326"/>
      <c r="G25" s="327" t="n">
        <f aca="false">+E25-F25</f>
        <v>0</v>
      </c>
      <c r="H25" s="328" t="e">
        <f aca="false">+F25/E25</f>
        <v>#DIV/0!</v>
      </c>
      <c r="I25" s="329" t="n">
        <f aca="false">SUM(D25:D26)</f>
        <v>0</v>
      </c>
      <c r="J25" s="330" t="n">
        <f aca="false">SUM(F25:F26)</f>
        <v>0</v>
      </c>
      <c r="K25" s="331" t="n">
        <f aca="false">+I25-J25</f>
        <v>0</v>
      </c>
      <c r="L25" s="332" t="e">
        <f aca="false">+J25/I25</f>
        <v>#DIV/0!</v>
      </c>
    </row>
    <row r="26" customFormat="false" ht="20.1" hidden="false" customHeight="true" outlineLevel="0" collapsed="false">
      <c r="A26" s="324"/>
      <c r="B26" s="300" t="n">
        <v>39387</v>
      </c>
      <c r="C26" s="300" t="n">
        <v>39447</v>
      </c>
      <c r="D26" s="322" t="n">
        <v>0</v>
      </c>
      <c r="E26" s="322" t="n">
        <f aca="false">+D26+G25</f>
        <v>0</v>
      </c>
      <c r="F26" s="322"/>
      <c r="G26" s="323" t="n">
        <f aca="false">+E26-F26</f>
        <v>0</v>
      </c>
      <c r="H26" s="303" t="e">
        <f aca="false">+F26/E26</f>
        <v>#DIV/0!</v>
      </c>
      <c r="I26" s="329"/>
      <c r="J26" s="330"/>
      <c r="K26" s="331"/>
      <c r="L26" s="332"/>
    </row>
    <row r="27" customFormat="false" ht="20.1" hidden="false" customHeight="true" outlineLevel="0" collapsed="false">
      <c r="A27" s="319" t="s">
        <v>216</v>
      </c>
      <c r="B27" s="275" t="n">
        <v>39083</v>
      </c>
      <c r="C27" s="275" t="n">
        <v>39386</v>
      </c>
      <c r="D27" s="277" t="n">
        <v>0</v>
      </c>
      <c r="E27" s="277" t="n">
        <f aca="false">+D27</f>
        <v>0</v>
      </c>
      <c r="F27" s="277"/>
      <c r="G27" s="292" t="n">
        <f aca="false">+E27-F27</f>
        <v>0</v>
      </c>
      <c r="H27" s="279" t="e">
        <f aca="false">+F27/E27</f>
        <v>#DIV/0!</v>
      </c>
      <c r="I27" s="293" t="n">
        <f aca="false">SUM(D27:D28)</f>
        <v>0</v>
      </c>
      <c r="J27" s="320" t="n">
        <f aca="false">SUM(F27:F28)</f>
        <v>0</v>
      </c>
      <c r="K27" s="294" t="n">
        <f aca="false">+I27-J27</f>
        <v>0</v>
      </c>
      <c r="L27" s="321" t="e">
        <f aca="false">+J27/I27</f>
        <v>#DIV/0!</v>
      </c>
    </row>
    <row r="28" customFormat="false" ht="20.1" hidden="false" customHeight="true" outlineLevel="0" collapsed="false">
      <c r="A28" s="319"/>
      <c r="B28" s="300" t="n">
        <v>39387</v>
      </c>
      <c r="C28" s="300" t="n">
        <v>39447</v>
      </c>
      <c r="D28" s="322" t="n">
        <v>0</v>
      </c>
      <c r="E28" s="322" t="n">
        <f aca="false">+D28+G27</f>
        <v>0</v>
      </c>
      <c r="F28" s="322"/>
      <c r="G28" s="323" t="n">
        <f aca="false">+E28-F28</f>
        <v>0</v>
      </c>
      <c r="H28" s="303" t="e">
        <f aca="false">+F28/E28</f>
        <v>#DIV/0!</v>
      </c>
      <c r="I28" s="293"/>
      <c r="J28" s="320"/>
      <c r="K28" s="294"/>
      <c r="L28" s="321"/>
    </row>
    <row r="29" customFormat="false" ht="20.1" hidden="false" customHeight="true" outlineLevel="0" collapsed="false">
      <c r="A29" s="324" t="s">
        <v>217</v>
      </c>
      <c r="B29" s="325" t="n">
        <v>39083</v>
      </c>
      <c r="C29" s="325" t="n">
        <v>39386</v>
      </c>
      <c r="D29" s="326" t="n">
        <v>83.042</v>
      </c>
      <c r="E29" s="326" t="n">
        <f aca="false">+D29</f>
        <v>83.042</v>
      </c>
      <c r="F29" s="333"/>
      <c r="G29" s="327" t="n">
        <f aca="false">+E29-F29</f>
        <v>83.042</v>
      </c>
      <c r="H29" s="328" t="n">
        <f aca="false">+F29/E29</f>
        <v>0</v>
      </c>
      <c r="I29" s="329" t="n">
        <f aca="false">SUM(D29:D30)</f>
        <v>87.414</v>
      </c>
      <c r="J29" s="330" t="n">
        <f aca="false">SUM(F29:F30)</f>
        <v>0</v>
      </c>
      <c r="K29" s="331" t="n">
        <f aca="false">+I29-J29</f>
        <v>87.414</v>
      </c>
      <c r="L29" s="332" t="n">
        <f aca="false">+J29/I29</f>
        <v>0</v>
      </c>
    </row>
    <row r="30" customFormat="false" ht="20.1" hidden="false" customHeight="true" outlineLevel="0" collapsed="false">
      <c r="A30" s="324"/>
      <c r="B30" s="300" t="n">
        <v>39387</v>
      </c>
      <c r="C30" s="300" t="n">
        <v>39447</v>
      </c>
      <c r="D30" s="322" t="n">
        <v>4.372</v>
      </c>
      <c r="E30" s="322" t="n">
        <f aca="false">+D30+G29</f>
        <v>87.414</v>
      </c>
      <c r="F30" s="322"/>
      <c r="G30" s="323" t="n">
        <f aca="false">+E30-F30</f>
        <v>87.414</v>
      </c>
      <c r="H30" s="303" t="n">
        <f aca="false">+F30/E30</f>
        <v>0</v>
      </c>
      <c r="I30" s="329"/>
      <c r="J30" s="330"/>
      <c r="K30" s="331"/>
      <c r="L30" s="332"/>
    </row>
    <row r="31" customFormat="false" ht="13.8" hidden="false" customHeight="false" outlineLevel="0" collapsed="false">
      <c r="A31" s="131"/>
      <c r="B31" s="131"/>
      <c r="C31" s="131"/>
      <c r="D31" s="131"/>
      <c r="E31" s="131"/>
      <c r="F31" s="131"/>
      <c r="G31" s="131"/>
      <c r="H31" s="131"/>
      <c r="I31" s="334"/>
      <c r="J31" s="334"/>
      <c r="K31" s="334"/>
      <c r="L31" s="310"/>
    </row>
    <row r="32" customFormat="false" ht="15.6" hidden="false" customHeight="false" outlineLevel="0" collapsed="false">
      <c r="A32" s="243" t="s">
        <v>173</v>
      </c>
      <c r="B32" s="243" t="s">
        <v>192</v>
      </c>
      <c r="C32" s="243"/>
      <c r="D32" s="243" t="s">
        <v>193</v>
      </c>
      <c r="E32" s="243"/>
      <c r="F32" s="243" t="s">
        <v>156</v>
      </c>
      <c r="G32" s="243"/>
      <c r="H32" s="243"/>
      <c r="I32" s="243" t="s">
        <v>194</v>
      </c>
      <c r="J32" s="243"/>
      <c r="K32" s="243"/>
      <c r="L32" s="243"/>
    </row>
    <row r="33" customFormat="false" ht="15.6" hidden="false" customHeight="false" outlineLevel="0" collapsed="false">
      <c r="A33" s="248" t="s">
        <v>211</v>
      </c>
      <c r="B33" s="243" t="s">
        <v>199</v>
      </c>
      <c r="C33" s="243" t="s">
        <v>200</v>
      </c>
      <c r="D33" s="248" t="s">
        <v>201</v>
      </c>
      <c r="E33" s="248" t="s">
        <v>202</v>
      </c>
      <c r="F33" s="248" t="s">
        <v>43</v>
      </c>
      <c r="G33" s="248" t="s">
        <v>44</v>
      </c>
      <c r="H33" s="248" t="s">
        <v>159</v>
      </c>
      <c r="I33" s="248" t="s">
        <v>193</v>
      </c>
      <c r="J33" s="248" t="s">
        <v>43</v>
      </c>
      <c r="K33" s="248" t="s">
        <v>44</v>
      </c>
      <c r="L33" s="248" t="s">
        <v>159</v>
      </c>
    </row>
    <row r="34" customFormat="false" ht="13.8" hidden="false" customHeight="false" outlineLevel="0" collapsed="false">
      <c r="A34" s="248"/>
      <c r="B34" s="335" t="n">
        <v>39083</v>
      </c>
      <c r="C34" s="335" t="n">
        <v>39386</v>
      </c>
      <c r="D34" s="148" t="n">
        <f aca="false">+D19+D21+D27+D29+D23+D25</f>
        <v>83.042</v>
      </c>
      <c r="E34" s="148" t="n">
        <f aca="false">+D34</f>
        <v>83.042</v>
      </c>
      <c r="F34" s="148" t="n">
        <f aca="false">+F19+F21+F27+F29+F23+F25</f>
        <v>0</v>
      </c>
      <c r="G34" s="336" t="n">
        <f aca="false">+E34-F34</f>
        <v>83.042</v>
      </c>
      <c r="H34" s="120" t="n">
        <f aca="false">+F34/E34</f>
        <v>0</v>
      </c>
      <c r="I34" s="108" t="n">
        <f aca="false">SUM(D34:D35)</f>
        <v>87.414</v>
      </c>
      <c r="J34" s="108" t="n">
        <f aca="false">SUM(F34:F35)</f>
        <v>0</v>
      </c>
      <c r="K34" s="312" t="n">
        <f aca="false">+I34-J34</f>
        <v>87.414</v>
      </c>
      <c r="L34" s="315" t="n">
        <f aca="false">+J34/I34</f>
        <v>0</v>
      </c>
    </row>
    <row r="35" customFormat="false" ht="13.8" hidden="false" customHeight="false" outlineLevel="0" collapsed="false">
      <c r="A35" s="248"/>
      <c r="B35" s="335" t="n">
        <v>39387</v>
      </c>
      <c r="C35" s="335" t="n">
        <v>39447</v>
      </c>
      <c r="D35" s="148" t="n">
        <f aca="false">+D20+D22+D28+D30+D24+D26</f>
        <v>4.372</v>
      </c>
      <c r="E35" s="148" t="n">
        <f aca="false">+D35+G34</f>
        <v>87.414</v>
      </c>
      <c r="F35" s="148" t="n">
        <f aca="false">+F20+F22+F28+F30+F24+F26</f>
        <v>0</v>
      </c>
      <c r="G35" s="336" t="n">
        <f aca="false">+E35-F35</f>
        <v>87.414</v>
      </c>
      <c r="H35" s="120" t="n">
        <f aca="false">+F35/E35</f>
        <v>0</v>
      </c>
      <c r="I35" s="108"/>
      <c r="J35" s="108"/>
      <c r="K35" s="312"/>
      <c r="L35" s="315"/>
    </row>
    <row r="36" customFormat="false" ht="13.8" hidden="false" customHeight="false" outlineLevel="0" collapsed="false">
      <c r="A36" s="247"/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7"/>
    </row>
    <row r="37" customFormat="false" ht="15.6" hidden="false" customHeight="false" outlineLevel="0" collapsed="false">
      <c r="A37" s="243" t="s">
        <v>218</v>
      </c>
      <c r="B37" s="243" t="s">
        <v>192</v>
      </c>
      <c r="C37" s="243"/>
      <c r="D37" s="243" t="s">
        <v>193</v>
      </c>
      <c r="E37" s="243"/>
      <c r="F37" s="243" t="s">
        <v>156</v>
      </c>
      <c r="G37" s="243"/>
      <c r="H37" s="243"/>
      <c r="I37" s="243" t="s">
        <v>194</v>
      </c>
      <c r="J37" s="243"/>
      <c r="K37" s="243"/>
      <c r="L37" s="243"/>
    </row>
    <row r="38" customFormat="false" ht="15.6" hidden="false" customHeight="false" outlineLevel="0" collapsed="false">
      <c r="A38" s="271" t="s">
        <v>150</v>
      </c>
      <c r="B38" s="157" t="s">
        <v>199</v>
      </c>
      <c r="C38" s="157" t="s">
        <v>200</v>
      </c>
      <c r="D38" s="164" t="s">
        <v>201</v>
      </c>
      <c r="E38" s="164" t="s">
        <v>202</v>
      </c>
      <c r="F38" s="164" t="s">
        <v>43</v>
      </c>
      <c r="G38" s="164" t="s">
        <v>44</v>
      </c>
      <c r="H38" s="164" t="s">
        <v>159</v>
      </c>
      <c r="I38" s="164" t="s">
        <v>193</v>
      </c>
      <c r="J38" s="164" t="s">
        <v>43</v>
      </c>
      <c r="K38" s="164" t="s">
        <v>44</v>
      </c>
      <c r="L38" s="164" t="s">
        <v>159</v>
      </c>
    </row>
    <row r="39" customFormat="false" ht="14.4" hidden="false" customHeight="true" outlineLevel="0" collapsed="false">
      <c r="A39" s="316" t="s">
        <v>219</v>
      </c>
      <c r="B39" s="275" t="n">
        <v>39083</v>
      </c>
      <c r="C39" s="275" t="n">
        <v>39202</v>
      </c>
      <c r="D39" s="277" t="n">
        <v>422.173</v>
      </c>
      <c r="E39" s="277" t="n">
        <f aca="false">+D39</f>
        <v>422.173</v>
      </c>
      <c r="F39" s="277" t="n">
        <v>47.249</v>
      </c>
      <c r="G39" s="292" t="n">
        <f aca="false">+E39-F39</f>
        <v>374.924</v>
      </c>
      <c r="H39" s="279" t="n">
        <f aca="false">+F39/E39</f>
        <v>0.111918573665298</v>
      </c>
      <c r="I39" s="337" t="n">
        <f aca="false">SUM(D39:D41)</f>
        <v>496.67</v>
      </c>
      <c r="J39" s="337" t="n">
        <f aca="false">SUM(F39:F41)</f>
        <v>179.21</v>
      </c>
      <c r="K39" s="338" t="n">
        <f aca="false">+I39-J39</f>
        <v>317.46</v>
      </c>
      <c r="L39" s="282" t="n">
        <f aca="false">+J39/I39</f>
        <v>0.360823081724284</v>
      </c>
      <c r="N39" s="283"/>
    </row>
    <row r="40" customFormat="false" ht="13.8" hidden="false" customHeight="false" outlineLevel="0" collapsed="false">
      <c r="A40" s="316"/>
      <c r="B40" s="339" t="n">
        <v>39203</v>
      </c>
      <c r="C40" s="339" t="n">
        <v>39691</v>
      </c>
      <c r="D40" s="340" t="n">
        <v>49.676</v>
      </c>
      <c r="E40" s="340" t="n">
        <f aca="false">+D40+G39</f>
        <v>424.6</v>
      </c>
      <c r="F40" s="340" t="n">
        <v>33.981</v>
      </c>
      <c r="G40" s="341" t="n">
        <f aca="false">+E40-F40</f>
        <v>390.619</v>
      </c>
      <c r="H40" s="342" t="n">
        <f aca="false">+F40/E40</f>
        <v>0.0800306170513425</v>
      </c>
      <c r="I40" s="337"/>
      <c r="J40" s="337"/>
      <c r="K40" s="338"/>
      <c r="L40" s="282"/>
      <c r="M40" s="289"/>
    </row>
    <row r="41" customFormat="false" ht="13.8" hidden="false" customHeight="false" outlineLevel="0" collapsed="false">
      <c r="A41" s="316"/>
      <c r="B41" s="285" t="n">
        <v>39692</v>
      </c>
      <c r="C41" s="285" t="n">
        <v>39813</v>
      </c>
      <c r="D41" s="317" t="n">
        <v>24.821</v>
      </c>
      <c r="E41" s="317" t="n">
        <f aca="false">+D41+G40</f>
        <v>415.44</v>
      </c>
      <c r="F41" s="317" t="n">
        <v>97.98</v>
      </c>
      <c r="G41" s="318" t="n">
        <f aca="false">+E41-F41</f>
        <v>317.46</v>
      </c>
      <c r="H41" s="288" t="n">
        <f aca="false">+F41/E41</f>
        <v>0.235846331600231</v>
      </c>
      <c r="I41" s="337"/>
      <c r="J41" s="337"/>
      <c r="K41" s="338"/>
      <c r="L41" s="282"/>
    </row>
    <row r="42" customFormat="false" ht="14.4" hidden="false" customHeight="true" outlineLevel="0" collapsed="false">
      <c r="A42" s="319" t="s">
        <v>220</v>
      </c>
      <c r="B42" s="275" t="n">
        <v>39083</v>
      </c>
      <c r="C42" s="275" t="n">
        <v>39202</v>
      </c>
      <c r="D42" s="277" t="n">
        <v>1054.942</v>
      </c>
      <c r="E42" s="277" t="n">
        <f aca="false">+D42</f>
        <v>1054.942</v>
      </c>
      <c r="F42" s="277" t="n">
        <v>5.493</v>
      </c>
      <c r="G42" s="292" t="n">
        <f aca="false">+E42-F42</f>
        <v>1049.449</v>
      </c>
      <c r="H42" s="279" t="n">
        <f aca="false">+F42/E42</f>
        <v>0.00520692132837635</v>
      </c>
      <c r="I42" s="343" t="n">
        <f aca="false">SUM(D42:D44)</f>
        <v>1241.096</v>
      </c>
      <c r="J42" s="343" t="n">
        <f aca="false">SUM(F42:F44)</f>
        <v>380.301</v>
      </c>
      <c r="K42" s="344" t="n">
        <f aca="false">+I42-J42</f>
        <v>860.795</v>
      </c>
      <c r="L42" s="321" t="n">
        <f aca="false">+J42/I42</f>
        <v>0.306423515989094</v>
      </c>
      <c r="N42" s="283"/>
    </row>
    <row r="43" customFormat="false" ht="13.8" hidden="false" customHeight="false" outlineLevel="0" collapsed="false">
      <c r="A43" s="319"/>
      <c r="B43" s="339" t="n">
        <v>39203</v>
      </c>
      <c r="C43" s="339" t="n">
        <v>39691</v>
      </c>
      <c r="D43" s="340" t="n">
        <v>124.13</v>
      </c>
      <c r="E43" s="340" t="n">
        <f aca="false">+D43+G42</f>
        <v>1173.579</v>
      </c>
      <c r="F43" s="340"/>
      <c r="G43" s="341" t="n">
        <f aca="false">+E43-F43</f>
        <v>1173.579</v>
      </c>
      <c r="H43" s="342" t="n">
        <f aca="false">+F43/E43</f>
        <v>0</v>
      </c>
      <c r="I43" s="343"/>
      <c r="J43" s="343"/>
      <c r="K43" s="344"/>
      <c r="L43" s="321"/>
    </row>
    <row r="44" customFormat="false" ht="13.8" hidden="false" customHeight="false" outlineLevel="0" collapsed="false">
      <c r="A44" s="319"/>
      <c r="B44" s="300" t="n">
        <v>39692</v>
      </c>
      <c r="C44" s="300" t="n">
        <v>39813</v>
      </c>
      <c r="D44" s="322" t="n">
        <v>62.024</v>
      </c>
      <c r="E44" s="322" t="n">
        <f aca="false">+D44+G43</f>
        <v>1235.603</v>
      </c>
      <c r="F44" s="322" t="n">
        <v>374.808</v>
      </c>
      <c r="G44" s="323" t="n">
        <f aca="false">+E44-F44</f>
        <v>860.795</v>
      </c>
      <c r="H44" s="303" t="n">
        <f aca="false">+F44/E44</f>
        <v>0.303340150517602</v>
      </c>
      <c r="I44" s="343"/>
      <c r="J44" s="343"/>
      <c r="K44" s="344"/>
      <c r="L44" s="321"/>
    </row>
    <row r="45" customFormat="false" ht="14.4" hidden="false" customHeight="true" outlineLevel="0" collapsed="false">
      <c r="A45" s="319" t="s">
        <v>221</v>
      </c>
      <c r="B45" s="275" t="n">
        <v>39083</v>
      </c>
      <c r="C45" s="275" t="n">
        <v>39202</v>
      </c>
      <c r="D45" s="277" t="n">
        <v>4255.021</v>
      </c>
      <c r="E45" s="277" t="n">
        <f aca="false">+D45</f>
        <v>4255.021</v>
      </c>
      <c r="F45" s="277" t="n">
        <v>95.765</v>
      </c>
      <c r="G45" s="292" t="n">
        <f aca="false">+E45-F45</f>
        <v>4159.256</v>
      </c>
      <c r="H45" s="279" t="n">
        <f aca="false">+F45/E45</f>
        <v>0.0225063519075464</v>
      </c>
      <c r="I45" s="343" t="n">
        <f aca="false">SUM(D45:D47)</f>
        <v>5005.858</v>
      </c>
      <c r="J45" s="343" t="n">
        <f aca="false">SUM(F45:F47)</f>
        <v>688.778</v>
      </c>
      <c r="K45" s="344" t="n">
        <f aca="false">+I45-J45</f>
        <v>4317.08</v>
      </c>
      <c r="L45" s="321" t="n">
        <f aca="false">+J45/I45</f>
        <v>0.137594394407512</v>
      </c>
      <c r="M45" s="289"/>
      <c r="N45" s="283"/>
    </row>
    <row r="46" customFormat="false" ht="14.4" hidden="false" customHeight="false" outlineLevel="0" collapsed="false">
      <c r="A46" s="319"/>
      <c r="B46" s="339" t="n">
        <v>39203</v>
      </c>
      <c r="C46" s="339" t="n">
        <v>39691</v>
      </c>
      <c r="D46" s="340" t="n">
        <v>500.668</v>
      </c>
      <c r="E46" s="340" t="n">
        <f aca="false">+D46+G45</f>
        <v>4659.924</v>
      </c>
      <c r="F46" s="340" t="n">
        <v>249.129</v>
      </c>
      <c r="G46" s="341" t="n">
        <f aca="false">+E46-F46</f>
        <v>4410.795</v>
      </c>
      <c r="H46" s="342" t="n">
        <f aca="false">+F46/E46</f>
        <v>0.0534620307112305</v>
      </c>
      <c r="I46" s="343"/>
      <c r="J46" s="343"/>
      <c r="K46" s="344"/>
      <c r="L46" s="321"/>
      <c r="M46" s="283"/>
    </row>
    <row r="47" customFormat="false" ht="13.8" hidden="false" customHeight="false" outlineLevel="0" collapsed="false">
      <c r="A47" s="319"/>
      <c r="B47" s="300" t="n">
        <v>39692</v>
      </c>
      <c r="C47" s="300" t="n">
        <v>39813</v>
      </c>
      <c r="D47" s="322" t="n">
        <v>250.169</v>
      </c>
      <c r="E47" s="322" t="n">
        <f aca="false">+D47+G46</f>
        <v>4660.964</v>
      </c>
      <c r="F47" s="322" t="n">
        <v>343.884</v>
      </c>
      <c r="G47" s="323" t="n">
        <f aca="false">+E47-F47</f>
        <v>4317.08</v>
      </c>
      <c r="H47" s="303" t="n">
        <f aca="false">+F47/E47</f>
        <v>0.07377958722702</v>
      </c>
      <c r="I47" s="343"/>
      <c r="J47" s="343"/>
      <c r="K47" s="344"/>
      <c r="L47" s="321"/>
      <c r="M47" s="289"/>
    </row>
    <row r="48" customFormat="false" ht="13.8" hidden="false" customHeight="true" outlineLevel="0" collapsed="false">
      <c r="A48" s="319" t="s">
        <v>222</v>
      </c>
      <c r="B48" s="275" t="n">
        <v>39083</v>
      </c>
      <c r="C48" s="275" t="n">
        <v>39202</v>
      </c>
      <c r="D48" s="277" t="n">
        <v>1811.43</v>
      </c>
      <c r="E48" s="277" t="n">
        <f aca="false">+D48</f>
        <v>1811.43</v>
      </c>
      <c r="F48" s="277" t="n">
        <v>258.148</v>
      </c>
      <c r="G48" s="292" t="n">
        <f aca="false">+E48-F48</f>
        <v>1553.282</v>
      </c>
      <c r="H48" s="279" t="n">
        <f aca="false">+F48/E48</f>
        <v>0.142510613161977</v>
      </c>
      <c r="I48" s="343" t="n">
        <f aca="false">SUM(D48:D50)</f>
        <v>2131.073</v>
      </c>
      <c r="J48" s="343" t="n">
        <f aca="false">SUM(F48:F50)</f>
        <v>1542.089</v>
      </c>
      <c r="K48" s="344" t="n">
        <f aca="false">+I48-J48</f>
        <v>588.984</v>
      </c>
      <c r="L48" s="321" t="n">
        <f aca="false">+J48/I48</f>
        <v>0.723620917725484</v>
      </c>
      <c r="M48" s="289"/>
    </row>
    <row r="49" customFormat="false" ht="13.8" hidden="false" customHeight="false" outlineLevel="0" collapsed="false">
      <c r="A49" s="319"/>
      <c r="B49" s="339" t="n">
        <v>39203</v>
      </c>
      <c r="C49" s="339" t="n">
        <v>39691</v>
      </c>
      <c r="D49" s="340" t="n">
        <v>213.142</v>
      </c>
      <c r="E49" s="340" t="n">
        <f aca="false">+D49+G48</f>
        <v>1766.424</v>
      </c>
      <c r="F49" s="340" t="n">
        <v>36.315</v>
      </c>
      <c r="G49" s="341" t="n">
        <f aca="false">+E49-F49</f>
        <v>1730.109</v>
      </c>
      <c r="H49" s="342" t="n">
        <f aca="false">+F49/E49</f>
        <v>0.0205584842597247</v>
      </c>
      <c r="I49" s="343"/>
      <c r="J49" s="343"/>
      <c r="K49" s="344"/>
      <c r="L49" s="321"/>
      <c r="M49" s="289"/>
    </row>
    <row r="50" customFormat="false" ht="13.8" hidden="false" customHeight="false" outlineLevel="0" collapsed="false">
      <c r="A50" s="319"/>
      <c r="B50" s="300" t="n">
        <v>39692</v>
      </c>
      <c r="C50" s="300" t="n">
        <v>39813</v>
      </c>
      <c r="D50" s="322" t="n">
        <v>106.501</v>
      </c>
      <c r="E50" s="322" t="n">
        <f aca="false">+D50+G49</f>
        <v>1836.61</v>
      </c>
      <c r="F50" s="322" t="n">
        <v>1247.626</v>
      </c>
      <c r="G50" s="323" t="n">
        <f aca="false">+E50-F50</f>
        <v>588.984</v>
      </c>
      <c r="H50" s="303" t="n">
        <f aca="false">+F50/E50</f>
        <v>0.679309161988664</v>
      </c>
      <c r="I50" s="343"/>
      <c r="J50" s="343"/>
      <c r="K50" s="344"/>
      <c r="L50" s="321"/>
      <c r="M50" s="289"/>
    </row>
    <row r="51" customFormat="false" ht="13.8" hidden="false" customHeight="true" outlineLevel="0" collapsed="false">
      <c r="A51" s="319" t="s">
        <v>223</v>
      </c>
      <c r="B51" s="275" t="n">
        <v>39083</v>
      </c>
      <c r="C51" s="275" t="n">
        <v>39202</v>
      </c>
      <c r="D51" s="277" t="n">
        <v>2784.157</v>
      </c>
      <c r="E51" s="277" t="n">
        <f aca="false">+D51</f>
        <v>2784.157</v>
      </c>
      <c r="F51" s="277" t="n">
        <v>86.408</v>
      </c>
      <c r="G51" s="292" t="n">
        <f aca="false">+E51-F51</f>
        <v>2697.749</v>
      </c>
      <c r="H51" s="279" t="n">
        <f aca="false">+F51/E51</f>
        <v>0.0310356061098566</v>
      </c>
      <c r="I51" s="343" t="n">
        <f aca="false">SUM(D51:D53)</f>
        <v>3275.4473903</v>
      </c>
      <c r="J51" s="343" t="n">
        <f aca="false">SUM(F51:F53)</f>
        <v>2522.401</v>
      </c>
      <c r="K51" s="344" t="n">
        <f aca="false">+I51-J51</f>
        <v>753.0463903</v>
      </c>
      <c r="L51" s="321" t="n">
        <f aca="false">+J51/I51</f>
        <v>0.770093577894094</v>
      </c>
      <c r="M51" s="289"/>
    </row>
    <row r="52" customFormat="false" ht="13.8" hidden="false" customHeight="false" outlineLevel="0" collapsed="false">
      <c r="A52" s="319"/>
      <c r="B52" s="339" t="n">
        <v>39203</v>
      </c>
      <c r="C52" s="339" t="n">
        <v>39691</v>
      </c>
      <c r="D52" s="340" t="n">
        <v>327.5982303</v>
      </c>
      <c r="E52" s="340" t="n">
        <f aca="false">+D52+G51</f>
        <v>3025.3472303</v>
      </c>
      <c r="F52" s="340" t="n">
        <v>292.366</v>
      </c>
      <c r="G52" s="341" t="n">
        <f aca="false">+E52-F52</f>
        <v>2732.9812303</v>
      </c>
      <c r="H52" s="342" t="n">
        <f aca="false">+F52/E52</f>
        <v>0.0966388244866056</v>
      </c>
      <c r="I52" s="343"/>
      <c r="J52" s="343"/>
      <c r="K52" s="344"/>
      <c r="L52" s="321"/>
      <c r="M52" s="289"/>
    </row>
    <row r="53" customFormat="false" ht="13.8" hidden="false" customHeight="false" outlineLevel="0" collapsed="false">
      <c r="A53" s="319"/>
      <c r="B53" s="300" t="n">
        <v>39692</v>
      </c>
      <c r="C53" s="300" t="n">
        <v>39813</v>
      </c>
      <c r="D53" s="322" t="n">
        <v>163.69216</v>
      </c>
      <c r="E53" s="322" t="n">
        <f aca="false">+D53+G52</f>
        <v>2896.6733903</v>
      </c>
      <c r="F53" s="322" t="n">
        <v>2143.627</v>
      </c>
      <c r="G53" s="323" t="n">
        <f aca="false">+E53-F53</f>
        <v>753.0463903</v>
      </c>
      <c r="H53" s="303" t="n">
        <f aca="false">+F53/E53</f>
        <v>0.740030618287273</v>
      </c>
      <c r="I53" s="343"/>
      <c r="J53" s="343"/>
      <c r="K53" s="344"/>
      <c r="L53" s="321"/>
      <c r="M53" s="289"/>
    </row>
    <row r="54" customFormat="false" ht="14.4" hidden="false" customHeight="true" outlineLevel="0" collapsed="false">
      <c r="A54" s="345" t="s">
        <v>224</v>
      </c>
      <c r="B54" s="325" t="n">
        <v>39083</v>
      </c>
      <c r="C54" s="325" t="n">
        <v>39202</v>
      </c>
      <c r="D54" s="326" t="n">
        <v>3023.338</v>
      </c>
      <c r="E54" s="326" t="n">
        <f aca="false">+D54</f>
        <v>3023.338</v>
      </c>
      <c r="F54" s="326" t="n">
        <v>1862.07</v>
      </c>
      <c r="G54" s="327" t="n">
        <f aca="false">+E54-F54</f>
        <v>1161.268</v>
      </c>
      <c r="H54" s="328" t="n">
        <f aca="false">+F54/E54</f>
        <v>0.615898718568681</v>
      </c>
      <c r="I54" s="346" t="n">
        <f aca="false">SUM(D54:D56)</f>
        <v>3556.835</v>
      </c>
      <c r="J54" s="346" t="n">
        <f aca="false">SUM(F54:F56)</f>
        <v>2962.019</v>
      </c>
      <c r="K54" s="347" t="n">
        <f aca="false">+I54-J54</f>
        <v>594.816</v>
      </c>
      <c r="L54" s="348" t="n">
        <f aca="false">+J54/I54</f>
        <v>0.83276817732619</v>
      </c>
      <c r="N54" s="283"/>
    </row>
    <row r="55" customFormat="false" ht="14.4" hidden="false" customHeight="false" outlineLevel="0" collapsed="false">
      <c r="A55" s="345"/>
      <c r="B55" s="339" t="n">
        <v>39203</v>
      </c>
      <c r="C55" s="339" t="n">
        <v>39691</v>
      </c>
      <c r="D55" s="340" t="n">
        <v>355.743</v>
      </c>
      <c r="E55" s="340" t="n">
        <f aca="false">+D55+G54</f>
        <v>1517.011</v>
      </c>
      <c r="F55" s="340" t="n">
        <v>543.335</v>
      </c>
      <c r="G55" s="341" t="n">
        <f aca="false">+E55-F55</f>
        <v>973.676</v>
      </c>
      <c r="H55" s="342" t="n">
        <f aca="false">+F55/E55</f>
        <v>0.358161542665149</v>
      </c>
      <c r="I55" s="346"/>
      <c r="J55" s="346"/>
      <c r="K55" s="347"/>
      <c r="L55" s="348"/>
      <c r="M55" s="283"/>
    </row>
    <row r="56" customFormat="false" ht="13.8" hidden="false" customHeight="false" outlineLevel="0" collapsed="false">
      <c r="A56" s="345"/>
      <c r="B56" s="285" t="n">
        <v>39692</v>
      </c>
      <c r="C56" s="285" t="n">
        <v>39813</v>
      </c>
      <c r="D56" s="317" t="n">
        <v>177.754</v>
      </c>
      <c r="E56" s="317" t="n">
        <f aca="false">+D56+G55</f>
        <v>1151.43</v>
      </c>
      <c r="F56" s="317" t="n">
        <v>556.614</v>
      </c>
      <c r="G56" s="318" t="n">
        <f aca="false">+E56-F56</f>
        <v>594.816</v>
      </c>
      <c r="H56" s="288" t="n">
        <f aca="false">+F56/E56</f>
        <v>0.483411062765431</v>
      </c>
      <c r="I56" s="346"/>
      <c r="J56" s="346"/>
      <c r="K56" s="347"/>
      <c r="L56" s="348"/>
      <c r="M56" s="289"/>
    </row>
    <row r="57" customFormat="false" ht="13.8" hidden="false" customHeight="true" outlineLevel="0" collapsed="false">
      <c r="A57" s="319" t="s">
        <v>225</v>
      </c>
      <c r="B57" s="275" t="n">
        <v>39083</v>
      </c>
      <c r="C57" s="275" t="n">
        <v>39202</v>
      </c>
      <c r="D57" s="277" t="n">
        <v>5300.196</v>
      </c>
      <c r="E57" s="277" t="n">
        <f aca="false">+D57</f>
        <v>5300.196</v>
      </c>
      <c r="F57" s="277" t="n">
        <v>914.07</v>
      </c>
      <c r="G57" s="292" t="n">
        <f aca="false">+E57-F57</f>
        <v>4386.126</v>
      </c>
      <c r="H57" s="279" t="n">
        <f aca="false">+F57/E57</f>
        <v>0.172459659982386</v>
      </c>
      <c r="I57" s="343" t="n">
        <f aca="false">SUM(D57:D59)</f>
        <v>6235.464</v>
      </c>
      <c r="J57" s="343" t="n">
        <f aca="false">SUM(F57:F59)</f>
        <v>4951.258</v>
      </c>
      <c r="K57" s="344" t="n">
        <f aca="false">+I57-J57</f>
        <v>1284.206</v>
      </c>
      <c r="L57" s="321" t="n">
        <f aca="false">+J57/I57</f>
        <v>0.794048045181562</v>
      </c>
      <c r="M57" s="289"/>
    </row>
    <row r="58" customFormat="false" ht="13.8" hidden="false" customHeight="false" outlineLevel="0" collapsed="false">
      <c r="A58" s="319"/>
      <c r="B58" s="339" t="n">
        <v>39203</v>
      </c>
      <c r="C58" s="339" t="n">
        <v>39691</v>
      </c>
      <c r="D58" s="340" t="n">
        <v>623.649</v>
      </c>
      <c r="E58" s="340" t="n">
        <f aca="false">+D58+G57</f>
        <v>5009.775</v>
      </c>
      <c r="F58" s="340" t="n">
        <v>801.427</v>
      </c>
      <c r="G58" s="341" t="n">
        <f aca="false">+E58-F58</f>
        <v>4208.348</v>
      </c>
      <c r="H58" s="342" t="n">
        <f aca="false">+F58/E58</f>
        <v>0.159972653462481</v>
      </c>
      <c r="I58" s="343"/>
      <c r="J58" s="343"/>
      <c r="K58" s="344"/>
      <c r="L58" s="321"/>
      <c r="M58" s="289"/>
    </row>
    <row r="59" customFormat="false" ht="13.8" hidden="false" customHeight="false" outlineLevel="0" collapsed="false">
      <c r="A59" s="319"/>
      <c r="B59" s="300" t="n">
        <v>39692</v>
      </c>
      <c r="C59" s="300" t="n">
        <v>39813</v>
      </c>
      <c r="D59" s="322" t="n">
        <v>311.619</v>
      </c>
      <c r="E59" s="322" t="n">
        <f aca="false">+D59+G58</f>
        <v>4519.967</v>
      </c>
      <c r="F59" s="322" t="n">
        <v>3235.761</v>
      </c>
      <c r="G59" s="323" t="n">
        <f aca="false">+E59-F59</f>
        <v>1284.206</v>
      </c>
      <c r="H59" s="303" t="n">
        <f aca="false">+F59/E59</f>
        <v>0.715881554002496</v>
      </c>
      <c r="I59" s="343"/>
      <c r="J59" s="343"/>
      <c r="K59" s="344"/>
      <c r="L59" s="321"/>
      <c r="M59" s="289"/>
    </row>
    <row r="60" customFormat="false" ht="13.8" hidden="false" customHeight="false" outlineLevel="0" collapsed="false">
      <c r="A60" s="349"/>
      <c r="B60" s="350"/>
      <c r="C60" s="350"/>
      <c r="D60" s="351"/>
      <c r="E60" s="351"/>
      <c r="F60" s="351"/>
      <c r="G60" s="351"/>
      <c r="H60" s="13"/>
      <c r="I60" s="261"/>
      <c r="J60" s="261"/>
      <c r="K60" s="253"/>
      <c r="L60" s="352"/>
    </row>
    <row r="61" customFormat="false" ht="15.6" hidden="false" customHeight="false" outlineLevel="0" collapsed="false">
      <c r="A61" s="243" t="s">
        <v>173</v>
      </c>
      <c r="B61" s="243" t="s">
        <v>192</v>
      </c>
      <c r="C61" s="243"/>
      <c r="D61" s="243" t="s">
        <v>193</v>
      </c>
      <c r="E61" s="243"/>
      <c r="F61" s="243" t="s">
        <v>156</v>
      </c>
      <c r="G61" s="243"/>
      <c r="H61" s="243"/>
      <c r="I61" s="243" t="s">
        <v>194</v>
      </c>
      <c r="J61" s="243"/>
      <c r="K61" s="243"/>
      <c r="L61" s="243"/>
    </row>
    <row r="62" customFormat="false" ht="15.6" hidden="false" customHeight="false" outlineLevel="0" collapsed="false">
      <c r="A62" s="248" t="s">
        <v>226</v>
      </c>
      <c r="B62" s="243" t="s">
        <v>199</v>
      </c>
      <c r="C62" s="243" t="s">
        <v>200</v>
      </c>
      <c r="D62" s="248" t="s">
        <v>201</v>
      </c>
      <c r="E62" s="248" t="s">
        <v>202</v>
      </c>
      <c r="F62" s="248" t="s">
        <v>43</v>
      </c>
      <c r="G62" s="248" t="s">
        <v>44</v>
      </c>
      <c r="H62" s="248" t="s">
        <v>159</v>
      </c>
      <c r="I62" s="248" t="s">
        <v>193</v>
      </c>
      <c r="J62" s="248" t="s">
        <v>43</v>
      </c>
      <c r="K62" s="248" t="s">
        <v>44</v>
      </c>
      <c r="L62" s="248" t="s">
        <v>159</v>
      </c>
    </row>
    <row r="63" customFormat="false" ht="13.8" hidden="false" customHeight="false" outlineLevel="0" collapsed="false">
      <c r="A63" s="248"/>
      <c r="B63" s="311" t="n">
        <v>39083</v>
      </c>
      <c r="C63" s="311" t="n">
        <v>39202</v>
      </c>
      <c r="D63" s="108" t="n">
        <f aca="false">D39+D42+D45+D48+D51+D54+D57</f>
        <v>18651.257</v>
      </c>
      <c r="E63" s="108" t="n">
        <f aca="false">+D63</f>
        <v>18651.257</v>
      </c>
      <c r="F63" s="108" t="n">
        <f aca="false">F39+F42+F45+F48+F51+F54+F57</f>
        <v>3269.203</v>
      </c>
      <c r="G63" s="312" t="n">
        <f aca="false">+E63-F63</f>
        <v>15382.054</v>
      </c>
      <c r="H63" s="105" t="n">
        <f aca="false">+F63/E63</f>
        <v>0.175280572242396</v>
      </c>
      <c r="I63" s="108" t="n">
        <f aca="false">SUM(D63:D65)</f>
        <v>21942.4433903</v>
      </c>
      <c r="J63" s="108" t="n">
        <f aca="false">SUM(F63:F65)</f>
        <v>13226.056</v>
      </c>
      <c r="K63" s="312" t="n">
        <f aca="false">+I63-J63</f>
        <v>8716.3873903</v>
      </c>
      <c r="L63" s="315" t="n">
        <f aca="false">+J63/I63</f>
        <v>0.602761313530233</v>
      </c>
    </row>
    <row r="64" customFormat="false" ht="13.8" hidden="false" customHeight="false" outlineLevel="0" collapsed="false">
      <c r="A64" s="248"/>
      <c r="B64" s="311" t="n">
        <v>39203</v>
      </c>
      <c r="C64" s="311" t="n">
        <v>39691</v>
      </c>
      <c r="D64" s="108" t="n">
        <f aca="false">D40+D43+D46+D49+D52+D55+D58</f>
        <v>2194.6062303</v>
      </c>
      <c r="E64" s="108" t="n">
        <f aca="false">+D64+G63</f>
        <v>17576.6602303</v>
      </c>
      <c r="F64" s="108" t="n">
        <f aca="false">F40+F43+F46+F49+F52+F55+F58</f>
        <v>1956.553</v>
      </c>
      <c r="G64" s="312" t="n">
        <f aca="false">+E64-F64</f>
        <v>15620.1072303</v>
      </c>
      <c r="H64" s="105" t="n">
        <f aca="false">+F64/E64</f>
        <v>0.111315402036796</v>
      </c>
      <c r="I64" s="108"/>
      <c r="J64" s="108"/>
      <c r="K64" s="312"/>
      <c r="L64" s="315"/>
    </row>
    <row r="65" customFormat="false" ht="13.8" hidden="false" customHeight="false" outlineLevel="0" collapsed="false">
      <c r="A65" s="248"/>
      <c r="B65" s="311" t="n">
        <v>39692</v>
      </c>
      <c r="C65" s="311" t="n">
        <v>39813</v>
      </c>
      <c r="D65" s="108" t="n">
        <f aca="false">D41+D44+D47+D50+D53+D56+D59</f>
        <v>1096.58016</v>
      </c>
      <c r="E65" s="108" t="n">
        <f aca="false">+D65+G64</f>
        <v>16716.6873903</v>
      </c>
      <c r="F65" s="108" t="n">
        <f aca="false">F41+F44+F47+F50+F53+F56+F59</f>
        <v>8000.3</v>
      </c>
      <c r="G65" s="312" t="n">
        <f aca="false">+E65-F65</f>
        <v>8716.3873903</v>
      </c>
      <c r="H65" s="105" t="n">
        <f aca="false">+F65/E65</f>
        <v>0.47858165994312</v>
      </c>
      <c r="I65" s="108"/>
      <c r="J65" s="108"/>
      <c r="K65" s="312"/>
      <c r="L65" s="315"/>
    </row>
    <row r="68" customFormat="false" ht="13.2" hidden="false" customHeight="false" outlineLevel="0" collapsed="false">
      <c r="D68" s="289"/>
    </row>
    <row r="69" customFormat="false" ht="13.2" hidden="false" customHeight="false" outlineLevel="0" collapsed="false">
      <c r="D69" s="289"/>
    </row>
    <row r="70" customFormat="false" ht="13.2" hidden="false" customHeight="false" outlineLevel="0" collapsed="false">
      <c r="D70" s="289"/>
      <c r="I70" s="289"/>
    </row>
    <row r="72" customFormat="false" ht="13.2" hidden="false" customHeight="false" outlineLevel="0" collapsed="false">
      <c r="F72" s="289"/>
    </row>
  </sheetData>
  <mergeCells count="119">
    <mergeCell ref="A2:L2"/>
    <mergeCell ref="A3:L3"/>
    <mergeCell ref="B4:D4"/>
    <mergeCell ref="B5:C5"/>
    <mergeCell ref="D5:E5"/>
    <mergeCell ref="F5:H5"/>
    <mergeCell ref="I5:L5"/>
    <mergeCell ref="A7:A8"/>
    <mergeCell ref="I7:I8"/>
    <mergeCell ref="J7:J8"/>
    <mergeCell ref="K7:K8"/>
    <mergeCell ref="L7:L8"/>
    <mergeCell ref="A9:A10"/>
    <mergeCell ref="I9:I10"/>
    <mergeCell ref="J9:J10"/>
    <mergeCell ref="K9:K10"/>
    <mergeCell ref="L9:L10"/>
    <mergeCell ref="A11:H11"/>
    <mergeCell ref="B12:C12"/>
    <mergeCell ref="D12:E12"/>
    <mergeCell ref="F12:H12"/>
    <mergeCell ref="I12:L12"/>
    <mergeCell ref="A13:A15"/>
    <mergeCell ref="I14:I15"/>
    <mergeCell ref="J14:J15"/>
    <mergeCell ref="K14:K15"/>
    <mergeCell ref="L14:L15"/>
    <mergeCell ref="B17:C17"/>
    <mergeCell ref="D17:E17"/>
    <mergeCell ref="F17:H17"/>
    <mergeCell ref="I17:L17"/>
    <mergeCell ref="A19:A20"/>
    <mergeCell ref="I19:I20"/>
    <mergeCell ref="J19:J20"/>
    <mergeCell ref="K19:K20"/>
    <mergeCell ref="L19:L20"/>
    <mergeCell ref="A21:A22"/>
    <mergeCell ref="I21:I22"/>
    <mergeCell ref="J21:J22"/>
    <mergeCell ref="K21:K22"/>
    <mergeCell ref="L21:L22"/>
    <mergeCell ref="A23:A24"/>
    <mergeCell ref="I23:I24"/>
    <mergeCell ref="J23:J24"/>
    <mergeCell ref="K23:K24"/>
    <mergeCell ref="L23:L24"/>
    <mergeCell ref="A25:A26"/>
    <mergeCell ref="I25:I26"/>
    <mergeCell ref="J25:J26"/>
    <mergeCell ref="K25:K26"/>
    <mergeCell ref="L25:L26"/>
    <mergeCell ref="A27:A28"/>
    <mergeCell ref="I27:I28"/>
    <mergeCell ref="J27:J28"/>
    <mergeCell ref="K27:K28"/>
    <mergeCell ref="L27:L28"/>
    <mergeCell ref="A29:A30"/>
    <mergeCell ref="I29:I30"/>
    <mergeCell ref="J29:J30"/>
    <mergeCell ref="K29:K30"/>
    <mergeCell ref="L29:L30"/>
    <mergeCell ref="A31:H31"/>
    <mergeCell ref="B32:C32"/>
    <mergeCell ref="D32:E32"/>
    <mergeCell ref="F32:H32"/>
    <mergeCell ref="I32:L32"/>
    <mergeCell ref="A33:A35"/>
    <mergeCell ref="I34:I35"/>
    <mergeCell ref="J34:J35"/>
    <mergeCell ref="K34:K35"/>
    <mergeCell ref="L34:L35"/>
    <mergeCell ref="B37:C37"/>
    <mergeCell ref="D37:E37"/>
    <mergeCell ref="F37:H37"/>
    <mergeCell ref="I37:L37"/>
    <mergeCell ref="A39:A41"/>
    <mergeCell ref="I39:I41"/>
    <mergeCell ref="J39:J41"/>
    <mergeCell ref="K39:K41"/>
    <mergeCell ref="L39:L41"/>
    <mergeCell ref="A42:A44"/>
    <mergeCell ref="I42:I44"/>
    <mergeCell ref="J42:J44"/>
    <mergeCell ref="K42:K44"/>
    <mergeCell ref="L42:L44"/>
    <mergeCell ref="A45:A47"/>
    <mergeCell ref="I45:I47"/>
    <mergeCell ref="J45:J47"/>
    <mergeCell ref="K45:K47"/>
    <mergeCell ref="L45:L47"/>
    <mergeCell ref="A48:A50"/>
    <mergeCell ref="I48:I50"/>
    <mergeCell ref="J48:J50"/>
    <mergeCell ref="K48:K50"/>
    <mergeCell ref="L48:L50"/>
    <mergeCell ref="A51:A53"/>
    <mergeCell ref="I51:I53"/>
    <mergeCell ref="J51:J53"/>
    <mergeCell ref="K51:K53"/>
    <mergeCell ref="L51:L53"/>
    <mergeCell ref="A54:A56"/>
    <mergeCell ref="I54:I56"/>
    <mergeCell ref="J54:J56"/>
    <mergeCell ref="K54:K56"/>
    <mergeCell ref="L54:L56"/>
    <mergeCell ref="A57:A59"/>
    <mergeCell ref="I57:I59"/>
    <mergeCell ref="J57:J59"/>
    <mergeCell ref="K57:K59"/>
    <mergeCell ref="L57:L59"/>
    <mergeCell ref="B61:C61"/>
    <mergeCell ref="D61:E61"/>
    <mergeCell ref="F61:H61"/>
    <mergeCell ref="I61:L61"/>
    <mergeCell ref="A62:A65"/>
    <mergeCell ref="I63:I65"/>
    <mergeCell ref="J63:J65"/>
    <mergeCell ref="K63:K65"/>
    <mergeCell ref="L63:L65"/>
  </mergeCells>
  <printOptions headings="false" gridLines="false" gridLinesSet="true" horizontalCentered="false" verticalCentered="false"/>
  <pageMargins left="0.354166666666667" right="0.236111111111111" top="0.196527777777778" bottom="0.157638888888889" header="0.511811023622047" footer="0.511811023622047"/>
  <pageSetup paperSize="5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2:O134"/>
  <sheetViews>
    <sheetView showFormulas="false" showGridLines="true" showRowColHeaders="true" showZeros="true" rightToLeft="false" tabSelected="false" showOutlineSymbols="true" defaultGridColor="true" view="normal" topLeftCell="A25" colorId="64" zoomScale="80" zoomScaleNormal="80" zoomScalePageLayoutView="100" workbookViewId="0">
      <selection pane="topLeft" activeCell="F49" activeCellId="0" sqref="F49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264" width="38.55"/>
    <col collapsed="false" customWidth="true" hidden="false" outlineLevel="0" max="2" min="2" style="264" width="6.87"/>
    <col collapsed="false" customWidth="true" hidden="false" outlineLevel="0" max="3" min="3" style="264" width="6.99"/>
    <col collapsed="false" customWidth="false" hidden="false" outlineLevel="0" max="5" min="4" style="264" width="11.43"/>
    <col collapsed="false" customWidth="true" hidden="false" outlineLevel="0" max="6" min="6" style="264" width="19.99"/>
    <col collapsed="false" customWidth="true" hidden="false" outlineLevel="0" max="7" min="7" style="264" width="11.87"/>
    <col collapsed="false" customWidth="true" hidden="false" outlineLevel="0" max="8" min="8" style="264" width="13.99"/>
    <col collapsed="false" customWidth="true" hidden="false" outlineLevel="0" max="9" min="9" style="264" width="12.32"/>
    <col collapsed="false" customWidth="true" hidden="false" outlineLevel="0" max="10" min="10" style="264" width="19.99"/>
    <col collapsed="false" customWidth="true" hidden="false" outlineLevel="0" max="11" min="11" style="264" width="11.87"/>
    <col collapsed="false" customWidth="true" hidden="false" outlineLevel="0" max="12" min="12" style="264" width="13.99"/>
    <col collapsed="false" customWidth="false" hidden="false" outlineLevel="0" max="13" min="13" style="264" width="11.43"/>
    <col collapsed="false" customWidth="true" hidden="false" outlineLevel="0" max="14" min="14" style="353" width="23.55"/>
    <col collapsed="false" customWidth="false" hidden="false" outlineLevel="0" max="15" min="15" style="353" width="11.43"/>
    <col collapsed="false" customWidth="false" hidden="false" outlineLevel="0" max="257" min="16" style="264" width="11.43"/>
  </cols>
  <sheetData>
    <row r="2" customFormat="false" ht="15.6" hidden="false" customHeight="false" outlineLevel="0" collapsed="false">
      <c r="A2" s="45" t="s">
        <v>227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customFormat="false" ht="15" hidden="false" customHeight="false" outlineLevel="0" collapsed="false">
      <c r="A4" s="354"/>
      <c r="B4" s="354"/>
      <c r="C4" s="354"/>
      <c r="D4" s="354"/>
      <c r="E4" s="354"/>
      <c r="F4" s="354"/>
      <c r="G4" s="354"/>
      <c r="H4" s="354"/>
      <c r="I4" s="354"/>
      <c r="J4" s="355"/>
      <c r="K4" s="355"/>
      <c r="L4" s="355"/>
    </row>
    <row r="5" customFormat="false" ht="15.6" hidden="false" customHeight="true" outlineLevel="0" collapsed="false">
      <c r="A5" s="98" t="s">
        <v>228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  <c r="M5" s="46"/>
      <c r="O5" s="356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  <c r="M6" s="46"/>
    </row>
    <row r="7" customFormat="false" ht="21.9" hidden="false" customHeight="true" outlineLevel="0" collapsed="false">
      <c r="A7" s="316" t="s">
        <v>229</v>
      </c>
      <c r="B7" s="275" t="n">
        <v>39083</v>
      </c>
      <c r="C7" s="275" t="n">
        <v>40816</v>
      </c>
      <c r="D7" s="277" t="n">
        <v>17302.597</v>
      </c>
      <c r="E7" s="277" t="n">
        <f aca="false">+D7</f>
        <v>17302.597</v>
      </c>
      <c r="F7" s="277" t="n">
        <v>11037.109</v>
      </c>
      <c r="G7" s="292" t="n">
        <f aca="false">+E7-F7</f>
        <v>6265.488</v>
      </c>
      <c r="H7" s="279" t="n">
        <f aca="false">+F7/E7</f>
        <v>0.637887422333191</v>
      </c>
      <c r="I7" s="337" t="n">
        <f aca="false">SUM(D7:D8)</f>
        <v>18212.932</v>
      </c>
      <c r="J7" s="337" t="n">
        <f aca="false">SUM(F7:F8)</f>
        <v>11677.905</v>
      </c>
      <c r="K7" s="338" t="n">
        <f aca="false">+I7-J7</f>
        <v>6535.027</v>
      </c>
      <c r="L7" s="282" t="n">
        <f aca="false">+J7/I7</f>
        <v>0.641187536416432</v>
      </c>
      <c r="M7" s="46"/>
      <c r="N7" s="358"/>
      <c r="O7" s="358"/>
    </row>
    <row r="8" customFormat="false" ht="21.9" hidden="false" customHeight="true" outlineLevel="0" collapsed="false">
      <c r="A8" s="316"/>
      <c r="B8" s="285" t="n">
        <v>40817</v>
      </c>
      <c r="C8" s="285" t="n">
        <v>40908</v>
      </c>
      <c r="D8" s="317" t="n">
        <v>910.335</v>
      </c>
      <c r="E8" s="317" t="n">
        <f aca="false">+D8+G7</f>
        <v>7175.823</v>
      </c>
      <c r="F8" s="317" t="n">
        <v>640.796</v>
      </c>
      <c r="G8" s="318" t="n">
        <f aca="false">+E8-F8</f>
        <v>6535.027</v>
      </c>
      <c r="H8" s="288" t="n">
        <f aca="false">+F8/E8</f>
        <v>0.089299304065889</v>
      </c>
      <c r="I8" s="337"/>
      <c r="J8" s="337"/>
      <c r="K8" s="338"/>
      <c r="L8" s="282"/>
      <c r="M8" s="149"/>
      <c r="N8" s="359"/>
      <c r="O8" s="359"/>
    </row>
    <row r="9" customFormat="false" ht="21.9" hidden="false" customHeight="true" outlineLevel="0" collapsed="false">
      <c r="A9" s="319" t="s">
        <v>207</v>
      </c>
      <c r="B9" s="275" t="n">
        <v>39083</v>
      </c>
      <c r="C9" s="275" t="n">
        <v>40816</v>
      </c>
      <c r="D9" s="277" t="n">
        <v>2488.163</v>
      </c>
      <c r="E9" s="277" t="n">
        <f aca="false">+D9</f>
        <v>2488.163</v>
      </c>
      <c r="F9" s="277" t="n">
        <v>1156.277</v>
      </c>
      <c r="G9" s="292" t="n">
        <f aca="false">+E9-F9</f>
        <v>1331.886</v>
      </c>
      <c r="H9" s="279" t="n">
        <f aca="false">+F9/E9</f>
        <v>0.464711114183436</v>
      </c>
      <c r="I9" s="343" t="n">
        <f aca="false">SUM(D9:D10)</f>
        <v>2619.072</v>
      </c>
      <c r="J9" s="343" t="n">
        <f aca="false">SUM(F9:F10)</f>
        <v>1373.706</v>
      </c>
      <c r="K9" s="344" t="n">
        <f aca="false">+I9-J9</f>
        <v>1245.366</v>
      </c>
      <c r="L9" s="360" t="n">
        <f aca="false">+J9/I9</f>
        <v>0.524501044644821</v>
      </c>
      <c r="M9" s="46"/>
      <c r="N9" s="361"/>
      <c r="O9" s="361"/>
    </row>
    <row r="10" customFormat="false" ht="21.9" hidden="false" customHeight="true" outlineLevel="0" collapsed="false">
      <c r="A10" s="319"/>
      <c r="B10" s="300" t="n">
        <v>40817</v>
      </c>
      <c r="C10" s="300" t="n">
        <v>40908</v>
      </c>
      <c r="D10" s="322" t="n">
        <v>130.909</v>
      </c>
      <c r="E10" s="322" t="n">
        <f aca="false">+D10+G9</f>
        <v>1462.795</v>
      </c>
      <c r="F10" s="322" t="n">
        <v>217.429</v>
      </c>
      <c r="G10" s="323" t="n">
        <f aca="false">+E10-F10</f>
        <v>1245.366</v>
      </c>
      <c r="H10" s="303" t="n">
        <f aca="false">+F10/E10</f>
        <v>0.148639419740975</v>
      </c>
      <c r="I10" s="343"/>
      <c r="J10" s="343"/>
      <c r="K10" s="344"/>
      <c r="L10" s="360"/>
      <c r="M10" s="149"/>
      <c r="N10" s="361"/>
      <c r="O10" s="361"/>
    </row>
    <row r="11" customFormat="false" ht="14.4" hidden="false" customHeight="false" outlineLevel="0" collapsed="false">
      <c r="A11" s="307"/>
      <c r="B11" s="307"/>
      <c r="C11" s="307"/>
      <c r="D11" s="307"/>
      <c r="E11" s="307"/>
      <c r="F11" s="307"/>
      <c r="G11" s="307"/>
      <c r="H11" s="307"/>
      <c r="I11" s="308"/>
      <c r="J11" s="308"/>
      <c r="K11" s="362"/>
      <c r="L11" s="310"/>
      <c r="M11" s="46"/>
      <c r="N11" s="361"/>
      <c r="O11" s="361"/>
    </row>
    <row r="12" customFormat="false" ht="15.6" hidden="false" customHeight="false" outlineLevel="0" collapsed="false">
      <c r="A12" s="98" t="s">
        <v>173</v>
      </c>
      <c r="B12" s="98" t="s">
        <v>192</v>
      </c>
      <c r="C12" s="98"/>
      <c r="D12" s="98" t="s">
        <v>193</v>
      </c>
      <c r="E12" s="98"/>
      <c r="F12" s="98" t="s">
        <v>156</v>
      </c>
      <c r="G12" s="98"/>
      <c r="H12" s="98"/>
      <c r="I12" s="98" t="s">
        <v>194</v>
      </c>
      <c r="J12" s="98"/>
      <c r="K12" s="98"/>
      <c r="L12" s="98"/>
      <c r="M12" s="46"/>
      <c r="N12" s="361"/>
      <c r="O12" s="361"/>
    </row>
    <row r="13" customFormat="false" ht="15.6" hidden="false" customHeight="true" outlineLevel="0" collapsed="false">
      <c r="A13" s="143" t="s">
        <v>228</v>
      </c>
      <c r="B13" s="98" t="s">
        <v>199</v>
      </c>
      <c r="C13" s="98" t="s">
        <v>200</v>
      </c>
      <c r="D13" s="97" t="s">
        <v>201</v>
      </c>
      <c r="E13" s="97" t="s">
        <v>202</v>
      </c>
      <c r="F13" s="97" t="s">
        <v>43</v>
      </c>
      <c r="G13" s="97" t="s">
        <v>44</v>
      </c>
      <c r="H13" s="97" t="s">
        <v>159</v>
      </c>
      <c r="I13" s="97" t="s">
        <v>193</v>
      </c>
      <c r="J13" s="97" t="s">
        <v>43</v>
      </c>
      <c r="K13" s="97" t="s">
        <v>44</v>
      </c>
      <c r="L13" s="97" t="s">
        <v>159</v>
      </c>
      <c r="M13" s="46"/>
      <c r="N13" s="363"/>
      <c r="O13" s="361"/>
    </row>
    <row r="14" customFormat="false" ht="14.4" hidden="false" customHeight="false" outlineLevel="0" collapsed="false">
      <c r="A14" s="143"/>
      <c r="B14" s="364" t="n">
        <v>39083</v>
      </c>
      <c r="C14" s="364" t="n">
        <v>40816</v>
      </c>
      <c r="D14" s="152" t="n">
        <f aca="false">+D7+D9</f>
        <v>19790.76</v>
      </c>
      <c r="E14" s="152" t="n">
        <f aca="false">+D14</f>
        <v>19790.76</v>
      </c>
      <c r="F14" s="148" t="n">
        <f aca="false">+F7+F9</f>
        <v>12193.386</v>
      </c>
      <c r="G14" s="365" t="n">
        <f aca="false">+E14-F14</f>
        <v>7597.374</v>
      </c>
      <c r="H14" s="120" t="n">
        <f aca="false">+F14/E14</f>
        <v>0.616115096135772</v>
      </c>
      <c r="I14" s="147" t="n">
        <f aca="false">SUM(D14:D15)</f>
        <v>20832.004</v>
      </c>
      <c r="J14" s="108" t="n">
        <f aca="false">SUM(F14:F15)</f>
        <v>13051.611</v>
      </c>
      <c r="K14" s="147" t="n">
        <f aca="false">+I14-J14</f>
        <v>7780.393</v>
      </c>
      <c r="L14" s="315" t="n">
        <f aca="false">+J14/I14</f>
        <v>0.626517304816186</v>
      </c>
      <c r="M14" s="46"/>
      <c r="O14" s="361"/>
    </row>
    <row r="15" customFormat="false" ht="14.4" hidden="false" customHeight="false" outlineLevel="0" collapsed="false">
      <c r="A15" s="143"/>
      <c r="B15" s="364" t="n">
        <v>40817</v>
      </c>
      <c r="C15" s="364" t="n">
        <v>40908</v>
      </c>
      <c r="D15" s="152" t="n">
        <f aca="false">+D8+D10</f>
        <v>1041.244</v>
      </c>
      <c r="E15" s="152" t="n">
        <f aca="false">+D15+G14</f>
        <v>8638.618</v>
      </c>
      <c r="F15" s="148" t="n">
        <f aca="false">+F8+F10</f>
        <v>858.225</v>
      </c>
      <c r="G15" s="365" t="n">
        <f aca="false">+E15-F15</f>
        <v>7780.393</v>
      </c>
      <c r="H15" s="120" t="n">
        <f aca="false">+F15/E15</f>
        <v>0.0993474882209168</v>
      </c>
      <c r="I15" s="147"/>
      <c r="J15" s="108"/>
      <c r="K15" s="147"/>
      <c r="L15" s="315"/>
      <c r="M15" s="46"/>
      <c r="O15" s="361"/>
    </row>
    <row r="16" customFormat="false" ht="14.4" hidden="false" customHeight="false" outlineLevel="0" collapsed="false">
      <c r="A16" s="307"/>
      <c r="B16" s="307"/>
      <c r="C16" s="307"/>
      <c r="D16" s="307"/>
      <c r="E16" s="307"/>
      <c r="F16" s="307"/>
      <c r="G16" s="307"/>
      <c r="H16" s="366"/>
      <c r="I16" s="366"/>
      <c r="J16" s="366"/>
      <c r="K16" s="366"/>
      <c r="L16" s="366"/>
      <c r="M16" s="46"/>
      <c r="O16" s="361"/>
    </row>
    <row r="17" customFormat="false" ht="15.6" hidden="false" customHeight="false" outlineLevel="0" collapsed="false">
      <c r="A17" s="98" t="s">
        <v>230</v>
      </c>
      <c r="B17" s="98" t="s">
        <v>192</v>
      </c>
      <c r="C17" s="98"/>
      <c r="D17" s="98" t="s">
        <v>193</v>
      </c>
      <c r="E17" s="98"/>
      <c r="F17" s="98" t="s">
        <v>156</v>
      </c>
      <c r="G17" s="98"/>
      <c r="H17" s="98"/>
      <c r="I17" s="98" t="s">
        <v>194</v>
      </c>
      <c r="J17" s="98"/>
      <c r="K17" s="98"/>
      <c r="L17" s="98"/>
      <c r="M17" s="46"/>
      <c r="N17" s="367"/>
      <c r="O17" s="361"/>
    </row>
    <row r="18" customFormat="false" ht="15.6" hidden="false" customHeight="false" outlineLevel="0" collapsed="false">
      <c r="A18" s="357" t="s">
        <v>150</v>
      </c>
      <c r="B18" s="53" t="s">
        <v>199</v>
      </c>
      <c r="C18" s="53" t="s">
        <v>200</v>
      </c>
      <c r="D18" s="51" t="s">
        <v>201</v>
      </c>
      <c r="E18" s="51" t="s">
        <v>202</v>
      </c>
      <c r="F18" s="51" t="s">
        <v>43</v>
      </c>
      <c r="G18" s="51" t="s">
        <v>44</v>
      </c>
      <c r="H18" s="51" t="s">
        <v>159</v>
      </c>
      <c r="I18" s="51" t="s">
        <v>193</v>
      </c>
      <c r="J18" s="51" t="s">
        <v>43</v>
      </c>
      <c r="K18" s="51" t="s">
        <v>44</v>
      </c>
      <c r="L18" s="51" t="s">
        <v>159</v>
      </c>
      <c r="M18" s="46"/>
      <c r="O18" s="361"/>
    </row>
    <row r="19" customFormat="false" ht="15" hidden="false" customHeight="true" outlineLevel="0" collapsed="false">
      <c r="A19" s="368" t="s">
        <v>231</v>
      </c>
      <c r="B19" s="275" t="n">
        <v>39083</v>
      </c>
      <c r="C19" s="275" t="n">
        <v>40816</v>
      </c>
      <c r="D19" s="369" t="n">
        <v>9962.707</v>
      </c>
      <c r="E19" s="369" t="n">
        <f aca="false">+D19</f>
        <v>9962.707</v>
      </c>
      <c r="F19" s="370" t="n">
        <v>6919.238</v>
      </c>
      <c r="G19" s="371" t="n">
        <f aca="false">+E19-F19</f>
        <v>3043.469</v>
      </c>
      <c r="H19" s="372" t="n">
        <f aca="false">+F19/E19</f>
        <v>0.69451385050268</v>
      </c>
      <c r="I19" s="277" t="n">
        <f aca="false">SUM(D19:D20)</f>
        <v>10487.377</v>
      </c>
      <c r="J19" s="277" t="n">
        <f aca="false">SUM(F19:F20)</f>
        <v>6919.238</v>
      </c>
      <c r="K19" s="277" t="n">
        <f aca="false">+I19-J19</f>
        <v>3568.139</v>
      </c>
      <c r="L19" s="373" t="n">
        <f aca="false">+J19/I19</f>
        <v>0.659768214683233</v>
      </c>
      <c r="M19" s="46"/>
      <c r="N19" s="283" t="s">
        <v>232</v>
      </c>
      <c r="O19" s="361"/>
    </row>
    <row r="20" customFormat="false" ht="15" hidden="false" customHeight="true" outlineLevel="0" collapsed="false">
      <c r="A20" s="368"/>
      <c r="B20" s="300" t="n">
        <v>40817</v>
      </c>
      <c r="C20" s="300" t="n">
        <v>40908</v>
      </c>
      <c r="D20" s="215" t="n">
        <v>524.67</v>
      </c>
      <c r="E20" s="215" t="n">
        <f aca="false">+D20+G19</f>
        <v>3568.139</v>
      </c>
      <c r="F20" s="222"/>
      <c r="G20" s="178" t="n">
        <f aca="false">+E20-F20</f>
        <v>3568.139</v>
      </c>
      <c r="H20" s="179" t="n">
        <f aca="false">+F20/E20</f>
        <v>0</v>
      </c>
      <c r="I20" s="277"/>
      <c r="J20" s="277"/>
      <c r="K20" s="277"/>
      <c r="L20" s="373"/>
      <c r="M20" s="46"/>
      <c r="O20" s="361"/>
    </row>
    <row r="21" customFormat="false" ht="14.4" hidden="false" customHeight="true" outlineLevel="0" collapsed="false">
      <c r="A21" s="368" t="s">
        <v>233</v>
      </c>
      <c r="B21" s="275" t="n">
        <v>39083</v>
      </c>
      <c r="C21" s="275" t="n">
        <v>40816</v>
      </c>
      <c r="D21" s="369" t="n">
        <v>32.733</v>
      </c>
      <c r="E21" s="369" t="n">
        <f aca="false">+D21</f>
        <v>32.733</v>
      </c>
      <c r="F21" s="370"/>
      <c r="G21" s="371" t="n">
        <f aca="false">+E21-F21</f>
        <v>32.733</v>
      </c>
      <c r="H21" s="372" t="n">
        <f aca="false">+F21/E21</f>
        <v>0</v>
      </c>
      <c r="I21" s="277" t="n">
        <f aca="false">SUM(D21:D22)</f>
        <v>34.457</v>
      </c>
      <c r="J21" s="277" t="n">
        <f aca="false">SUM(F21:F22)</f>
        <v>0</v>
      </c>
      <c r="K21" s="277" t="n">
        <f aca="false">+I21-J21</f>
        <v>34.457</v>
      </c>
      <c r="L21" s="373" t="n">
        <f aca="false">+J21/I21</f>
        <v>0</v>
      </c>
      <c r="M21" s="46"/>
      <c r="N21" s="283"/>
      <c r="O21" s="361"/>
    </row>
    <row r="22" customFormat="false" ht="14.4" hidden="false" customHeight="false" outlineLevel="0" collapsed="false">
      <c r="A22" s="368"/>
      <c r="B22" s="300" t="n">
        <v>40817</v>
      </c>
      <c r="C22" s="300" t="n">
        <v>40908</v>
      </c>
      <c r="D22" s="215" t="n">
        <v>1.724</v>
      </c>
      <c r="E22" s="215" t="n">
        <f aca="false">+D22+G21</f>
        <v>34.457</v>
      </c>
      <c r="F22" s="222"/>
      <c r="G22" s="178" t="n">
        <f aca="false">+E22-F22</f>
        <v>34.457</v>
      </c>
      <c r="H22" s="179" t="n">
        <f aca="false">+F22/E22</f>
        <v>0</v>
      </c>
      <c r="I22" s="277"/>
      <c r="J22" s="277"/>
      <c r="K22" s="277"/>
      <c r="L22" s="373"/>
      <c r="M22" s="374"/>
      <c r="O22" s="361"/>
    </row>
    <row r="23" customFormat="false" ht="14.4" hidden="false" customHeight="true" outlineLevel="0" collapsed="false">
      <c r="A23" s="316" t="s">
        <v>234</v>
      </c>
      <c r="B23" s="275" t="n">
        <v>39083</v>
      </c>
      <c r="C23" s="275" t="n">
        <v>40816</v>
      </c>
      <c r="D23" s="369" t="n">
        <v>91.275</v>
      </c>
      <c r="E23" s="369" t="n">
        <f aca="false">+D23</f>
        <v>91.275</v>
      </c>
      <c r="F23" s="370" t="n">
        <v>50</v>
      </c>
      <c r="G23" s="371" t="n">
        <f aca="false">+E23-F23</f>
        <v>41.275</v>
      </c>
      <c r="H23" s="372" t="n">
        <f aca="false">+F23/E23</f>
        <v>0.547795124623391</v>
      </c>
      <c r="I23" s="337" t="n">
        <f aca="false">SUM(D23:D24)</f>
        <v>96.082</v>
      </c>
      <c r="J23" s="337" t="n">
        <f aca="false">SUM(F23:F24)</f>
        <v>50</v>
      </c>
      <c r="K23" s="337" t="n">
        <f aca="false">+I23-J23</f>
        <v>46.082</v>
      </c>
      <c r="L23" s="282" t="n">
        <f aca="false">+J23/I23</f>
        <v>0.520388834537166</v>
      </c>
      <c r="M23" s="46"/>
      <c r="N23" s="283"/>
      <c r="O23" s="361"/>
    </row>
    <row r="24" customFormat="false" ht="14.4" hidden="false" customHeight="false" outlineLevel="0" collapsed="false">
      <c r="A24" s="316"/>
      <c r="B24" s="285" t="n">
        <v>40817</v>
      </c>
      <c r="C24" s="285" t="n">
        <v>40908</v>
      </c>
      <c r="D24" s="375" t="n">
        <v>4.807</v>
      </c>
      <c r="E24" s="375" t="n">
        <f aca="false">+D24+G23</f>
        <v>46.082</v>
      </c>
      <c r="F24" s="376"/>
      <c r="G24" s="232" t="n">
        <f aca="false">+E24-F24</f>
        <v>46.082</v>
      </c>
      <c r="H24" s="233" t="n">
        <f aca="false">+F24/E24</f>
        <v>0</v>
      </c>
      <c r="I24" s="337"/>
      <c r="J24" s="337"/>
      <c r="K24" s="337"/>
      <c r="L24" s="282"/>
      <c r="M24" s="46"/>
      <c r="O24" s="361"/>
    </row>
    <row r="25" customFormat="false" ht="14.4" hidden="false" customHeight="true" outlineLevel="0" collapsed="false">
      <c r="A25" s="319" t="s">
        <v>235</v>
      </c>
      <c r="B25" s="275" t="n">
        <v>39083</v>
      </c>
      <c r="C25" s="275" t="n">
        <v>40816</v>
      </c>
      <c r="D25" s="369" t="n">
        <v>668.1</v>
      </c>
      <c r="E25" s="369" t="n">
        <f aca="false">+D25</f>
        <v>668.1</v>
      </c>
      <c r="F25" s="369" t="n">
        <v>697.116</v>
      </c>
      <c r="G25" s="371" t="n">
        <f aca="false">+E25-F25</f>
        <v>-29.016</v>
      </c>
      <c r="H25" s="372" t="n">
        <f aca="false">+F25/E25</f>
        <v>1.04343062415806</v>
      </c>
      <c r="I25" s="343" t="n">
        <f aca="false">SUM(D25:D26)</f>
        <v>703.292</v>
      </c>
      <c r="J25" s="343" t="n">
        <f aca="false">SUM(F25:F26)</f>
        <v>697.116</v>
      </c>
      <c r="K25" s="343" t="n">
        <f aca="false">+I25-J25</f>
        <v>6.17600000000005</v>
      </c>
      <c r="L25" s="321" t="n">
        <f aca="false">+J25/I25</f>
        <v>0.991218441273326</v>
      </c>
      <c r="M25" s="46"/>
      <c r="N25" s="283" t="s">
        <v>236</v>
      </c>
      <c r="O25" s="361"/>
    </row>
    <row r="26" customFormat="false" ht="14.4" hidden="false" customHeight="false" outlineLevel="0" collapsed="false">
      <c r="A26" s="319"/>
      <c r="B26" s="300" t="n">
        <v>40817</v>
      </c>
      <c r="C26" s="300" t="n">
        <v>40908</v>
      </c>
      <c r="D26" s="377" t="n">
        <v>35.192</v>
      </c>
      <c r="E26" s="377" t="n">
        <f aca="false">+D26+G25</f>
        <v>6.17600000000004</v>
      </c>
      <c r="F26" s="377"/>
      <c r="G26" s="378" t="n">
        <f aca="false">+E26-F26</f>
        <v>6.17600000000004</v>
      </c>
      <c r="H26" s="379" t="n">
        <f aca="false">+F26/E26</f>
        <v>0</v>
      </c>
      <c r="I26" s="343"/>
      <c r="J26" s="343"/>
      <c r="K26" s="343"/>
      <c r="L26" s="321"/>
      <c r="M26" s="46"/>
      <c r="O26" s="361"/>
    </row>
    <row r="27" customFormat="false" ht="14.4" hidden="false" customHeight="true" outlineLevel="0" collapsed="false">
      <c r="A27" s="319" t="s">
        <v>237</v>
      </c>
      <c r="B27" s="275" t="n">
        <v>39083</v>
      </c>
      <c r="C27" s="275" t="n">
        <v>40816</v>
      </c>
      <c r="D27" s="369" t="n">
        <v>2.247</v>
      </c>
      <c r="E27" s="369" t="n">
        <f aca="false">+D27</f>
        <v>2.247</v>
      </c>
      <c r="F27" s="370"/>
      <c r="G27" s="371" t="n">
        <f aca="false">+E27-F27</f>
        <v>2.247</v>
      </c>
      <c r="H27" s="372" t="n">
        <f aca="false">+F27/E27</f>
        <v>0</v>
      </c>
      <c r="I27" s="380" t="n">
        <f aca="false">SUM(D27:D28)</f>
        <v>2.365</v>
      </c>
      <c r="J27" s="343" t="n">
        <f aca="false">SUM(F27:F28)</f>
        <v>0</v>
      </c>
      <c r="K27" s="343" t="n">
        <f aca="false">+I27-J27</f>
        <v>2.365</v>
      </c>
      <c r="L27" s="321" t="n">
        <f aca="false">+J27/I27</f>
        <v>0</v>
      </c>
      <c r="M27" s="46"/>
      <c r="O27" s="361"/>
    </row>
    <row r="28" customFormat="false" ht="14.4" hidden="false" customHeight="false" outlineLevel="0" collapsed="false">
      <c r="A28" s="319"/>
      <c r="B28" s="300" t="n">
        <v>40817</v>
      </c>
      <c r="C28" s="300" t="n">
        <v>40908</v>
      </c>
      <c r="D28" s="377" t="n">
        <v>0.118</v>
      </c>
      <c r="E28" s="377" t="n">
        <f aca="false">+D28+G27</f>
        <v>2.365</v>
      </c>
      <c r="F28" s="381"/>
      <c r="G28" s="71" t="n">
        <f aca="false">+E28-F28</f>
        <v>2.365</v>
      </c>
      <c r="H28" s="379" t="n">
        <f aca="false">+F28/E28</f>
        <v>0</v>
      </c>
      <c r="I28" s="380"/>
      <c r="J28" s="343"/>
      <c r="K28" s="343"/>
      <c r="L28" s="321"/>
      <c r="M28" s="46"/>
      <c r="O28" s="361"/>
    </row>
    <row r="29" customFormat="false" ht="14.4" hidden="false" customHeight="true" outlineLevel="0" collapsed="false">
      <c r="A29" s="319" t="s">
        <v>221</v>
      </c>
      <c r="B29" s="275" t="n">
        <v>39083</v>
      </c>
      <c r="C29" s="275" t="n">
        <v>40816</v>
      </c>
      <c r="D29" s="369" t="n">
        <v>1070.607</v>
      </c>
      <c r="E29" s="369" t="n">
        <f aca="false">+D29</f>
        <v>1070.607</v>
      </c>
      <c r="F29" s="370" t="n">
        <v>1302.934</v>
      </c>
      <c r="G29" s="371" t="n">
        <f aca="false">+E29-F29</f>
        <v>-232.327</v>
      </c>
      <c r="H29" s="372" t="n">
        <f aca="false">+F29/E29</f>
        <v>1.21700493271574</v>
      </c>
      <c r="I29" s="343" t="n">
        <f aca="false">SUM(D29:D30)</f>
        <v>1127</v>
      </c>
      <c r="J29" s="343" t="n">
        <f aca="false">SUM(F29:F30)</f>
        <v>1302.934</v>
      </c>
      <c r="K29" s="343" t="n">
        <f aca="false">+I29-J29</f>
        <v>-175.934</v>
      </c>
      <c r="L29" s="382" t="n">
        <f aca="false">+J29/I29</f>
        <v>1.15610825199645</v>
      </c>
      <c r="M29" s="46"/>
      <c r="N29" s="383" t="s">
        <v>238</v>
      </c>
      <c r="O29" s="361"/>
    </row>
    <row r="30" customFormat="false" ht="14.4" hidden="false" customHeight="false" outlineLevel="0" collapsed="false">
      <c r="A30" s="319"/>
      <c r="B30" s="300" t="n">
        <v>40817</v>
      </c>
      <c r="C30" s="300" t="n">
        <v>40908</v>
      </c>
      <c r="D30" s="377" t="n">
        <v>56.393</v>
      </c>
      <c r="E30" s="377" t="n">
        <f aca="false">+D30+G29</f>
        <v>-175.934</v>
      </c>
      <c r="F30" s="381"/>
      <c r="G30" s="378" t="n">
        <f aca="false">+E30-F30</f>
        <v>-175.934</v>
      </c>
      <c r="H30" s="379" t="n">
        <f aca="false">+F30/E30</f>
        <v>-0</v>
      </c>
      <c r="I30" s="343"/>
      <c r="J30" s="343"/>
      <c r="K30" s="343"/>
      <c r="L30" s="382"/>
      <c r="M30" s="46"/>
      <c r="O30" s="361"/>
    </row>
    <row r="31" customFormat="false" ht="14.4" hidden="false" customHeight="true" outlineLevel="0" collapsed="false">
      <c r="A31" s="324" t="s">
        <v>222</v>
      </c>
      <c r="B31" s="325" t="n">
        <v>39083</v>
      </c>
      <c r="C31" s="325" t="n">
        <v>40816</v>
      </c>
      <c r="D31" s="384" t="n">
        <v>57.524</v>
      </c>
      <c r="E31" s="384" t="n">
        <f aca="false">+D31</f>
        <v>57.524</v>
      </c>
      <c r="F31" s="385" t="n">
        <v>59.373</v>
      </c>
      <c r="G31" s="386" t="n">
        <f aca="false">+E31-F31</f>
        <v>-1.849</v>
      </c>
      <c r="H31" s="387" t="n">
        <f aca="false">+F31/E31</f>
        <v>1.03214310548641</v>
      </c>
      <c r="I31" s="326" t="n">
        <f aca="false">SUM(D31:D32)</f>
        <v>60.554</v>
      </c>
      <c r="J31" s="326" t="n">
        <f aca="false">SUM(F31:F32)</f>
        <v>59.373</v>
      </c>
      <c r="K31" s="326" t="n">
        <f aca="false">+I31-J31</f>
        <v>1.181</v>
      </c>
      <c r="L31" s="388" t="n">
        <f aca="false">+J31/I31</f>
        <v>0.98049674670542</v>
      </c>
      <c r="M31" s="46"/>
      <c r="O31" s="361"/>
    </row>
    <row r="32" customFormat="false" ht="14.4" hidden="false" customHeight="false" outlineLevel="0" collapsed="false">
      <c r="A32" s="324"/>
      <c r="B32" s="300" t="n">
        <v>40817</v>
      </c>
      <c r="C32" s="300" t="n">
        <v>40908</v>
      </c>
      <c r="D32" s="215" t="n">
        <v>3.03</v>
      </c>
      <c r="E32" s="215" t="n">
        <f aca="false">+D32+G31</f>
        <v>1.181</v>
      </c>
      <c r="F32" s="222"/>
      <c r="G32" s="178" t="n">
        <f aca="false">+E32-F32</f>
        <v>1.181</v>
      </c>
      <c r="H32" s="179" t="n">
        <f aca="false">+F32/E32</f>
        <v>0</v>
      </c>
      <c r="I32" s="326"/>
      <c r="J32" s="326"/>
      <c r="K32" s="326"/>
      <c r="L32" s="388"/>
      <c r="M32" s="46"/>
      <c r="O32" s="361"/>
    </row>
    <row r="33" customFormat="false" ht="14.4" hidden="false" customHeight="true" outlineLevel="0" collapsed="false">
      <c r="A33" s="319" t="s">
        <v>239</v>
      </c>
      <c r="B33" s="275" t="n">
        <v>39083</v>
      </c>
      <c r="C33" s="275" t="n">
        <v>40816</v>
      </c>
      <c r="D33" s="369" t="n">
        <v>3.736</v>
      </c>
      <c r="E33" s="369" t="n">
        <f aca="false">+D33</f>
        <v>3.736</v>
      </c>
      <c r="F33" s="370"/>
      <c r="G33" s="371" t="n">
        <f aca="false">+E33-F33</f>
        <v>3.736</v>
      </c>
      <c r="H33" s="372" t="n">
        <f aca="false">+F33/E33</f>
        <v>0</v>
      </c>
      <c r="I33" s="277" t="n">
        <f aca="false">SUM(D33:D34)</f>
        <v>3.933</v>
      </c>
      <c r="J33" s="277" t="n">
        <f aca="false">SUM(F33:F34)</f>
        <v>0</v>
      </c>
      <c r="K33" s="277" t="n">
        <f aca="false">+I33-J33</f>
        <v>3.933</v>
      </c>
      <c r="L33" s="373" t="n">
        <f aca="false">+J33/I33</f>
        <v>0</v>
      </c>
      <c r="M33" s="46"/>
      <c r="O33" s="361"/>
    </row>
    <row r="34" customFormat="false" ht="14.4" hidden="false" customHeight="false" outlineLevel="0" collapsed="false">
      <c r="A34" s="319"/>
      <c r="B34" s="300" t="n">
        <v>40817</v>
      </c>
      <c r="C34" s="300" t="n">
        <v>40908</v>
      </c>
      <c r="D34" s="215" t="n">
        <v>0.197</v>
      </c>
      <c r="E34" s="215" t="n">
        <f aca="false">+D34+G33</f>
        <v>3.933</v>
      </c>
      <c r="F34" s="222"/>
      <c r="G34" s="178" t="n">
        <f aca="false">+E34-F34</f>
        <v>3.933</v>
      </c>
      <c r="H34" s="179" t="n">
        <f aca="false">+F34/E34</f>
        <v>0</v>
      </c>
      <c r="I34" s="277"/>
      <c r="J34" s="277"/>
      <c r="K34" s="277"/>
      <c r="L34" s="373"/>
      <c r="M34" s="46"/>
      <c r="N34" s="367" t="n">
        <f aca="false">J42+J74+J108</f>
        <v>200416.554</v>
      </c>
      <c r="O34" s="361"/>
    </row>
    <row r="35" customFormat="false" ht="14.4" hidden="false" customHeight="true" outlineLevel="0" collapsed="false">
      <c r="A35" s="319" t="s">
        <v>215</v>
      </c>
      <c r="B35" s="275" t="n">
        <v>39083</v>
      </c>
      <c r="C35" s="275" t="n">
        <v>40816</v>
      </c>
      <c r="D35" s="369" t="n">
        <v>84.341</v>
      </c>
      <c r="E35" s="369" t="n">
        <f aca="false">+D35</f>
        <v>84.341</v>
      </c>
      <c r="F35" s="370"/>
      <c r="G35" s="371" t="n">
        <f aca="false">+E35-F35</f>
        <v>84.341</v>
      </c>
      <c r="H35" s="372" t="n">
        <f aca="false">+F35/E35</f>
        <v>0</v>
      </c>
      <c r="I35" s="277" t="n">
        <f aca="false">SUM(D35:D36)</f>
        <v>88.784</v>
      </c>
      <c r="J35" s="277" t="n">
        <f aca="false">SUM(F35:F36)</f>
        <v>0</v>
      </c>
      <c r="K35" s="277" t="n">
        <f aca="false">+I35-J35</f>
        <v>88.784</v>
      </c>
      <c r="L35" s="373" t="n">
        <f aca="false">+J35/I35</f>
        <v>0</v>
      </c>
      <c r="M35" s="46"/>
      <c r="O35" s="361"/>
    </row>
    <row r="36" customFormat="false" ht="14.4" hidden="false" customHeight="false" outlineLevel="0" collapsed="false">
      <c r="A36" s="319"/>
      <c r="B36" s="300" t="n">
        <v>40817</v>
      </c>
      <c r="C36" s="300" t="n">
        <v>40908</v>
      </c>
      <c r="D36" s="215" t="n">
        <v>4.443</v>
      </c>
      <c r="E36" s="215" t="n">
        <f aca="false">+D36+G35</f>
        <v>88.784</v>
      </c>
      <c r="F36" s="222"/>
      <c r="G36" s="178" t="n">
        <f aca="false">+E36-F36</f>
        <v>88.784</v>
      </c>
      <c r="H36" s="179" t="n">
        <f aca="false">+F36/E36</f>
        <v>0</v>
      </c>
      <c r="I36" s="277"/>
      <c r="J36" s="277"/>
      <c r="K36" s="277"/>
      <c r="L36" s="373"/>
      <c r="M36" s="46"/>
      <c r="O36" s="361"/>
    </row>
    <row r="37" customFormat="false" ht="12.75" hidden="false" customHeight="true" outlineLevel="0" collapsed="false">
      <c r="A37" s="319" t="s">
        <v>240</v>
      </c>
      <c r="B37" s="275" t="n">
        <v>39083</v>
      </c>
      <c r="C37" s="275" t="n">
        <v>40816</v>
      </c>
      <c r="D37" s="369" t="n">
        <v>8.302</v>
      </c>
      <c r="E37" s="369" t="n">
        <f aca="false">+D37</f>
        <v>8.302</v>
      </c>
      <c r="F37" s="370"/>
      <c r="G37" s="371" t="n">
        <f aca="false">+E37-F37</f>
        <v>8.302</v>
      </c>
      <c r="H37" s="372" t="n">
        <f aca="false">+F37/E37</f>
        <v>0</v>
      </c>
      <c r="I37" s="380" t="n">
        <f aca="false">SUM(D37:D38)</f>
        <v>8.739</v>
      </c>
      <c r="J37" s="343" t="n">
        <f aca="false">SUM(F37:F38)</f>
        <v>0</v>
      </c>
      <c r="K37" s="380" t="n">
        <f aca="false">+I37-J37</f>
        <v>8.739</v>
      </c>
      <c r="L37" s="321" t="n">
        <f aca="false">+J37/I37</f>
        <v>0</v>
      </c>
      <c r="M37" s="46"/>
      <c r="O37" s="361"/>
    </row>
    <row r="38" customFormat="false" ht="14.4" hidden="false" customHeight="false" outlineLevel="0" collapsed="false">
      <c r="A38" s="319"/>
      <c r="B38" s="300" t="n">
        <v>40817</v>
      </c>
      <c r="C38" s="300" t="n">
        <v>40908</v>
      </c>
      <c r="D38" s="377" t="n">
        <v>0.437</v>
      </c>
      <c r="E38" s="377" t="n">
        <f aca="false">+D38+G37</f>
        <v>8.739</v>
      </c>
      <c r="F38" s="381"/>
      <c r="G38" s="71" t="n">
        <f aca="false">+E38-F38</f>
        <v>8.739</v>
      </c>
      <c r="H38" s="379" t="n">
        <f aca="false">+F38/E38</f>
        <v>0</v>
      </c>
      <c r="I38" s="380"/>
      <c r="J38" s="380"/>
      <c r="K38" s="380"/>
      <c r="L38" s="321"/>
      <c r="M38" s="46"/>
      <c r="O38" s="361"/>
    </row>
    <row r="39" customFormat="false" ht="14.4" hidden="false" customHeight="false" outlineLevel="0" collapsed="false">
      <c r="A39" s="307"/>
      <c r="B39" s="307"/>
      <c r="C39" s="307"/>
      <c r="D39" s="307"/>
      <c r="E39" s="307"/>
      <c r="F39" s="307"/>
      <c r="G39" s="307"/>
      <c r="H39" s="307"/>
      <c r="I39" s="308"/>
      <c r="J39" s="308"/>
      <c r="K39" s="362"/>
      <c r="L39" s="310"/>
      <c r="M39" s="46"/>
      <c r="O39" s="361"/>
    </row>
    <row r="40" customFormat="false" ht="15.6" hidden="false" customHeight="false" outlineLevel="0" collapsed="false">
      <c r="A40" s="98" t="s">
        <v>173</v>
      </c>
      <c r="B40" s="98" t="s">
        <v>192</v>
      </c>
      <c r="C40" s="98"/>
      <c r="D40" s="98" t="s">
        <v>193</v>
      </c>
      <c r="E40" s="98"/>
      <c r="F40" s="98" t="s">
        <v>156</v>
      </c>
      <c r="G40" s="98"/>
      <c r="H40" s="98"/>
      <c r="I40" s="98" t="s">
        <v>194</v>
      </c>
      <c r="J40" s="98"/>
      <c r="K40" s="98"/>
      <c r="L40" s="98"/>
      <c r="M40" s="46"/>
      <c r="O40" s="361"/>
    </row>
    <row r="41" customFormat="false" ht="15.6" hidden="false" customHeight="true" outlineLevel="0" collapsed="false">
      <c r="A41" s="143" t="s">
        <v>230</v>
      </c>
      <c r="B41" s="98" t="s">
        <v>199</v>
      </c>
      <c r="C41" s="98" t="s">
        <v>200</v>
      </c>
      <c r="D41" s="97" t="s">
        <v>201</v>
      </c>
      <c r="E41" s="97" t="s">
        <v>202</v>
      </c>
      <c r="F41" s="97" t="s">
        <v>43</v>
      </c>
      <c r="G41" s="97" t="s">
        <v>44</v>
      </c>
      <c r="H41" s="97" t="s">
        <v>159</v>
      </c>
      <c r="I41" s="97" t="s">
        <v>193</v>
      </c>
      <c r="J41" s="97" t="s">
        <v>43</v>
      </c>
      <c r="K41" s="97" t="s">
        <v>44</v>
      </c>
      <c r="L41" s="97" t="s">
        <v>159</v>
      </c>
      <c r="M41" s="46"/>
      <c r="O41" s="361"/>
    </row>
    <row r="42" customFormat="false" ht="14.4" hidden="false" customHeight="false" outlineLevel="0" collapsed="false">
      <c r="A42" s="143"/>
      <c r="B42" s="275" t="n">
        <v>39083</v>
      </c>
      <c r="C42" s="275" t="n">
        <v>40816</v>
      </c>
      <c r="D42" s="152" t="n">
        <f aca="false">+D19+D21+D23+D25+D27+D37+D29+D31+D33+D35</f>
        <v>11981.572</v>
      </c>
      <c r="E42" s="152" t="n">
        <f aca="false">+D42</f>
        <v>11981.572</v>
      </c>
      <c r="F42" s="148" t="n">
        <f aca="false">+F19+F21+F23+F25+F27+F37+F29+F31+F33+F35</f>
        <v>9028.661</v>
      </c>
      <c r="G42" s="365" t="n">
        <f aca="false">+E42-F42</f>
        <v>2952.911</v>
      </c>
      <c r="H42" s="120" t="n">
        <f aca="false">+F42/E42</f>
        <v>0.753545611544128</v>
      </c>
      <c r="I42" s="147" t="n">
        <f aca="false">SUM(D42:D43)</f>
        <v>12612.583</v>
      </c>
      <c r="J42" s="108" t="n">
        <f aca="false">SUM(F42:F43)</f>
        <v>9028.661</v>
      </c>
      <c r="K42" s="147" t="n">
        <f aca="false">+I42-J42</f>
        <v>3583.922</v>
      </c>
      <c r="L42" s="315" t="n">
        <f aca="false">+J42/I42</f>
        <v>0.715845517131582</v>
      </c>
      <c r="M42" s="46"/>
      <c r="O42" s="361"/>
    </row>
    <row r="43" customFormat="false" ht="14.4" hidden="false" customHeight="false" outlineLevel="0" collapsed="false">
      <c r="A43" s="143"/>
      <c r="B43" s="300" t="n">
        <v>40817</v>
      </c>
      <c r="C43" s="300" t="n">
        <v>40908</v>
      </c>
      <c r="D43" s="152" t="n">
        <f aca="false">+D20+D22+D24+D26+D28+D38+D30+D32+D34+D36</f>
        <v>631.011</v>
      </c>
      <c r="E43" s="152" t="n">
        <f aca="false">+D43+G42</f>
        <v>3583.922</v>
      </c>
      <c r="F43" s="148" t="n">
        <f aca="false">+F20+F22+F24+F26+F28+F38+F30+F32+F34+F36</f>
        <v>0</v>
      </c>
      <c r="G43" s="365" t="n">
        <f aca="false">+E43-F43</f>
        <v>3583.922</v>
      </c>
      <c r="H43" s="120" t="n">
        <f aca="false">+F43/E43</f>
        <v>0</v>
      </c>
      <c r="I43" s="147"/>
      <c r="J43" s="108"/>
      <c r="K43" s="147"/>
      <c r="L43" s="315"/>
      <c r="M43" s="46"/>
      <c r="O43" s="361"/>
    </row>
    <row r="44" customFormat="false" ht="14.4" hidden="false" customHeight="false" outlineLevel="0" collapsed="false">
      <c r="A44" s="254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46"/>
      <c r="O44" s="361"/>
    </row>
    <row r="45" customFormat="false" ht="15.6" hidden="false" customHeight="false" outlineLevel="0" collapsed="false">
      <c r="A45" s="98" t="s">
        <v>241</v>
      </c>
      <c r="B45" s="98" t="s">
        <v>192</v>
      </c>
      <c r="C45" s="98"/>
      <c r="D45" s="98" t="s">
        <v>193</v>
      </c>
      <c r="E45" s="98"/>
      <c r="F45" s="98" t="s">
        <v>156</v>
      </c>
      <c r="G45" s="98"/>
      <c r="H45" s="98"/>
      <c r="I45" s="98" t="s">
        <v>194</v>
      </c>
      <c r="J45" s="98"/>
      <c r="K45" s="98"/>
      <c r="L45" s="98"/>
      <c r="M45" s="46"/>
      <c r="N45" s="389"/>
      <c r="O45" s="361"/>
    </row>
    <row r="46" customFormat="false" ht="15.6" hidden="false" customHeight="false" outlineLevel="0" collapsed="false">
      <c r="A46" s="357" t="s">
        <v>150</v>
      </c>
      <c r="B46" s="53" t="s">
        <v>199</v>
      </c>
      <c r="C46" s="53" t="s">
        <v>200</v>
      </c>
      <c r="D46" s="51" t="s">
        <v>201</v>
      </c>
      <c r="E46" s="51" t="s">
        <v>202</v>
      </c>
      <c r="F46" s="51" t="s">
        <v>43</v>
      </c>
      <c r="G46" s="51" t="s">
        <v>44</v>
      </c>
      <c r="H46" s="51" t="s">
        <v>159</v>
      </c>
      <c r="I46" s="51" t="s">
        <v>193</v>
      </c>
      <c r="J46" s="51" t="s">
        <v>43</v>
      </c>
      <c r="K46" s="51" t="s">
        <v>44</v>
      </c>
      <c r="L46" s="51" t="s">
        <v>159</v>
      </c>
      <c r="M46" s="46"/>
      <c r="N46" s="389"/>
      <c r="O46" s="361"/>
    </row>
    <row r="47" customFormat="false" ht="14.4" hidden="false" customHeight="true" outlineLevel="0" collapsed="false">
      <c r="A47" s="368" t="s">
        <v>242</v>
      </c>
      <c r="B47" s="275" t="n">
        <v>39083</v>
      </c>
      <c r="C47" s="275" t="n">
        <v>40816</v>
      </c>
      <c r="D47" s="369" t="n">
        <v>2437.732</v>
      </c>
      <c r="E47" s="369" t="n">
        <f aca="false">+D47</f>
        <v>2437.732</v>
      </c>
      <c r="F47" s="277" t="n">
        <v>2562.634</v>
      </c>
      <c r="G47" s="59" t="n">
        <f aca="false">+E47-F47</f>
        <v>-124.902</v>
      </c>
      <c r="H47" s="372" t="n">
        <f aca="false">+F47/E47</f>
        <v>1.05123696944537</v>
      </c>
      <c r="I47" s="390" t="n">
        <f aca="false">SUM(D47:D48)</f>
        <v>2566.042</v>
      </c>
      <c r="J47" s="277" t="n">
        <f aca="false">SUM(F47:F48)</f>
        <v>2562.634</v>
      </c>
      <c r="K47" s="390" t="n">
        <f aca="false">+I47-J47</f>
        <v>3.4079999999999</v>
      </c>
      <c r="L47" s="373" t="n">
        <f aca="false">+J47/I47</f>
        <v>0.998671884559957</v>
      </c>
      <c r="M47" s="46"/>
      <c r="N47" s="391"/>
      <c r="O47" s="361"/>
    </row>
    <row r="48" customFormat="false" ht="14.4" hidden="false" customHeight="false" outlineLevel="0" collapsed="false">
      <c r="A48" s="368"/>
      <c r="B48" s="300" t="n">
        <v>40817</v>
      </c>
      <c r="C48" s="300" t="n">
        <v>40908</v>
      </c>
      <c r="D48" s="215" t="n">
        <v>128.31</v>
      </c>
      <c r="E48" s="215" t="n">
        <f aca="false">+D48+G47</f>
        <v>3.40799999999996</v>
      </c>
      <c r="F48" s="340"/>
      <c r="G48" s="64" t="n">
        <f aca="false">+E48-F48</f>
        <v>3.40799999999996</v>
      </c>
      <c r="H48" s="179" t="n">
        <f aca="false">+F48/E48</f>
        <v>0</v>
      </c>
      <c r="I48" s="390"/>
      <c r="J48" s="277"/>
      <c r="K48" s="390"/>
      <c r="L48" s="373"/>
      <c r="M48" s="149"/>
      <c r="N48" s="389"/>
      <c r="O48" s="361"/>
    </row>
    <row r="49" customFormat="false" ht="18" hidden="false" customHeight="true" outlineLevel="0" collapsed="false">
      <c r="A49" s="368" t="s">
        <v>243</v>
      </c>
      <c r="B49" s="275" t="n">
        <v>39083</v>
      </c>
      <c r="C49" s="275" t="n">
        <v>40816</v>
      </c>
      <c r="D49" s="369" t="n">
        <v>9504.197</v>
      </c>
      <c r="E49" s="369" t="n">
        <f aca="false">+D49</f>
        <v>9504.197</v>
      </c>
      <c r="F49" s="277" t="n">
        <v>10007.306</v>
      </c>
      <c r="G49" s="59" t="n">
        <f aca="false">+E49-F49</f>
        <v>-503.109</v>
      </c>
      <c r="H49" s="372" t="n">
        <f aca="false">+F49/E49</f>
        <v>1.05293545577812</v>
      </c>
      <c r="I49" s="390" t="n">
        <f aca="false">SUM(D49:D50)</f>
        <v>10004.427</v>
      </c>
      <c r="J49" s="277" t="n">
        <f aca="false">SUM(F49:F50)</f>
        <v>10007.306</v>
      </c>
      <c r="K49" s="390" t="n">
        <f aca="false">+I49-J49</f>
        <v>-2.87900000000082</v>
      </c>
      <c r="L49" s="373" t="n">
        <f aca="false">+J49/I49</f>
        <v>1.00028777260307</v>
      </c>
      <c r="M49" s="46"/>
      <c r="N49" s="391"/>
      <c r="O49" s="361"/>
    </row>
    <row r="50" customFormat="false" ht="14.4" hidden="false" customHeight="false" outlineLevel="0" collapsed="false">
      <c r="A50" s="368"/>
      <c r="B50" s="300" t="n">
        <v>40817</v>
      </c>
      <c r="C50" s="300" t="n">
        <v>40908</v>
      </c>
      <c r="D50" s="215" t="n">
        <v>500.23</v>
      </c>
      <c r="E50" s="215" t="n">
        <f aca="false">+D50+G49</f>
        <v>-2.87900000000036</v>
      </c>
      <c r="F50" s="340"/>
      <c r="G50" s="64" t="n">
        <f aca="false">+E50-F50</f>
        <v>-2.87900000000036</v>
      </c>
      <c r="H50" s="179" t="n">
        <f aca="false">+F50/E50</f>
        <v>-0</v>
      </c>
      <c r="I50" s="390"/>
      <c r="J50" s="277"/>
      <c r="K50" s="390"/>
      <c r="L50" s="373"/>
      <c r="M50" s="46"/>
      <c r="N50" s="389"/>
      <c r="O50" s="361"/>
    </row>
    <row r="51" customFormat="false" ht="14.4" hidden="false" customHeight="true" outlineLevel="0" collapsed="false">
      <c r="A51" s="319" t="s">
        <v>244</v>
      </c>
      <c r="B51" s="275" t="n">
        <v>39083</v>
      </c>
      <c r="C51" s="275" t="n">
        <v>40816</v>
      </c>
      <c r="D51" s="369" t="n">
        <v>43541.831</v>
      </c>
      <c r="E51" s="369" t="n">
        <f aca="false">+D51</f>
        <v>43541.831</v>
      </c>
      <c r="F51" s="277" t="n">
        <v>45931.941</v>
      </c>
      <c r="G51" s="59" t="n">
        <f aca="false">+E51-F51</f>
        <v>-2390.11</v>
      </c>
      <c r="H51" s="372" t="n">
        <f aca="false">+F51/E51</f>
        <v>1.05489227129654</v>
      </c>
      <c r="I51" s="380" t="n">
        <f aca="false">SUM(D51:D52)</f>
        <v>45833.592</v>
      </c>
      <c r="J51" s="343" t="n">
        <f aca="false">SUM(F51:F52)</f>
        <v>45931.941</v>
      </c>
      <c r="K51" s="380" t="n">
        <f aca="false">+I51-J51</f>
        <v>-98.349000000002</v>
      </c>
      <c r="L51" s="321" t="n">
        <f aca="false">+J51/I51</f>
        <v>1.00214578425361</v>
      </c>
      <c r="M51" s="46"/>
      <c r="N51" s="391"/>
      <c r="O51" s="361"/>
    </row>
    <row r="52" customFormat="false" ht="14.4" hidden="false" customHeight="false" outlineLevel="0" collapsed="false">
      <c r="A52" s="319"/>
      <c r="B52" s="300" t="n">
        <v>40817</v>
      </c>
      <c r="C52" s="300" t="n">
        <v>40908</v>
      </c>
      <c r="D52" s="377" t="n">
        <v>2291.761</v>
      </c>
      <c r="E52" s="377" t="n">
        <f aca="false">+D52+G51</f>
        <v>-98.3490000000006</v>
      </c>
      <c r="F52" s="322"/>
      <c r="G52" s="71" t="n">
        <f aca="false">+E52-F52</f>
        <v>-98.3490000000006</v>
      </c>
      <c r="H52" s="379" t="n">
        <f aca="false">+F52/E52</f>
        <v>-0</v>
      </c>
      <c r="I52" s="380"/>
      <c r="J52" s="343"/>
      <c r="K52" s="380"/>
      <c r="L52" s="321"/>
      <c r="M52" s="46"/>
      <c r="N52" s="389"/>
      <c r="O52" s="361"/>
    </row>
    <row r="53" customFormat="false" ht="14.4" hidden="false" customHeight="true" outlineLevel="0" collapsed="false">
      <c r="A53" s="319" t="s">
        <v>245</v>
      </c>
      <c r="B53" s="275" t="n">
        <v>39083</v>
      </c>
      <c r="C53" s="275" t="n">
        <v>40816</v>
      </c>
      <c r="D53" s="369" t="n">
        <v>18.317</v>
      </c>
      <c r="E53" s="369" t="n">
        <f aca="false">+D53</f>
        <v>18.317</v>
      </c>
      <c r="F53" s="277"/>
      <c r="G53" s="59" t="n">
        <f aca="false">+E53-F53</f>
        <v>18.317</v>
      </c>
      <c r="H53" s="372" t="n">
        <f aca="false">+F53/E53</f>
        <v>0</v>
      </c>
      <c r="I53" s="380" t="n">
        <f aca="false">SUM(D53:D54)</f>
        <v>19.281</v>
      </c>
      <c r="J53" s="343" t="n">
        <f aca="false">SUM(F53:F54)</f>
        <v>0</v>
      </c>
      <c r="K53" s="380" t="n">
        <f aca="false">+I53-J53</f>
        <v>19.281</v>
      </c>
      <c r="L53" s="321" t="n">
        <f aca="false">+J53/I53</f>
        <v>0</v>
      </c>
      <c r="M53" s="46"/>
      <c r="N53" s="389"/>
      <c r="O53" s="361"/>
    </row>
    <row r="54" customFormat="false" ht="14.4" hidden="false" customHeight="false" outlineLevel="0" collapsed="false">
      <c r="A54" s="319"/>
      <c r="B54" s="300" t="n">
        <v>40817</v>
      </c>
      <c r="C54" s="300" t="n">
        <v>40908</v>
      </c>
      <c r="D54" s="377" t="n">
        <v>0.964</v>
      </c>
      <c r="E54" s="377" t="n">
        <f aca="false">+D54+G53</f>
        <v>19.281</v>
      </c>
      <c r="F54" s="322"/>
      <c r="G54" s="71" t="n">
        <f aca="false">+E54-F54</f>
        <v>19.281</v>
      </c>
      <c r="H54" s="379" t="n">
        <f aca="false">+F54/E54</f>
        <v>0</v>
      </c>
      <c r="I54" s="380"/>
      <c r="J54" s="343"/>
      <c r="K54" s="380"/>
      <c r="L54" s="321"/>
      <c r="M54" s="46"/>
      <c r="N54" s="389"/>
      <c r="O54" s="361"/>
    </row>
    <row r="55" customFormat="false" ht="14.4" hidden="false" customHeight="true" outlineLevel="0" collapsed="false">
      <c r="A55" s="324" t="s">
        <v>246</v>
      </c>
      <c r="B55" s="325" t="n">
        <v>39083</v>
      </c>
      <c r="C55" s="325" t="n">
        <v>40816</v>
      </c>
      <c r="D55" s="384" t="n">
        <v>7467.28</v>
      </c>
      <c r="E55" s="384" t="n">
        <f aca="false">+D55</f>
        <v>7467.28</v>
      </c>
      <c r="F55" s="277" t="n">
        <v>7653.164</v>
      </c>
      <c r="G55" s="392" t="n">
        <f aca="false">+E55-F55</f>
        <v>-185.884</v>
      </c>
      <c r="H55" s="387" t="n">
        <f aca="false">+F55/E55</f>
        <v>1.0248931337783</v>
      </c>
      <c r="I55" s="393" t="n">
        <f aca="false">SUM(D55:D56)</f>
        <v>7860.3</v>
      </c>
      <c r="J55" s="394" t="n">
        <f aca="false">SUM(F55:F56)</f>
        <v>8011.464</v>
      </c>
      <c r="K55" s="393" t="n">
        <f aca="false">+I55-J55</f>
        <v>-151.164000000001</v>
      </c>
      <c r="L55" s="395" t="n">
        <f aca="false">+J55/I55</f>
        <v>1.01923132704859</v>
      </c>
      <c r="M55" s="46"/>
      <c r="N55" s="389"/>
      <c r="O55" s="361"/>
    </row>
    <row r="56" customFormat="false" ht="14.4" hidden="false" customHeight="false" outlineLevel="0" collapsed="false">
      <c r="A56" s="324"/>
      <c r="B56" s="300" t="n">
        <v>40817</v>
      </c>
      <c r="C56" s="300" t="n">
        <v>40908</v>
      </c>
      <c r="D56" s="377" t="n">
        <v>393.02</v>
      </c>
      <c r="E56" s="377" t="n">
        <f aca="false">+D56+G55</f>
        <v>207.136</v>
      </c>
      <c r="F56" s="322" t="n">
        <v>358.3</v>
      </c>
      <c r="G56" s="71" t="n">
        <f aca="false">+E56-F56</f>
        <v>-151.164</v>
      </c>
      <c r="H56" s="379" t="n">
        <f aca="false">+F56/E56</f>
        <v>1.72978139966013</v>
      </c>
      <c r="I56" s="393"/>
      <c r="J56" s="394"/>
      <c r="K56" s="393"/>
      <c r="L56" s="395"/>
      <c r="M56" s="46"/>
      <c r="N56" s="389"/>
      <c r="O56" s="361"/>
    </row>
    <row r="57" customFormat="false" ht="14.4" hidden="false" customHeight="true" outlineLevel="0" collapsed="false">
      <c r="A57" s="319" t="s">
        <v>247</v>
      </c>
      <c r="B57" s="275" t="n">
        <v>39083</v>
      </c>
      <c r="C57" s="275" t="n">
        <v>40816</v>
      </c>
      <c r="D57" s="369" t="n">
        <v>36075.338</v>
      </c>
      <c r="E57" s="369" t="n">
        <f aca="false">+D57</f>
        <v>36075.338</v>
      </c>
      <c r="F57" s="277" t="n">
        <v>37365.795</v>
      </c>
      <c r="G57" s="59" t="n">
        <f aca="false">+E57-F57</f>
        <v>-1290.45699999999</v>
      </c>
      <c r="H57" s="372" t="n">
        <f aca="false">+F57/E57</f>
        <v>1.03577116865821</v>
      </c>
      <c r="I57" s="380" t="n">
        <f aca="false">SUM(D57:D58)</f>
        <v>37974.077</v>
      </c>
      <c r="J57" s="343" t="n">
        <f aca="false">SUM(F57:F58)</f>
        <v>37928.368</v>
      </c>
      <c r="K57" s="380" t="n">
        <f aca="false">+I57-J57</f>
        <v>45.7090000000098</v>
      </c>
      <c r="L57" s="321" t="n">
        <f aca="false">+J57/I57</f>
        <v>0.998796310440936</v>
      </c>
      <c r="M57" s="46"/>
      <c r="N57" s="391"/>
      <c r="O57" s="361"/>
    </row>
    <row r="58" customFormat="false" ht="14.4" hidden="false" customHeight="false" outlineLevel="0" collapsed="false">
      <c r="A58" s="319"/>
      <c r="B58" s="300" t="n">
        <v>40817</v>
      </c>
      <c r="C58" s="300" t="n">
        <v>40908</v>
      </c>
      <c r="D58" s="377" t="n">
        <v>1898.739</v>
      </c>
      <c r="E58" s="377" t="n">
        <f aca="false">+D58+G57</f>
        <v>608.282000000005</v>
      </c>
      <c r="F58" s="322" t="n">
        <v>562.573</v>
      </c>
      <c r="G58" s="71" t="n">
        <f aca="false">+E58-F58</f>
        <v>45.7090000000052</v>
      </c>
      <c r="H58" s="379" t="n">
        <f aca="false">+F58/E58</f>
        <v>0.924855576854149</v>
      </c>
      <c r="I58" s="380"/>
      <c r="J58" s="343"/>
      <c r="K58" s="380"/>
      <c r="L58" s="321"/>
      <c r="M58" s="46"/>
      <c r="N58" s="389"/>
      <c r="O58" s="361"/>
    </row>
    <row r="59" customFormat="false" ht="14.4" hidden="false" customHeight="true" outlineLevel="0" collapsed="false">
      <c r="A59" s="319" t="s">
        <v>248</v>
      </c>
      <c r="B59" s="275" t="n">
        <v>39083</v>
      </c>
      <c r="C59" s="275" t="n">
        <v>40816</v>
      </c>
      <c r="D59" s="369" t="n">
        <v>42092.945</v>
      </c>
      <c r="E59" s="369" t="n">
        <f aca="false">+D59</f>
        <v>42092.945</v>
      </c>
      <c r="F59" s="277" t="n">
        <v>37826.183</v>
      </c>
      <c r="G59" s="59" t="n">
        <f aca="false">+E59-F59</f>
        <v>4266.762</v>
      </c>
      <c r="H59" s="372" t="n">
        <f aca="false">+F59/E59</f>
        <v>0.898634747461837</v>
      </c>
      <c r="I59" s="380" t="n">
        <f aca="false">SUM(D59:D60)</f>
        <v>44308.377</v>
      </c>
      <c r="J59" s="343" t="n">
        <f aca="false">SUM(F59:F60)</f>
        <v>39365.807</v>
      </c>
      <c r="K59" s="380" t="n">
        <f aca="false">+I59-J59</f>
        <v>4942.57</v>
      </c>
      <c r="L59" s="321" t="n">
        <f aca="false">+J59/I59</f>
        <v>0.888450664758043</v>
      </c>
      <c r="M59" s="46"/>
      <c r="N59" s="396"/>
      <c r="O59" s="361"/>
    </row>
    <row r="60" customFormat="false" ht="14.4" hidden="false" customHeight="false" outlineLevel="0" collapsed="false">
      <c r="A60" s="319"/>
      <c r="B60" s="300" t="n">
        <v>40817</v>
      </c>
      <c r="C60" s="300" t="n">
        <v>40908</v>
      </c>
      <c r="D60" s="377" t="n">
        <v>2215.432</v>
      </c>
      <c r="E60" s="377" t="n">
        <f aca="false">+D60+G59</f>
        <v>6482.194</v>
      </c>
      <c r="F60" s="322" t="n">
        <v>1539.624</v>
      </c>
      <c r="G60" s="71" t="n">
        <f aca="false">+E60-F60</f>
        <v>4942.57</v>
      </c>
      <c r="H60" s="379" t="n">
        <f aca="false">+F60/E60</f>
        <v>0.237515878111639</v>
      </c>
      <c r="I60" s="380"/>
      <c r="J60" s="343"/>
      <c r="K60" s="380"/>
      <c r="L60" s="321"/>
      <c r="M60" s="46"/>
      <c r="N60" s="389"/>
      <c r="O60" s="361"/>
    </row>
    <row r="61" customFormat="false" ht="14.4" hidden="false" customHeight="true" outlineLevel="0" collapsed="false">
      <c r="A61" s="316" t="s">
        <v>249</v>
      </c>
      <c r="B61" s="275" t="n">
        <v>39083</v>
      </c>
      <c r="C61" s="275" t="n">
        <v>40816</v>
      </c>
      <c r="D61" s="369" t="n">
        <v>61.003</v>
      </c>
      <c r="E61" s="369" t="n">
        <f aca="false">+D61</f>
        <v>61.003</v>
      </c>
      <c r="F61" s="277"/>
      <c r="G61" s="59" t="n">
        <f aca="false">+E61-F61</f>
        <v>61.003</v>
      </c>
      <c r="H61" s="372" t="n">
        <f aca="false">+F61/E61</f>
        <v>0</v>
      </c>
      <c r="I61" s="397" t="n">
        <f aca="false">SUM(D61:D62)</f>
        <v>64.214</v>
      </c>
      <c r="J61" s="337" t="n">
        <f aca="false">SUM(F61:F62)</f>
        <v>0</v>
      </c>
      <c r="K61" s="397" t="n">
        <f aca="false">+I61-J61</f>
        <v>64.214</v>
      </c>
      <c r="L61" s="282" t="n">
        <f aca="false">+J61/I61</f>
        <v>0</v>
      </c>
      <c r="M61" s="46"/>
      <c r="N61" s="389"/>
      <c r="O61" s="361"/>
    </row>
    <row r="62" customFormat="false" ht="14.4" hidden="false" customHeight="false" outlineLevel="0" collapsed="false">
      <c r="A62" s="316"/>
      <c r="B62" s="285" t="n">
        <v>40817</v>
      </c>
      <c r="C62" s="285" t="n">
        <v>40908</v>
      </c>
      <c r="D62" s="375" t="n">
        <v>3.211</v>
      </c>
      <c r="E62" s="375" t="n">
        <f aca="false">+D62+G61</f>
        <v>64.214</v>
      </c>
      <c r="F62" s="317"/>
      <c r="G62" s="398" t="n">
        <f aca="false">+E62-F62</f>
        <v>64.214</v>
      </c>
      <c r="H62" s="233" t="n">
        <f aca="false">+F62/E62</f>
        <v>0</v>
      </c>
      <c r="I62" s="397"/>
      <c r="J62" s="337"/>
      <c r="K62" s="397"/>
      <c r="L62" s="282"/>
      <c r="M62" s="46"/>
      <c r="N62" s="389"/>
      <c r="O62" s="361"/>
    </row>
    <row r="63" customFormat="false" ht="14.4" hidden="false" customHeight="true" outlineLevel="0" collapsed="false">
      <c r="A63" s="399" t="s">
        <v>250</v>
      </c>
      <c r="B63" s="275" t="n">
        <v>39083</v>
      </c>
      <c r="C63" s="275" t="n">
        <v>40816</v>
      </c>
      <c r="D63" s="369" t="n">
        <v>11.711</v>
      </c>
      <c r="E63" s="369" t="n">
        <f aca="false">+D63</f>
        <v>11.711</v>
      </c>
      <c r="F63" s="277"/>
      <c r="G63" s="59" t="n">
        <f aca="false">+E63-F63</f>
        <v>11.711</v>
      </c>
      <c r="H63" s="372" t="n">
        <f aca="false">+F63/E63</f>
        <v>0</v>
      </c>
      <c r="I63" s="380" t="n">
        <f aca="false">SUM(D63:D64)</f>
        <v>12.327</v>
      </c>
      <c r="J63" s="343" t="n">
        <f aca="false">SUM(F63:F64)</f>
        <v>0</v>
      </c>
      <c r="K63" s="380" t="n">
        <f aca="false">+I63-J63</f>
        <v>12.327</v>
      </c>
      <c r="L63" s="321" t="n">
        <f aca="false">+J63/I63</f>
        <v>0</v>
      </c>
      <c r="M63" s="46"/>
      <c r="N63" s="389"/>
      <c r="O63" s="361"/>
    </row>
    <row r="64" customFormat="false" ht="14.4" hidden="false" customHeight="false" outlineLevel="0" collapsed="false">
      <c r="A64" s="399"/>
      <c r="B64" s="300" t="n">
        <v>40817</v>
      </c>
      <c r="C64" s="300" t="n">
        <v>40908</v>
      </c>
      <c r="D64" s="377" t="n">
        <v>0.616</v>
      </c>
      <c r="E64" s="377" t="n">
        <f aca="false">+D64+G63</f>
        <v>12.327</v>
      </c>
      <c r="F64" s="322"/>
      <c r="G64" s="71" t="n">
        <f aca="false">+E64-F64</f>
        <v>12.327</v>
      </c>
      <c r="H64" s="379" t="n">
        <f aca="false">+F64/E64</f>
        <v>0</v>
      </c>
      <c r="I64" s="380"/>
      <c r="J64" s="343"/>
      <c r="K64" s="380"/>
      <c r="L64" s="321"/>
      <c r="M64" s="46"/>
      <c r="N64" s="389"/>
      <c r="O64" s="361"/>
    </row>
    <row r="65" customFormat="false" ht="14.4" hidden="false" customHeight="true" outlineLevel="0" collapsed="false">
      <c r="A65" s="345" t="s">
        <v>251</v>
      </c>
      <c r="B65" s="325" t="n">
        <v>39083</v>
      </c>
      <c r="C65" s="325" t="n">
        <v>40816</v>
      </c>
      <c r="D65" s="384" t="n">
        <v>20.545</v>
      </c>
      <c r="E65" s="384" t="n">
        <f aca="false">+D65</f>
        <v>20.545</v>
      </c>
      <c r="F65" s="326"/>
      <c r="G65" s="392" t="n">
        <f aca="false">+E65-F65</f>
        <v>20.545</v>
      </c>
      <c r="H65" s="387" t="n">
        <f aca="false">+F65/E65</f>
        <v>0</v>
      </c>
      <c r="I65" s="400" t="n">
        <f aca="false">SUM(D65:D66)</f>
        <v>21.626</v>
      </c>
      <c r="J65" s="346" t="n">
        <f aca="false">SUM(F65:F66)</f>
        <v>0</v>
      </c>
      <c r="K65" s="400" t="n">
        <f aca="false">+I65-J65</f>
        <v>21.626</v>
      </c>
      <c r="L65" s="348" t="n">
        <f aca="false">+J65/I65</f>
        <v>0</v>
      </c>
      <c r="M65" s="46"/>
      <c r="N65" s="389"/>
      <c r="O65" s="361"/>
    </row>
    <row r="66" customFormat="false" ht="14.4" hidden="false" customHeight="false" outlineLevel="0" collapsed="false">
      <c r="A66" s="345"/>
      <c r="B66" s="285" t="n">
        <v>40817</v>
      </c>
      <c r="C66" s="285" t="n">
        <v>40908</v>
      </c>
      <c r="D66" s="375" t="n">
        <v>1.081</v>
      </c>
      <c r="E66" s="375" t="n">
        <f aca="false">+D66+G65</f>
        <v>21.626</v>
      </c>
      <c r="F66" s="317"/>
      <c r="G66" s="398" t="n">
        <f aca="false">+E66-F66</f>
        <v>21.626</v>
      </c>
      <c r="H66" s="233" t="n">
        <f aca="false">+F66/E66</f>
        <v>0</v>
      </c>
      <c r="I66" s="400"/>
      <c r="J66" s="346"/>
      <c r="K66" s="400"/>
      <c r="L66" s="348"/>
      <c r="M66" s="46"/>
      <c r="N66" s="389"/>
      <c r="O66" s="361"/>
    </row>
    <row r="67" customFormat="false" ht="14.4" hidden="false" customHeight="true" outlineLevel="0" collapsed="false">
      <c r="A67" s="319" t="s">
        <v>252</v>
      </c>
      <c r="B67" s="275" t="n">
        <v>39083</v>
      </c>
      <c r="C67" s="275" t="n">
        <v>40816</v>
      </c>
      <c r="D67" s="369" t="n">
        <v>5.105</v>
      </c>
      <c r="E67" s="369" t="n">
        <f aca="false">+D67</f>
        <v>5.105</v>
      </c>
      <c r="F67" s="277"/>
      <c r="G67" s="59" t="n">
        <f aca="false">+E67-F67</f>
        <v>5.105</v>
      </c>
      <c r="H67" s="372" t="n">
        <f aca="false">+F67/E67</f>
        <v>0</v>
      </c>
      <c r="I67" s="380" t="n">
        <f aca="false">SUM(D67:D68)</f>
        <v>5.374</v>
      </c>
      <c r="J67" s="343" t="n">
        <f aca="false">SUM(F67:F68)</f>
        <v>0</v>
      </c>
      <c r="K67" s="380" t="n">
        <f aca="false">+I67-J67</f>
        <v>5.374</v>
      </c>
      <c r="L67" s="321" t="n">
        <f aca="false">+J67/I67</f>
        <v>0</v>
      </c>
      <c r="M67" s="46"/>
      <c r="N67" s="391"/>
      <c r="O67" s="361"/>
    </row>
    <row r="68" customFormat="false" ht="14.4" hidden="false" customHeight="false" outlineLevel="0" collapsed="false">
      <c r="A68" s="319"/>
      <c r="B68" s="300" t="n">
        <v>40817</v>
      </c>
      <c r="C68" s="300" t="n">
        <v>40908</v>
      </c>
      <c r="D68" s="377" t="n">
        <v>0.269</v>
      </c>
      <c r="E68" s="377" t="n">
        <f aca="false">+D68+G67</f>
        <v>5.374</v>
      </c>
      <c r="F68" s="322"/>
      <c r="G68" s="71" t="n">
        <f aca="false">+E68-F68</f>
        <v>5.374</v>
      </c>
      <c r="H68" s="379" t="n">
        <f aca="false">+F68/E68</f>
        <v>0</v>
      </c>
      <c r="I68" s="380"/>
      <c r="J68" s="343"/>
      <c r="K68" s="380"/>
      <c r="L68" s="321"/>
      <c r="M68" s="46"/>
      <c r="N68" s="389"/>
      <c r="O68" s="361"/>
    </row>
    <row r="69" customFormat="false" ht="18.75" hidden="false" customHeight="true" outlineLevel="0" collapsed="false">
      <c r="A69" s="319" t="s">
        <v>253</v>
      </c>
      <c r="B69" s="275" t="n">
        <v>39083</v>
      </c>
      <c r="C69" s="275" t="n">
        <v>40816</v>
      </c>
      <c r="D69" s="369" t="n">
        <v>38194.025</v>
      </c>
      <c r="E69" s="369" t="n">
        <f aca="false">+D69</f>
        <v>38194.025</v>
      </c>
      <c r="F69" s="277" t="n">
        <v>36483.797</v>
      </c>
      <c r="G69" s="59" t="n">
        <f aca="false">+E69-F69</f>
        <v>1710.228</v>
      </c>
      <c r="H69" s="372" t="n">
        <f aca="false">+F69/E69</f>
        <v>0.955222629717606</v>
      </c>
      <c r="I69" s="380" t="n">
        <f aca="false">SUM(D69:D70)</f>
        <v>40204.221</v>
      </c>
      <c r="J69" s="343" t="n">
        <f aca="false">SUM(F69:F70)</f>
        <v>38109.252</v>
      </c>
      <c r="K69" s="380" t="n">
        <f aca="false">+I69-J69</f>
        <v>2094.969</v>
      </c>
      <c r="L69" s="321" t="n">
        <f aca="false">+J69/I69</f>
        <v>0.947891814643045</v>
      </c>
      <c r="M69" s="46"/>
      <c r="N69" s="391"/>
      <c r="O69" s="361"/>
    </row>
    <row r="70" customFormat="false" ht="14.4" hidden="false" customHeight="false" outlineLevel="0" collapsed="false">
      <c r="A70" s="319"/>
      <c r="B70" s="300" t="n">
        <v>40817</v>
      </c>
      <c r="C70" s="300" t="n">
        <v>40908</v>
      </c>
      <c r="D70" s="377" t="n">
        <v>2010.196</v>
      </c>
      <c r="E70" s="377" t="n">
        <f aca="false">+D70+G69</f>
        <v>3720.424</v>
      </c>
      <c r="F70" s="322" t="n">
        <v>1625.455</v>
      </c>
      <c r="G70" s="71" t="n">
        <f aca="false">+E70-F70</f>
        <v>2094.969</v>
      </c>
      <c r="H70" s="379" t="n">
        <f aca="false">+F70/E70</f>
        <v>0.436900471559155</v>
      </c>
      <c r="I70" s="380"/>
      <c r="J70" s="343"/>
      <c r="K70" s="380"/>
      <c r="L70" s="321"/>
      <c r="M70" s="46"/>
      <c r="N70" s="389"/>
      <c r="O70" s="361"/>
    </row>
    <row r="71" customFormat="false" ht="14.4" hidden="false" customHeight="false" outlineLevel="0" collapsed="false">
      <c r="A71" s="307"/>
      <c r="B71" s="307"/>
      <c r="C71" s="307"/>
      <c r="D71" s="307"/>
      <c r="E71" s="307"/>
      <c r="F71" s="307"/>
      <c r="G71" s="307"/>
      <c r="H71" s="307"/>
      <c r="I71" s="308"/>
      <c r="J71" s="308"/>
      <c r="K71" s="362"/>
      <c r="L71" s="310"/>
      <c r="M71" s="46"/>
      <c r="N71" s="389"/>
      <c r="O71" s="361"/>
    </row>
    <row r="72" customFormat="false" ht="15.6" hidden="false" customHeight="false" outlineLevel="0" collapsed="false">
      <c r="A72" s="98" t="s">
        <v>173</v>
      </c>
      <c r="B72" s="98" t="s">
        <v>192</v>
      </c>
      <c r="C72" s="98"/>
      <c r="D72" s="98" t="s">
        <v>193</v>
      </c>
      <c r="E72" s="98"/>
      <c r="F72" s="98" t="s">
        <v>156</v>
      </c>
      <c r="G72" s="98"/>
      <c r="H72" s="98"/>
      <c r="I72" s="98" t="s">
        <v>194</v>
      </c>
      <c r="J72" s="98"/>
      <c r="K72" s="98"/>
      <c r="L72" s="98"/>
      <c r="M72" s="46"/>
      <c r="N72" s="389"/>
      <c r="O72" s="361"/>
    </row>
    <row r="73" customFormat="false" ht="15.6" hidden="false" customHeight="true" outlineLevel="0" collapsed="false">
      <c r="A73" s="143" t="s">
        <v>254</v>
      </c>
      <c r="B73" s="98" t="s">
        <v>199</v>
      </c>
      <c r="C73" s="98" t="s">
        <v>200</v>
      </c>
      <c r="D73" s="97" t="s">
        <v>201</v>
      </c>
      <c r="E73" s="97" t="s">
        <v>202</v>
      </c>
      <c r="F73" s="97" t="s">
        <v>43</v>
      </c>
      <c r="G73" s="97" t="s">
        <v>44</v>
      </c>
      <c r="H73" s="97" t="s">
        <v>159</v>
      </c>
      <c r="I73" s="97" t="s">
        <v>193</v>
      </c>
      <c r="J73" s="97" t="s">
        <v>43</v>
      </c>
      <c r="K73" s="97" t="s">
        <v>44</v>
      </c>
      <c r="L73" s="97" t="s">
        <v>159</v>
      </c>
      <c r="M73" s="46"/>
    </row>
    <row r="74" customFormat="false" ht="13.8" hidden="false" customHeight="false" outlineLevel="0" collapsed="false">
      <c r="A74" s="143"/>
      <c r="B74" s="275" t="n">
        <v>39083</v>
      </c>
      <c r="C74" s="275" t="n">
        <v>40816</v>
      </c>
      <c r="D74" s="152" t="n">
        <f aca="false">+D47+D49+D51+D57+D59+D67+D69+D53+D55+D61+D63+D65</f>
        <v>179430.029</v>
      </c>
      <c r="E74" s="152" t="n">
        <f aca="false">+D74</f>
        <v>179430.029</v>
      </c>
      <c r="F74" s="150" t="n">
        <f aca="false">+F47+F49+F51+F57+F59+F67+F69+F53+F55+F61+F63+F65</f>
        <v>177830.82</v>
      </c>
      <c r="G74" s="401" t="n">
        <f aca="false">+E74-F74</f>
        <v>1599.20900000006</v>
      </c>
      <c r="H74" s="120" t="n">
        <f aca="false">+F74/E74</f>
        <v>0.991087283388891</v>
      </c>
      <c r="I74" s="147" t="n">
        <f aca="false">SUM(D74:D75)</f>
        <v>188873.858</v>
      </c>
      <c r="J74" s="108" t="n">
        <f aca="false">SUM(F74:F75)</f>
        <v>181916.772</v>
      </c>
      <c r="K74" s="147" t="n">
        <f aca="false">+I74-J74</f>
        <v>6957.08600000007</v>
      </c>
      <c r="L74" s="315" t="n">
        <f aca="false">+J74/I74</f>
        <v>0.963165437114118</v>
      </c>
      <c r="M74" s="46"/>
    </row>
    <row r="75" customFormat="false" ht="13.8" hidden="false" customHeight="false" outlineLevel="0" collapsed="false">
      <c r="A75" s="143"/>
      <c r="B75" s="300" t="n">
        <v>40817</v>
      </c>
      <c r="C75" s="300" t="n">
        <v>40908</v>
      </c>
      <c r="D75" s="152" t="n">
        <f aca="false">+D48+D50+D52+D58+D60+D68+D70+D54+D56+D62+D64+D66</f>
        <v>9443.829</v>
      </c>
      <c r="E75" s="152" t="n">
        <f aca="false">+D75+G74</f>
        <v>11043.0380000001</v>
      </c>
      <c r="F75" s="150" t="n">
        <f aca="false">+F48+F50+F52+F58+F60+F68+F70+F54+F56+F62+F64+F66</f>
        <v>4085.952</v>
      </c>
      <c r="G75" s="401" t="n">
        <f aca="false">+E75-F75</f>
        <v>6957.08600000006</v>
      </c>
      <c r="H75" s="120" t="n">
        <f aca="false">+F75/E75</f>
        <v>0.370002530100863</v>
      </c>
      <c r="I75" s="147"/>
      <c r="J75" s="108"/>
      <c r="K75" s="147"/>
      <c r="L75" s="315"/>
      <c r="M75" s="46"/>
    </row>
    <row r="76" customFormat="false" ht="13.8" hidden="false" customHeight="false" outlineLevel="0" collapsed="false">
      <c r="A76" s="254"/>
      <c r="B76" s="254"/>
      <c r="C76" s="254"/>
      <c r="D76" s="402"/>
      <c r="E76" s="254"/>
      <c r="F76" s="402"/>
      <c r="G76" s="254"/>
      <c r="H76" s="254"/>
      <c r="I76" s="254"/>
      <c r="J76" s="254"/>
      <c r="K76" s="254"/>
      <c r="L76" s="254"/>
      <c r="M76" s="46"/>
    </row>
    <row r="77" customFormat="false" ht="15.6" hidden="false" customHeight="false" outlineLevel="0" collapsed="false">
      <c r="A77" s="98" t="s">
        <v>255</v>
      </c>
      <c r="B77" s="98" t="s">
        <v>192</v>
      </c>
      <c r="C77" s="98"/>
      <c r="D77" s="98" t="s">
        <v>193</v>
      </c>
      <c r="E77" s="98"/>
      <c r="F77" s="98" t="s">
        <v>156</v>
      </c>
      <c r="G77" s="98"/>
      <c r="H77" s="98"/>
      <c r="I77" s="98" t="s">
        <v>194</v>
      </c>
      <c r="J77" s="98"/>
      <c r="K77" s="98"/>
      <c r="L77" s="98"/>
      <c r="M77" s="46"/>
    </row>
    <row r="78" customFormat="false" ht="15.6" hidden="false" customHeight="false" outlineLevel="0" collapsed="false">
      <c r="A78" s="357" t="s">
        <v>150</v>
      </c>
      <c r="B78" s="53" t="s">
        <v>199</v>
      </c>
      <c r="C78" s="53" t="s">
        <v>200</v>
      </c>
      <c r="D78" s="51" t="s">
        <v>201</v>
      </c>
      <c r="E78" s="51" t="s">
        <v>202</v>
      </c>
      <c r="F78" s="51" t="s">
        <v>43</v>
      </c>
      <c r="G78" s="51" t="s">
        <v>44</v>
      </c>
      <c r="H78" s="51" t="s">
        <v>159</v>
      </c>
      <c r="I78" s="51" t="s">
        <v>193</v>
      </c>
      <c r="J78" s="51" t="s">
        <v>43</v>
      </c>
      <c r="K78" s="51" t="s">
        <v>44</v>
      </c>
      <c r="L78" s="51" t="s">
        <v>159</v>
      </c>
      <c r="M78" s="46"/>
    </row>
    <row r="79" customFormat="false" ht="14.4" hidden="false" customHeight="true" outlineLevel="0" collapsed="false">
      <c r="A79" s="368" t="s">
        <v>256</v>
      </c>
      <c r="B79" s="275" t="n">
        <v>39083</v>
      </c>
      <c r="C79" s="275" t="n">
        <v>40816</v>
      </c>
      <c r="D79" s="369" t="n">
        <v>1003.11</v>
      </c>
      <c r="E79" s="369" t="n">
        <f aca="false">+D79</f>
        <v>1003.11</v>
      </c>
      <c r="F79" s="370" t="n">
        <v>1052.393</v>
      </c>
      <c r="G79" s="59" t="n">
        <f aca="false">+E79-F79</f>
        <v>-49.283</v>
      </c>
      <c r="H79" s="372" t="n">
        <f aca="false">+F79/E79</f>
        <v>1.04913020506226</v>
      </c>
      <c r="I79" s="390" t="n">
        <f aca="false">SUM(D79:D80)</f>
        <v>1055.9</v>
      </c>
      <c r="J79" s="277" t="n">
        <f aca="false">SUM(F79:F80)</f>
        <v>1052.488</v>
      </c>
      <c r="K79" s="390" t="n">
        <f aca="false">+I79-J79</f>
        <v>3.41200000000003</v>
      </c>
      <c r="L79" s="373" t="n">
        <f aca="false">+J79/I79</f>
        <v>0.996768633393314</v>
      </c>
      <c r="M79" s="46"/>
      <c r="N79" s="283"/>
    </row>
    <row r="80" customFormat="false" ht="13.8" hidden="false" customHeight="false" outlineLevel="0" collapsed="false">
      <c r="A80" s="368"/>
      <c r="B80" s="300" t="n">
        <v>40817</v>
      </c>
      <c r="C80" s="300" t="n">
        <v>40908</v>
      </c>
      <c r="D80" s="215" t="n">
        <v>52.79</v>
      </c>
      <c r="E80" s="215" t="n">
        <f aca="false">+D80+G79</f>
        <v>3.50699999999998</v>
      </c>
      <c r="F80" s="222" t="n">
        <v>0.095</v>
      </c>
      <c r="G80" s="64" t="n">
        <f aca="false">+E80-F80</f>
        <v>3.41199999999998</v>
      </c>
      <c r="H80" s="179" t="n">
        <f aca="false">+F80/E80</f>
        <v>0.0270886797832907</v>
      </c>
      <c r="I80" s="390"/>
      <c r="J80" s="277"/>
      <c r="K80" s="390"/>
      <c r="L80" s="373"/>
      <c r="M80" s="46"/>
    </row>
    <row r="81" customFormat="false" ht="14.4" hidden="false" customHeight="true" outlineLevel="0" collapsed="false">
      <c r="A81" s="368" t="s">
        <v>243</v>
      </c>
      <c r="B81" s="275" t="n">
        <v>39083</v>
      </c>
      <c r="C81" s="275" t="n">
        <v>40816</v>
      </c>
      <c r="D81" s="369" t="n">
        <v>1184.134</v>
      </c>
      <c r="E81" s="369" t="n">
        <f aca="false">+D81</f>
        <v>1184.134</v>
      </c>
      <c r="F81" s="370" t="n">
        <v>1154.014</v>
      </c>
      <c r="G81" s="59" t="n">
        <f aca="false">+E81-F81</f>
        <v>30.1200000000001</v>
      </c>
      <c r="H81" s="372" t="n">
        <f aca="false">+F81/E81</f>
        <v>0.974563689582429</v>
      </c>
      <c r="I81" s="390" t="n">
        <f aca="false">SUM(D81:D82)</f>
        <v>1246.452</v>
      </c>
      <c r="J81" s="277" t="n">
        <f aca="false">SUM(F81:F82)</f>
        <v>1154.014</v>
      </c>
      <c r="K81" s="390" t="n">
        <f aca="false">+I81-J81</f>
        <v>92.4380000000001</v>
      </c>
      <c r="L81" s="373" t="n">
        <f aca="false">+J81/I81</f>
        <v>0.925839101706283</v>
      </c>
      <c r="M81" s="46"/>
      <c r="N81" s="283"/>
    </row>
    <row r="82" customFormat="false" ht="13.8" hidden="false" customHeight="false" outlineLevel="0" collapsed="false">
      <c r="A82" s="368"/>
      <c r="B82" s="300" t="n">
        <v>40817</v>
      </c>
      <c r="C82" s="300" t="n">
        <v>40908</v>
      </c>
      <c r="D82" s="215" t="n">
        <v>62.318</v>
      </c>
      <c r="E82" s="215" t="n">
        <f aca="false">+D82+G81</f>
        <v>92.4380000000001</v>
      </c>
      <c r="F82" s="222"/>
      <c r="G82" s="64" t="n">
        <f aca="false">+E82-F82</f>
        <v>92.4380000000001</v>
      </c>
      <c r="H82" s="179" t="n">
        <f aca="false">+F82/E82</f>
        <v>0</v>
      </c>
      <c r="I82" s="390"/>
      <c r="J82" s="277"/>
      <c r="K82" s="390"/>
      <c r="L82" s="373"/>
      <c r="M82" s="46"/>
    </row>
    <row r="83" customFormat="false" ht="14.4" hidden="false" customHeight="true" outlineLevel="0" collapsed="false">
      <c r="A83" s="368" t="s">
        <v>257</v>
      </c>
      <c r="B83" s="275" t="n">
        <v>39083</v>
      </c>
      <c r="C83" s="275" t="n">
        <v>40816</v>
      </c>
      <c r="D83" s="369" t="n">
        <v>626.612</v>
      </c>
      <c r="E83" s="369" t="n">
        <f aca="false">+D83</f>
        <v>626.612</v>
      </c>
      <c r="F83" s="370" t="n">
        <v>649.287</v>
      </c>
      <c r="G83" s="59" t="n">
        <f aca="false">+E83-F83</f>
        <v>-22.6750000000001</v>
      </c>
      <c r="H83" s="372" t="n">
        <f aca="false">+F83/E83</f>
        <v>1.03618666734758</v>
      </c>
      <c r="I83" s="390" t="n">
        <f aca="false">SUM(D83:D84)</f>
        <v>659.5877428</v>
      </c>
      <c r="J83" s="277" t="n">
        <f aca="false">SUM(F83:F84)</f>
        <v>649.287</v>
      </c>
      <c r="K83" s="390" t="n">
        <f aca="false">+I83-J83</f>
        <v>10.3007428</v>
      </c>
      <c r="L83" s="373" t="n">
        <f aca="false">+J83/I83</f>
        <v>0.984383059096471</v>
      </c>
      <c r="M83" s="46"/>
      <c r="N83" s="403"/>
    </row>
    <row r="84" customFormat="false" ht="13.8" hidden="false" customHeight="false" outlineLevel="0" collapsed="false">
      <c r="A84" s="368"/>
      <c r="B84" s="300" t="n">
        <v>40817</v>
      </c>
      <c r="C84" s="300" t="n">
        <v>40908</v>
      </c>
      <c r="D84" s="215" t="n">
        <v>32.9757428</v>
      </c>
      <c r="E84" s="215" t="n">
        <f aca="false">+D84+G83</f>
        <v>10.3007427999999</v>
      </c>
      <c r="F84" s="222"/>
      <c r="G84" s="64" t="n">
        <f aca="false">+E84-F84</f>
        <v>10.3007427999999</v>
      </c>
      <c r="H84" s="179" t="n">
        <f aca="false">+F60/E84</f>
        <v>149.467279194663</v>
      </c>
      <c r="I84" s="390"/>
      <c r="J84" s="277"/>
      <c r="K84" s="390"/>
      <c r="L84" s="373"/>
      <c r="M84" s="46"/>
      <c r="N84" s="367"/>
    </row>
    <row r="85" customFormat="false" ht="14.4" hidden="false" customHeight="true" outlineLevel="0" collapsed="false">
      <c r="A85" s="319" t="s">
        <v>258</v>
      </c>
      <c r="B85" s="275" t="n">
        <v>39083</v>
      </c>
      <c r="C85" s="275" t="n">
        <v>40816</v>
      </c>
      <c r="D85" s="369" t="n">
        <v>4535.185</v>
      </c>
      <c r="E85" s="369" t="n">
        <f aca="false">+D85</f>
        <v>4535.185</v>
      </c>
      <c r="F85" s="370" t="n">
        <v>4760.619</v>
      </c>
      <c r="G85" s="59" t="n">
        <f aca="false">+E85-F85</f>
        <v>-225.433999999999</v>
      </c>
      <c r="H85" s="372" t="n">
        <f aca="false">+F85/E85</f>
        <v>1.04970778479819</v>
      </c>
      <c r="I85" s="380" t="n">
        <f aca="false">SUM(D85:D86)</f>
        <v>4773.863</v>
      </c>
      <c r="J85" s="343" t="n">
        <f aca="false">SUM(F85:F86)</f>
        <v>4760.619</v>
      </c>
      <c r="K85" s="380" t="n">
        <f aca="false">+I85-J85</f>
        <v>13.2440000000006</v>
      </c>
      <c r="L85" s="321" t="n">
        <f aca="false">+J85/I85</f>
        <v>0.997225726837993</v>
      </c>
      <c r="M85" s="46"/>
      <c r="N85" s="283"/>
    </row>
    <row r="86" customFormat="false" ht="13.8" hidden="false" customHeight="false" outlineLevel="0" collapsed="false">
      <c r="A86" s="319"/>
      <c r="B86" s="300" t="n">
        <v>40817</v>
      </c>
      <c r="C86" s="300" t="n">
        <v>40908</v>
      </c>
      <c r="D86" s="377" t="n">
        <v>238.678</v>
      </c>
      <c r="E86" s="377" t="n">
        <f aca="false">+D86+G85</f>
        <v>13.2440000000007</v>
      </c>
      <c r="F86" s="381"/>
      <c r="G86" s="71" t="n">
        <f aca="false">+E86-F86</f>
        <v>13.2440000000007</v>
      </c>
      <c r="H86" s="379" t="n">
        <f aca="false">+F86/E86</f>
        <v>0</v>
      </c>
      <c r="I86" s="380"/>
      <c r="J86" s="343"/>
      <c r="K86" s="380"/>
      <c r="L86" s="321"/>
      <c r="M86" s="46"/>
    </row>
    <row r="87" customFormat="false" ht="14.4" hidden="false" customHeight="true" outlineLevel="0" collapsed="false">
      <c r="A87" s="345" t="s">
        <v>216</v>
      </c>
      <c r="B87" s="325" t="n">
        <v>39083</v>
      </c>
      <c r="C87" s="325" t="n">
        <v>40816</v>
      </c>
      <c r="D87" s="384" t="n">
        <v>22.506</v>
      </c>
      <c r="E87" s="384" t="n">
        <f aca="false">+D87</f>
        <v>22.506</v>
      </c>
      <c r="F87" s="385"/>
      <c r="G87" s="392" t="n">
        <f aca="false">+E87-F87</f>
        <v>22.506</v>
      </c>
      <c r="H87" s="387" t="n">
        <f aca="false">+F87/E87</f>
        <v>0</v>
      </c>
      <c r="I87" s="400" t="n">
        <f aca="false">SUM(D87:D88)</f>
        <v>23.69</v>
      </c>
      <c r="J87" s="346" t="n">
        <f aca="false">SUM(F87:F88)</f>
        <v>0</v>
      </c>
      <c r="K87" s="400" t="n">
        <f aca="false">+I87-J87</f>
        <v>23.69</v>
      </c>
      <c r="L87" s="348" t="n">
        <f aca="false">+J87/I87</f>
        <v>0</v>
      </c>
      <c r="M87" s="46"/>
      <c r="N87" s="283"/>
    </row>
    <row r="88" customFormat="false" ht="13.8" hidden="false" customHeight="false" outlineLevel="0" collapsed="false">
      <c r="A88" s="345"/>
      <c r="B88" s="285" t="n">
        <v>40817</v>
      </c>
      <c r="C88" s="285" t="n">
        <v>40908</v>
      </c>
      <c r="D88" s="375" t="n">
        <v>1.184</v>
      </c>
      <c r="E88" s="375" t="n">
        <f aca="false">+D88+G87</f>
        <v>23.69</v>
      </c>
      <c r="F88" s="376"/>
      <c r="G88" s="398" t="n">
        <f aca="false">+E88-F88</f>
        <v>23.69</v>
      </c>
      <c r="H88" s="233" t="n">
        <f aca="false">+F88/E88</f>
        <v>0</v>
      </c>
      <c r="I88" s="400"/>
      <c r="J88" s="346"/>
      <c r="K88" s="400"/>
      <c r="L88" s="348"/>
      <c r="M88" s="46"/>
    </row>
    <row r="89" customFormat="false" ht="13.8" hidden="false" customHeight="true" outlineLevel="0" collapsed="false">
      <c r="A89" s="319" t="s">
        <v>221</v>
      </c>
      <c r="B89" s="275" t="n">
        <v>39083</v>
      </c>
      <c r="C89" s="275" t="n">
        <v>40816</v>
      </c>
      <c r="D89" s="369" t="n">
        <v>475.002</v>
      </c>
      <c r="E89" s="369" t="n">
        <f aca="false">+D89</f>
        <v>475.002</v>
      </c>
      <c r="F89" s="370" t="n">
        <v>365.751</v>
      </c>
      <c r="G89" s="59" t="n">
        <f aca="false">+E89-F89</f>
        <v>109.251</v>
      </c>
      <c r="H89" s="372" t="n">
        <f aca="false">+F89/E89</f>
        <v>0.769998863162681</v>
      </c>
      <c r="I89" s="380" t="n">
        <f aca="false">SUM(D89:D90)</f>
        <v>500</v>
      </c>
      <c r="J89" s="343" t="n">
        <f aca="false">SUM(F89:F90)</f>
        <v>365.751</v>
      </c>
      <c r="K89" s="380" t="n">
        <f aca="false">+I89-J89</f>
        <v>134.249</v>
      </c>
      <c r="L89" s="321" t="n">
        <f aca="false">+J89/I89</f>
        <v>0.731502</v>
      </c>
      <c r="M89" s="46"/>
    </row>
    <row r="90" customFormat="false" ht="13.8" hidden="false" customHeight="false" outlineLevel="0" collapsed="false">
      <c r="A90" s="319"/>
      <c r="B90" s="300" t="n">
        <v>40817</v>
      </c>
      <c r="C90" s="300" t="n">
        <v>40908</v>
      </c>
      <c r="D90" s="377" t="n">
        <v>24.998</v>
      </c>
      <c r="E90" s="377" t="n">
        <f aca="false">+D90+G89</f>
        <v>134.249</v>
      </c>
      <c r="F90" s="381"/>
      <c r="G90" s="71" t="n">
        <f aca="false">+E90-F90</f>
        <v>134.249</v>
      </c>
      <c r="H90" s="379" t="n">
        <f aca="false">+F90/E90</f>
        <v>0</v>
      </c>
      <c r="I90" s="380"/>
      <c r="J90" s="343"/>
      <c r="K90" s="380"/>
      <c r="L90" s="321"/>
      <c r="M90" s="46"/>
    </row>
    <row r="91" customFormat="false" ht="13.8" hidden="false" customHeight="true" outlineLevel="0" collapsed="false">
      <c r="A91" s="319" t="s">
        <v>222</v>
      </c>
      <c r="B91" s="275" t="n">
        <v>39083</v>
      </c>
      <c r="C91" s="275" t="n">
        <v>40816</v>
      </c>
      <c r="D91" s="369" t="n">
        <v>1265.86</v>
      </c>
      <c r="E91" s="369" t="n">
        <f aca="false">+D91</f>
        <v>1265.86</v>
      </c>
      <c r="F91" s="370" t="n">
        <v>1270.962</v>
      </c>
      <c r="G91" s="59" t="n">
        <f aca="false">+E91-F91</f>
        <v>-5.10200000000009</v>
      </c>
      <c r="H91" s="372" t="n">
        <f aca="false">+F91/E91</f>
        <v>1.00403046150443</v>
      </c>
      <c r="I91" s="380" t="n">
        <f aca="false">SUM(D91:D92)</f>
        <v>1332.48</v>
      </c>
      <c r="J91" s="343" t="n">
        <f aca="false">SUM(F91:F92)</f>
        <v>1270.962</v>
      </c>
      <c r="K91" s="380" t="n">
        <f aca="false">+I91-J91</f>
        <v>61.518</v>
      </c>
      <c r="L91" s="321" t="n">
        <f aca="false">+J91/I91</f>
        <v>0.953831952449568</v>
      </c>
      <c r="M91" s="46"/>
    </row>
    <row r="92" customFormat="false" ht="13.8" hidden="false" customHeight="false" outlineLevel="0" collapsed="false">
      <c r="A92" s="319"/>
      <c r="B92" s="300" t="n">
        <v>40817</v>
      </c>
      <c r="C92" s="300" t="n">
        <v>40908</v>
      </c>
      <c r="D92" s="377" t="n">
        <v>66.62</v>
      </c>
      <c r="E92" s="377" t="n">
        <f aca="false">+D92+G91</f>
        <v>61.5179999999999</v>
      </c>
      <c r="F92" s="381"/>
      <c r="G92" s="71" t="n">
        <f aca="false">+E92-F92</f>
        <v>61.5179999999999</v>
      </c>
      <c r="H92" s="379" t="n">
        <f aca="false">+F92/E92</f>
        <v>0</v>
      </c>
      <c r="I92" s="380"/>
      <c r="J92" s="343"/>
      <c r="K92" s="380"/>
      <c r="L92" s="321"/>
      <c r="M92" s="46"/>
    </row>
    <row r="93" customFormat="false" ht="13.8" hidden="false" customHeight="true" outlineLevel="0" collapsed="false">
      <c r="A93" s="319" t="s">
        <v>249</v>
      </c>
      <c r="B93" s="275" t="n">
        <v>39083</v>
      </c>
      <c r="C93" s="275" t="n">
        <v>40816</v>
      </c>
      <c r="D93" s="369" t="n">
        <v>43.749</v>
      </c>
      <c r="E93" s="369" t="n">
        <f aca="false">+D93</f>
        <v>43.749</v>
      </c>
      <c r="F93" s="370"/>
      <c r="G93" s="59" t="n">
        <f aca="false">+E93-F93</f>
        <v>43.749</v>
      </c>
      <c r="H93" s="372" t="n">
        <f aca="false">+F93/E93</f>
        <v>0</v>
      </c>
      <c r="I93" s="380" t="n">
        <f aca="false">SUM(D93:D94)</f>
        <v>46.051</v>
      </c>
      <c r="J93" s="343" t="n">
        <f aca="false">SUM(F93:F94)</f>
        <v>0</v>
      </c>
      <c r="K93" s="380" t="n">
        <f aca="false">+I93-J93</f>
        <v>46.051</v>
      </c>
      <c r="L93" s="321" t="n">
        <f aca="false">+J93/I93</f>
        <v>0</v>
      </c>
      <c r="M93" s="46"/>
    </row>
    <row r="94" customFormat="false" ht="13.8" hidden="false" customHeight="false" outlineLevel="0" collapsed="false">
      <c r="A94" s="319"/>
      <c r="B94" s="300" t="n">
        <v>40817</v>
      </c>
      <c r="C94" s="300" t="n">
        <v>40908</v>
      </c>
      <c r="D94" s="377" t="n">
        <v>2.302</v>
      </c>
      <c r="E94" s="377" t="n">
        <f aca="false">+D94+G93</f>
        <v>46.051</v>
      </c>
      <c r="F94" s="381"/>
      <c r="G94" s="71" t="n">
        <f aca="false">+E94-F94</f>
        <v>46.051</v>
      </c>
      <c r="H94" s="379" t="n">
        <f aca="false">+F94/E94</f>
        <v>0</v>
      </c>
      <c r="I94" s="380"/>
      <c r="J94" s="343"/>
      <c r="K94" s="380"/>
      <c r="L94" s="321"/>
      <c r="M94" s="374"/>
    </row>
    <row r="95" customFormat="false" ht="14.4" hidden="false" customHeight="true" outlineLevel="0" collapsed="false">
      <c r="A95" s="319" t="s">
        <v>259</v>
      </c>
      <c r="B95" s="275" t="n">
        <v>39083</v>
      </c>
      <c r="C95" s="275" t="n">
        <v>40816</v>
      </c>
      <c r="D95" s="369" t="n">
        <v>1.93</v>
      </c>
      <c r="E95" s="369" t="n">
        <f aca="false">+D95</f>
        <v>1.93</v>
      </c>
      <c r="F95" s="370"/>
      <c r="G95" s="59" t="n">
        <f aca="false">+E95-F95</f>
        <v>1.93</v>
      </c>
      <c r="H95" s="372" t="n">
        <f aca="false">+F95/E95</f>
        <v>0</v>
      </c>
      <c r="I95" s="380" t="n">
        <f aca="false">SUM(D95:D96)</f>
        <v>2.032</v>
      </c>
      <c r="J95" s="343" t="n">
        <f aca="false">SUM(F95:F96)</f>
        <v>0</v>
      </c>
      <c r="K95" s="380" t="n">
        <f aca="false">+I95-J95</f>
        <v>2.032</v>
      </c>
      <c r="L95" s="321" t="n">
        <f aca="false">+J95/I95</f>
        <v>0</v>
      </c>
      <c r="M95" s="46"/>
      <c r="N95" s="283"/>
    </row>
    <row r="96" customFormat="false" ht="13.8" hidden="false" customHeight="false" outlineLevel="0" collapsed="false">
      <c r="A96" s="319"/>
      <c r="B96" s="300" t="n">
        <v>40817</v>
      </c>
      <c r="C96" s="300" t="n">
        <v>40908</v>
      </c>
      <c r="D96" s="377" t="n">
        <v>0.102</v>
      </c>
      <c r="E96" s="377" t="n">
        <f aca="false">+D96+G95</f>
        <v>2.032</v>
      </c>
      <c r="F96" s="381"/>
      <c r="G96" s="71" t="n">
        <f aca="false">+E96-F96</f>
        <v>2.032</v>
      </c>
      <c r="H96" s="379" t="n">
        <f aca="false">+F96/E96</f>
        <v>0</v>
      </c>
      <c r="I96" s="380"/>
      <c r="J96" s="343"/>
      <c r="K96" s="380"/>
      <c r="L96" s="321"/>
      <c r="M96" s="46"/>
    </row>
    <row r="97" customFormat="false" ht="13.8" hidden="false" customHeight="true" outlineLevel="0" collapsed="false">
      <c r="A97" s="319" t="s">
        <v>260</v>
      </c>
      <c r="B97" s="275" t="n">
        <v>39083</v>
      </c>
      <c r="C97" s="275" t="n">
        <v>40816</v>
      </c>
      <c r="D97" s="369" t="n">
        <v>5.747</v>
      </c>
      <c r="E97" s="369" t="n">
        <f aca="false">+D97</f>
        <v>5.747</v>
      </c>
      <c r="F97" s="370"/>
      <c r="G97" s="59" t="n">
        <f aca="false">+E97-F97</f>
        <v>5.747</v>
      </c>
      <c r="H97" s="372" t="n">
        <f aca="false">+F97/E97</f>
        <v>0</v>
      </c>
      <c r="I97" s="380" t="n">
        <f aca="false">SUM(D97:D98)</f>
        <v>6.049</v>
      </c>
      <c r="J97" s="343" t="n">
        <f aca="false">SUM(F97:F98)</f>
        <v>0</v>
      </c>
      <c r="K97" s="380" t="n">
        <f aca="false">+I97-J97</f>
        <v>6.049</v>
      </c>
      <c r="L97" s="321" t="n">
        <f aca="false">+J97/I97</f>
        <v>0</v>
      </c>
      <c r="M97" s="46"/>
    </row>
    <row r="98" customFormat="false" ht="13.8" hidden="false" customHeight="false" outlineLevel="0" collapsed="false">
      <c r="A98" s="319"/>
      <c r="B98" s="300" t="n">
        <v>40817</v>
      </c>
      <c r="C98" s="300" t="n">
        <v>40908</v>
      </c>
      <c r="D98" s="377" t="n">
        <v>0.302</v>
      </c>
      <c r="E98" s="377" t="n">
        <f aca="false">+D98+G97</f>
        <v>6.049</v>
      </c>
      <c r="F98" s="381"/>
      <c r="G98" s="71" t="n">
        <f aca="false">+E98-F98</f>
        <v>6.049</v>
      </c>
      <c r="H98" s="379" t="n">
        <f aca="false">+F98/E98</f>
        <v>0</v>
      </c>
      <c r="I98" s="380"/>
      <c r="J98" s="343"/>
      <c r="K98" s="380"/>
      <c r="L98" s="321"/>
      <c r="M98" s="46"/>
    </row>
    <row r="99" customFormat="false" ht="13.8" hidden="false" customHeight="true" outlineLevel="0" collapsed="false">
      <c r="A99" s="319" t="s">
        <v>261</v>
      </c>
      <c r="B99" s="275" t="n">
        <v>39083</v>
      </c>
      <c r="C99" s="275" t="n">
        <v>40816</v>
      </c>
      <c r="D99" s="369" t="n">
        <v>4.446</v>
      </c>
      <c r="E99" s="369" t="n">
        <f aca="false">+D99</f>
        <v>4.446</v>
      </c>
      <c r="F99" s="370"/>
      <c r="G99" s="59" t="n">
        <f aca="false">+E99-F99</f>
        <v>4.446</v>
      </c>
      <c r="H99" s="372" t="n">
        <f aca="false">+F99/E99</f>
        <v>0</v>
      </c>
      <c r="I99" s="380" t="n">
        <f aca="false">SUM(D99:D100)</f>
        <v>4.679</v>
      </c>
      <c r="J99" s="343" t="n">
        <f aca="false">SUM(F99:F100)</f>
        <v>0</v>
      </c>
      <c r="K99" s="380" t="n">
        <f aca="false">+I99-J99</f>
        <v>4.679</v>
      </c>
      <c r="L99" s="321" t="n">
        <f aca="false">+J99/I99</f>
        <v>0</v>
      </c>
      <c r="M99" s="46"/>
    </row>
    <row r="100" customFormat="false" ht="13.8" hidden="false" customHeight="false" outlineLevel="0" collapsed="false">
      <c r="A100" s="319"/>
      <c r="B100" s="300" t="n">
        <v>40817</v>
      </c>
      <c r="C100" s="300" t="n">
        <v>40908</v>
      </c>
      <c r="D100" s="377" t="n">
        <v>0.233</v>
      </c>
      <c r="E100" s="377" t="n">
        <f aca="false">+D100+G99</f>
        <v>4.679</v>
      </c>
      <c r="F100" s="381"/>
      <c r="G100" s="71" t="n">
        <f aca="false">+E100-F100</f>
        <v>4.679</v>
      </c>
      <c r="H100" s="379" t="n">
        <f aca="false">+F100/E100</f>
        <v>0</v>
      </c>
      <c r="I100" s="380"/>
      <c r="J100" s="343"/>
      <c r="K100" s="380"/>
      <c r="L100" s="321"/>
      <c r="M100" s="46"/>
    </row>
    <row r="101" customFormat="false" ht="13.8" hidden="false" customHeight="true" outlineLevel="0" collapsed="false">
      <c r="A101" s="319" t="s">
        <v>262</v>
      </c>
      <c r="B101" s="275" t="n">
        <v>39083</v>
      </c>
      <c r="C101" s="275" t="n">
        <v>40816</v>
      </c>
      <c r="D101" s="369" t="n">
        <v>3.853</v>
      </c>
      <c r="E101" s="369" t="n">
        <f aca="false">+D101</f>
        <v>3.853</v>
      </c>
      <c r="F101" s="370"/>
      <c r="G101" s="59" t="n">
        <f aca="false">+E101-F101</f>
        <v>3.853</v>
      </c>
      <c r="H101" s="372" t="n">
        <f aca="false">+F101/E101</f>
        <v>0</v>
      </c>
      <c r="I101" s="380" t="n">
        <f aca="false">SUM(D101:D102)</f>
        <v>4.056</v>
      </c>
      <c r="J101" s="343" t="n">
        <f aca="false">SUM(F101:F102)</f>
        <v>0</v>
      </c>
      <c r="K101" s="380" t="n">
        <f aca="false">+I101-J101</f>
        <v>4.056</v>
      </c>
      <c r="L101" s="321" t="n">
        <f aca="false">+J101/I101</f>
        <v>0</v>
      </c>
      <c r="M101" s="46"/>
    </row>
    <row r="102" customFormat="false" ht="13.8" hidden="false" customHeight="false" outlineLevel="0" collapsed="false">
      <c r="A102" s="319"/>
      <c r="B102" s="300" t="n">
        <v>40817</v>
      </c>
      <c r="C102" s="300" t="n">
        <v>40908</v>
      </c>
      <c r="D102" s="377" t="n">
        <v>0.203</v>
      </c>
      <c r="E102" s="377" t="n">
        <f aca="false">+D102+G101</f>
        <v>4.056</v>
      </c>
      <c r="F102" s="381"/>
      <c r="G102" s="71" t="n">
        <f aca="false">+E102-F102</f>
        <v>4.056</v>
      </c>
      <c r="H102" s="379" t="n">
        <f aca="false">+F102/E102</f>
        <v>0</v>
      </c>
      <c r="I102" s="380"/>
      <c r="J102" s="343"/>
      <c r="K102" s="380"/>
      <c r="L102" s="321"/>
      <c r="M102" s="46"/>
    </row>
    <row r="103" customFormat="false" ht="13.8" hidden="false" customHeight="true" outlineLevel="0" collapsed="false">
      <c r="A103" s="319" t="s">
        <v>263</v>
      </c>
      <c r="B103" s="275" t="n">
        <v>39083</v>
      </c>
      <c r="C103" s="275" t="n">
        <v>40816</v>
      </c>
      <c r="D103" s="369" t="n">
        <v>207.828</v>
      </c>
      <c r="E103" s="369" t="n">
        <f aca="false">+D103</f>
        <v>207.828</v>
      </c>
      <c r="F103" s="370" t="n">
        <v>218</v>
      </c>
      <c r="G103" s="59" t="n">
        <f aca="false">+E103-F103</f>
        <v>-10.172</v>
      </c>
      <c r="H103" s="372" t="n">
        <f aca="false">+F103/E103</f>
        <v>1.04894431934099</v>
      </c>
      <c r="I103" s="380" t="n">
        <f aca="false">SUM(D103:D104)</f>
        <v>218.766</v>
      </c>
      <c r="J103" s="343" t="n">
        <f aca="false">SUM(F103:F104)</f>
        <v>218</v>
      </c>
      <c r="K103" s="380" t="n">
        <f aca="false">+I103-J103</f>
        <v>0.765999999999991</v>
      </c>
      <c r="L103" s="321" t="n">
        <f aca="false">+J103/I103</f>
        <v>0.996498541820941</v>
      </c>
      <c r="M103" s="46"/>
    </row>
    <row r="104" customFormat="false" ht="13.8" hidden="false" customHeight="false" outlineLevel="0" collapsed="false">
      <c r="A104" s="319"/>
      <c r="B104" s="300" t="n">
        <v>40817</v>
      </c>
      <c r="C104" s="300" t="n">
        <v>40908</v>
      </c>
      <c r="D104" s="377" t="n">
        <v>10.938</v>
      </c>
      <c r="E104" s="377" t="n">
        <f aca="false">+D104+G103</f>
        <v>0.766000000000004</v>
      </c>
      <c r="F104" s="381"/>
      <c r="G104" s="71" t="n">
        <f aca="false">+E104-F104</f>
        <v>0.766000000000004</v>
      </c>
      <c r="H104" s="379" t="n">
        <f aca="false">+F104/E104</f>
        <v>0</v>
      </c>
      <c r="I104" s="380"/>
      <c r="J104" s="343"/>
      <c r="K104" s="380"/>
      <c r="L104" s="321"/>
      <c r="M104" s="46"/>
    </row>
    <row r="105" customFormat="false" ht="13.8" hidden="false" customHeight="false" outlineLevel="0" collapsed="false">
      <c r="A105" s="307"/>
      <c r="B105" s="307"/>
      <c r="C105" s="307"/>
      <c r="D105" s="307"/>
      <c r="E105" s="307"/>
      <c r="F105" s="307"/>
      <c r="G105" s="307"/>
      <c r="H105" s="307"/>
      <c r="I105" s="308"/>
      <c r="J105" s="308"/>
      <c r="K105" s="308"/>
      <c r="L105" s="310"/>
      <c r="M105" s="46"/>
    </row>
    <row r="106" customFormat="false" ht="15.6" hidden="false" customHeight="false" outlineLevel="0" collapsed="false">
      <c r="A106" s="98" t="s">
        <v>173</v>
      </c>
      <c r="B106" s="98" t="s">
        <v>192</v>
      </c>
      <c r="C106" s="98"/>
      <c r="D106" s="98" t="s">
        <v>193</v>
      </c>
      <c r="E106" s="98"/>
      <c r="F106" s="98" t="s">
        <v>156</v>
      </c>
      <c r="G106" s="98"/>
      <c r="H106" s="98"/>
      <c r="I106" s="98" t="s">
        <v>194</v>
      </c>
      <c r="J106" s="98"/>
      <c r="K106" s="98"/>
      <c r="L106" s="98"/>
      <c r="M106" s="46"/>
    </row>
    <row r="107" customFormat="false" ht="15.6" hidden="false" customHeight="true" outlineLevel="0" collapsed="false">
      <c r="A107" s="143" t="s">
        <v>255</v>
      </c>
      <c r="B107" s="98" t="s">
        <v>199</v>
      </c>
      <c r="C107" s="98" t="s">
        <v>200</v>
      </c>
      <c r="D107" s="97" t="s">
        <v>201</v>
      </c>
      <c r="E107" s="97" t="s">
        <v>202</v>
      </c>
      <c r="F107" s="97" t="s">
        <v>43</v>
      </c>
      <c r="G107" s="97" t="s">
        <v>44</v>
      </c>
      <c r="H107" s="97" t="s">
        <v>159</v>
      </c>
      <c r="I107" s="97" t="s">
        <v>193</v>
      </c>
      <c r="J107" s="97" t="s">
        <v>43</v>
      </c>
      <c r="K107" s="97" t="s">
        <v>44</v>
      </c>
      <c r="L107" s="97" t="s">
        <v>159</v>
      </c>
      <c r="M107" s="46"/>
    </row>
    <row r="108" customFormat="false" ht="13.8" hidden="false" customHeight="false" outlineLevel="0" collapsed="false">
      <c r="A108" s="143"/>
      <c r="B108" s="275" t="n">
        <v>39083</v>
      </c>
      <c r="C108" s="275" t="n">
        <v>40816</v>
      </c>
      <c r="D108" s="152" t="n">
        <f aca="false">+D79+D81+D83+D85+D87+D93+D95+D103+D89+D91+D97+D99+D101</f>
        <v>9379.962</v>
      </c>
      <c r="E108" s="152" t="n">
        <f aca="false">+D108</f>
        <v>9379.962</v>
      </c>
      <c r="F108" s="148" t="n">
        <f aca="false">+F79+F81+F83+F85+F87+F93+F95+F103+F89+F91+F97+F99+F101</f>
        <v>9471.026</v>
      </c>
      <c r="G108" s="365" t="n">
        <f aca="false">+E108-F108</f>
        <v>-91.0639999999985</v>
      </c>
      <c r="H108" s="120" t="n">
        <f aca="false">+F108/E108</f>
        <v>1.00970835489525</v>
      </c>
      <c r="I108" s="147" t="n">
        <f aca="false">SUM(D108:D109)</f>
        <v>9873.6057428</v>
      </c>
      <c r="J108" s="108" t="n">
        <f aca="false">SUM(F108:F109)</f>
        <v>9471.121</v>
      </c>
      <c r="K108" s="147" t="n">
        <f aca="false">+I108-J108</f>
        <v>402.484742800003</v>
      </c>
      <c r="L108" s="315" t="n">
        <f aca="false">+J108/I108</f>
        <v>0.959236295910083</v>
      </c>
      <c r="M108" s="46"/>
    </row>
    <row r="109" customFormat="false" ht="13.8" hidden="false" customHeight="false" outlineLevel="0" collapsed="false">
      <c r="A109" s="143"/>
      <c r="B109" s="300" t="n">
        <v>40817</v>
      </c>
      <c r="C109" s="300" t="n">
        <v>40908</v>
      </c>
      <c r="D109" s="152" t="n">
        <f aca="false">+D80+D82+D84+D86+D88+D94+D96+D104+D90+D92+D98+D100+D102</f>
        <v>493.6437428</v>
      </c>
      <c r="E109" s="152" t="n">
        <f aca="false">+D109+G108</f>
        <v>402.579742800002</v>
      </c>
      <c r="F109" s="148" t="n">
        <f aca="false">+F80+F82+F84+F86+F88+F94+F96+F104+F90+F92+F98+F100+F102</f>
        <v>0.095</v>
      </c>
      <c r="G109" s="365" t="n">
        <f aca="false">+E109-F109</f>
        <v>402.484742800001</v>
      </c>
      <c r="H109" s="120" t="n">
        <f aca="false">+F109/E109</f>
        <v>0.000235978093033845</v>
      </c>
      <c r="I109" s="147"/>
      <c r="J109" s="108"/>
      <c r="K109" s="147"/>
      <c r="L109" s="315"/>
      <c r="M109" s="46"/>
    </row>
    <row r="110" customFormat="false" ht="13.8" hidden="false" customHeight="fals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</row>
    <row r="111" customFormat="false" ht="13.8" hidden="false" customHeight="fals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</row>
    <row r="112" customFormat="false" ht="13.8" hidden="false" customHeight="fals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</row>
    <row r="113" customFormat="false" ht="13.8" hidden="false" customHeight="fals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</row>
    <row r="114" customFormat="false" ht="13.8" hidden="false" customHeight="fals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</row>
    <row r="115" customFormat="false" ht="13.8" hidden="false" customHeight="fals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</row>
    <row r="116" customFormat="false" ht="13.8" hidden="false" customHeight="fals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</row>
    <row r="117" customFormat="false" ht="13.8" hidden="false" customHeight="fals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</row>
    <row r="118" customFormat="false" ht="13.8" hidden="false" customHeight="fals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</row>
    <row r="119" customFormat="false" ht="13.8" hidden="false" customHeight="fals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149" t="n">
        <f aca="false">J108+J74+J42+J14</f>
        <v>213468.165</v>
      </c>
      <c r="K119" s="46"/>
      <c r="L119" s="46"/>
      <c r="M119" s="46"/>
    </row>
    <row r="120" customFormat="false" ht="13.8" hidden="false" customHeight="fals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</row>
    <row r="121" customFormat="false" ht="13.8" hidden="false" customHeight="fals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</row>
    <row r="122" customFormat="false" ht="13.8" hidden="false" customHeight="fals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</row>
    <row r="123" customFormat="false" ht="13.8" hidden="false" customHeight="fals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</row>
    <row r="124" customFormat="false" ht="13.8" hidden="false" customHeight="fals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</row>
    <row r="125" customFormat="false" ht="13.2" hidden="false" customHeight="false" outlineLevel="0" collapsed="false">
      <c r="I125" s="289"/>
    </row>
    <row r="134" customFormat="false" ht="13.2" hidden="false" customHeight="false" outlineLevel="0" collapsed="false">
      <c r="J134" s="289"/>
    </row>
  </sheetData>
  <mergeCells count="243">
    <mergeCell ref="A2:L2"/>
    <mergeCell ref="A3:L3"/>
    <mergeCell ref="B5:C5"/>
    <mergeCell ref="D5:E5"/>
    <mergeCell ref="F5:H5"/>
    <mergeCell ref="I5:L5"/>
    <mergeCell ref="A7:A8"/>
    <mergeCell ref="I7:I8"/>
    <mergeCell ref="J7:J8"/>
    <mergeCell ref="K7:K8"/>
    <mergeCell ref="L7:L8"/>
    <mergeCell ref="A9:A10"/>
    <mergeCell ref="I9:I10"/>
    <mergeCell ref="J9:J10"/>
    <mergeCell ref="K9:K10"/>
    <mergeCell ref="L9:L10"/>
    <mergeCell ref="A11:H11"/>
    <mergeCell ref="B12:C12"/>
    <mergeCell ref="D12:E12"/>
    <mergeCell ref="F12:H12"/>
    <mergeCell ref="I12:L12"/>
    <mergeCell ref="A13:A15"/>
    <mergeCell ref="I14:I15"/>
    <mergeCell ref="J14:J15"/>
    <mergeCell ref="K14:K15"/>
    <mergeCell ref="L14:L15"/>
    <mergeCell ref="B17:C17"/>
    <mergeCell ref="D17:E17"/>
    <mergeCell ref="F17:H17"/>
    <mergeCell ref="I17:L17"/>
    <mergeCell ref="A19:A20"/>
    <mergeCell ref="I19:I20"/>
    <mergeCell ref="J19:J20"/>
    <mergeCell ref="K19:K20"/>
    <mergeCell ref="L19:L20"/>
    <mergeCell ref="A21:A22"/>
    <mergeCell ref="I21:I22"/>
    <mergeCell ref="J21:J22"/>
    <mergeCell ref="K21:K22"/>
    <mergeCell ref="L21:L22"/>
    <mergeCell ref="A23:A24"/>
    <mergeCell ref="I23:I24"/>
    <mergeCell ref="J23:J24"/>
    <mergeCell ref="K23:K24"/>
    <mergeCell ref="L23:L24"/>
    <mergeCell ref="A25:A26"/>
    <mergeCell ref="I25:I26"/>
    <mergeCell ref="J25:J26"/>
    <mergeCell ref="K25:K26"/>
    <mergeCell ref="L25:L26"/>
    <mergeCell ref="A27:A28"/>
    <mergeCell ref="I27:I28"/>
    <mergeCell ref="J27:J28"/>
    <mergeCell ref="K27:K28"/>
    <mergeCell ref="L27:L28"/>
    <mergeCell ref="A29:A30"/>
    <mergeCell ref="I29:I30"/>
    <mergeCell ref="J29:J30"/>
    <mergeCell ref="K29:K30"/>
    <mergeCell ref="L29:L30"/>
    <mergeCell ref="A31:A32"/>
    <mergeCell ref="I31:I32"/>
    <mergeCell ref="J31:J32"/>
    <mergeCell ref="K31:K32"/>
    <mergeCell ref="L31:L32"/>
    <mergeCell ref="A33:A34"/>
    <mergeCell ref="I33:I34"/>
    <mergeCell ref="J33:J34"/>
    <mergeCell ref="K33:K34"/>
    <mergeCell ref="L33:L34"/>
    <mergeCell ref="A35:A36"/>
    <mergeCell ref="I35:I36"/>
    <mergeCell ref="J35:J36"/>
    <mergeCell ref="K35:K36"/>
    <mergeCell ref="L35:L36"/>
    <mergeCell ref="A37:A38"/>
    <mergeCell ref="I37:I38"/>
    <mergeCell ref="J37:J38"/>
    <mergeCell ref="K37:K38"/>
    <mergeCell ref="L37:L38"/>
    <mergeCell ref="A39:H39"/>
    <mergeCell ref="B40:C40"/>
    <mergeCell ref="D40:E40"/>
    <mergeCell ref="F40:H40"/>
    <mergeCell ref="I40:L40"/>
    <mergeCell ref="A41:A43"/>
    <mergeCell ref="I42:I43"/>
    <mergeCell ref="J42:J43"/>
    <mergeCell ref="K42:K43"/>
    <mergeCell ref="L42:L43"/>
    <mergeCell ref="B45:C45"/>
    <mergeCell ref="D45:E45"/>
    <mergeCell ref="F45:H45"/>
    <mergeCell ref="I45:L45"/>
    <mergeCell ref="A47:A48"/>
    <mergeCell ref="I47:I48"/>
    <mergeCell ref="J47:J48"/>
    <mergeCell ref="K47:K48"/>
    <mergeCell ref="L47:L48"/>
    <mergeCell ref="A49:A50"/>
    <mergeCell ref="I49:I50"/>
    <mergeCell ref="J49:J50"/>
    <mergeCell ref="K49:K50"/>
    <mergeCell ref="L49:L50"/>
    <mergeCell ref="A51:A52"/>
    <mergeCell ref="I51:I52"/>
    <mergeCell ref="J51:J52"/>
    <mergeCell ref="K51:K52"/>
    <mergeCell ref="L51:L52"/>
    <mergeCell ref="A53:A54"/>
    <mergeCell ref="I53:I54"/>
    <mergeCell ref="J53:J54"/>
    <mergeCell ref="K53:K54"/>
    <mergeCell ref="L53:L54"/>
    <mergeCell ref="A55:A56"/>
    <mergeCell ref="I55:I56"/>
    <mergeCell ref="J55:J56"/>
    <mergeCell ref="K55:K56"/>
    <mergeCell ref="L55:L56"/>
    <mergeCell ref="A57:A58"/>
    <mergeCell ref="I57:I58"/>
    <mergeCell ref="J57:J58"/>
    <mergeCell ref="K57:K58"/>
    <mergeCell ref="L57:L58"/>
    <mergeCell ref="A59:A60"/>
    <mergeCell ref="I59:I60"/>
    <mergeCell ref="J59:J60"/>
    <mergeCell ref="K59:K60"/>
    <mergeCell ref="L59:L60"/>
    <mergeCell ref="A61:A62"/>
    <mergeCell ref="I61:I62"/>
    <mergeCell ref="J61:J62"/>
    <mergeCell ref="K61:K62"/>
    <mergeCell ref="L61:L62"/>
    <mergeCell ref="A63:A64"/>
    <mergeCell ref="I63:I64"/>
    <mergeCell ref="J63:J64"/>
    <mergeCell ref="K63:K64"/>
    <mergeCell ref="L63:L64"/>
    <mergeCell ref="A65:A66"/>
    <mergeCell ref="I65:I66"/>
    <mergeCell ref="J65:J66"/>
    <mergeCell ref="K65:K66"/>
    <mergeCell ref="L65:L66"/>
    <mergeCell ref="A67:A68"/>
    <mergeCell ref="I67:I68"/>
    <mergeCell ref="J67:J68"/>
    <mergeCell ref="K67:K68"/>
    <mergeCell ref="L67:L68"/>
    <mergeCell ref="A69:A70"/>
    <mergeCell ref="I69:I70"/>
    <mergeCell ref="J69:J70"/>
    <mergeCell ref="K69:K70"/>
    <mergeCell ref="L69:L70"/>
    <mergeCell ref="A71:H71"/>
    <mergeCell ref="B72:C72"/>
    <mergeCell ref="D72:E72"/>
    <mergeCell ref="F72:H72"/>
    <mergeCell ref="I72:L72"/>
    <mergeCell ref="A73:A75"/>
    <mergeCell ref="I74:I75"/>
    <mergeCell ref="J74:J75"/>
    <mergeCell ref="K74:K75"/>
    <mergeCell ref="L74:L75"/>
    <mergeCell ref="B77:C77"/>
    <mergeCell ref="D77:E77"/>
    <mergeCell ref="F77:H77"/>
    <mergeCell ref="I77:L77"/>
    <mergeCell ref="A79:A80"/>
    <mergeCell ref="I79:I80"/>
    <mergeCell ref="J79:J80"/>
    <mergeCell ref="K79:K80"/>
    <mergeCell ref="L79:L80"/>
    <mergeCell ref="A81:A82"/>
    <mergeCell ref="I81:I82"/>
    <mergeCell ref="J81:J82"/>
    <mergeCell ref="K81:K82"/>
    <mergeCell ref="L81:L82"/>
    <mergeCell ref="A83:A84"/>
    <mergeCell ref="I83:I84"/>
    <mergeCell ref="J83:J84"/>
    <mergeCell ref="K83:K84"/>
    <mergeCell ref="L83:L84"/>
    <mergeCell ref="A85:A86"/>
    <mergeCell ref="I85:I86"/>
    <mergeCell ref="J85:J86"/>
    <mergeCell ref="K85:K86"/>
    <mergeCell ref="L85:L86"/>
    <mergeCell ref="A87:A88"/>
    <mergeCell ref="I87:I88"/>
    <mergeCell ref="J87:J88"/>
    <mergeCell ref="K87:K88"/>
    <mergeCell ref="L87:L88"/>
    <mergeCell ref="A89:A90"/>
    <mergeCell ref="I89:I90"/>
    <mergeCell ref="J89:J90"/>
    <mergeCell ref="K89:K90"/>
    <mergeCell ref="L89:L90"/>
    <mergeCell ref="A91:A92"/>
    <mergeCell ref="I91:I92"/>
    <mergeCell ref="J91:J92"/>
    <mergeCell ref="K91:K92"/>
    <mergeCell ref="L91:L92"/>
    <mergeCell ref="A93:A94"/>
    <mergeCell ref="I93:I94"/>
    <mergeCell ref="J93:J94"/>
    <mergeCell ref="K93:K94"/>
    <mergeCell ref="L93:L94"/>
    <mergeCell ref="A95:A96"/>
    <mergeCell ref="I95:I96"/>
    <mergeCell ref="J95:J96"/>
    <mergeCell ref="K95:K96"/>
    <mergeCell ref="L95:L96"/>
    <mergeCell ref="A97:A98"/>
    <mergeCell ref="I97:I98"/>
    <mergeCell ref="J97:J98"/>
    <mergeCell ref="K97:K98"/>
    <mergeCell ref="L97:L98"/>
    <mergeCell ref="A99:A100"/>
    <mergeCell ref="I99:I100"/>
    <mergeCell ref="J99:J100"/>
    <mergeCell ref="K99:K100"/>
    <mergeCell ref="L99:L100"/>
    <mergeCell ref="A101:A102"/>
    <mergeCell ref="I101:I102"/>
    <mergeCell ref="J101:J102"/>
    <mergeCell ref="K101:K102"/>
    <mergeCell ref="L101:L102"/>
    <mergeCell ref="A103:A104"/>
    <mergeCell ref="I103:I104"/>
    <mergeCell ref="J103:J104"/>
    <mergeCell ref="K103:K104"/>
    <mergeCell ref="L103:L104"/>
    <mergeCell ref="A105:H105"/>
    <mergeCell ref="B106:C106"/>
    <mergeCell ref="D106:E106"/>
    <mergeCell ref="F106:H106"/>
    <mergeCell ref="I106:L106"/>
    <mergeCell ref="A107:A109"/>
    <mergeCell ref="I108:I109"/>
    <mergeCell ref="J108:J109"/>
    <mergeCell ref="K108:K109"/>
    <mergeCell ref="L108:L109"/>
  </mergeCells>
  <printOptions headings="false" gridLines="false" gridLinesSet="true" horizontalCentered="false" verticalCentered="false"/>
  <pageMargins left="2.30972222222222" right="0.354166666666667" top="0.354166666666667" bottom="0.196527777777778" header="0.511811023622047" footer="0.511811023622047"/>
  <pageSetup paperSize="5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2:R8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:L3"/>
    </sheetView>
  </sheetViews>
  <sheetFormatPr defaultColWidth="11.43359375" defaultRowHeight="13.8" customHeight="false" zeroHeight="false" outlineLevelRow="0" outlineLevelCol="0"/>
  <cols>
    <col collapsed="false" customWidth="true" hidden="false" outlineLevel="0" max="1" min="1" style="46" width="27.55"/>
    <col collapsed="false" customWidth="true" hidden="false" outlineLevel="0" max="2" min="2" style="46" width="6.99"/>
    <col collapsed="false" customWidth="true" hidden="false" outlineLevel="0" max="3" min="3" style="46" width="7.32"/>
    <col collapsed="false" customWidth="true" hidden="false" outlineLevel="0" max="4" min="4" style="46" width="10.1"/>
    <col collapsed="false" customWidth="true" hidden="false" outlineLevel="0" max="5" min="5" style="46" width="9.1"/>
    <col collapsed="false" customWidth="true" hidden="false" outlineLevel="0" max="6" min="6" style="46" width="20.43"/>
    <col collapsed="false" customWidth="true" hidden="false" outlineLevel="0" max="7" min="7" style="46" width="9.66"/>
    <col collapsed="false" customWidth="true" hidden="false" outlineLevel="0" max="8" min="8" style="46" width="17.66"/>
    <col collapsed="false" customWidth="true" hidden="false" outlineLevel="0" max="9" min="9" style="46" width="12.43"/>
    <col collapsed="false" customWidth="true" hidden="false" outlineLevel="0" max="10" min="10" style="46" width="20.1"/>
    <col collapsed="false" customWidth="true" hidden="false" outlineLevel="0" max="11" min="11" style="46" width="11.99"/>
    <col collapsed="false" customWidth="true" hidden="false" outlineLevel="0" max="12" min="12" style="46" width="14.1"/>
    <col collapsed="false" customWidth="false" hidden="false" outlineLevel="0" max="13" min="13" style="46" width="11.43"/>
    <col collapsed="false" customWidth="true" hidden="false" outlineLevel="0" max="14" min="14" style="46" width="22.55"/>
    <col collapsed="false" customWidth="true" hidden="false" outlineLevel="0" max="15" min="15" style="46" width="17.43"/>
    <col collapsed="false" customWidth="false" hidden="false" outlineLevel="0" max="16" min="16" style="46" width="11.43"/>
    <col collapsed="false" customWidth="true" hidden="false" outlineLevel="0" max="17" min="17" style="46" width="19.43"/>
    <col collapsed="false" customWidth="false" hidden="false" outlineLevel="0" max="257" min="18" style="46" width="11.43"/>
  </cols>
  <sheetData>
    <row r="2" customFormat="false" ht="15.6" hidden="false" customHeight="false" outlineLevel="0" collapsed="false">
      <c r="A2" s="45" t="s">
        <v>264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15.6" hidden="false" customHeight="false" outlineLevel="0" collapsed="false">
      <c r="A3" s="47" t="s">
        <v>114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customFormat="false" ht="13.8" hidden="false" customHeight="false" outlineLevel="0" collapsed="false">
      <c r="A4" s="404"/>
      <c r="B4" s="405"/>
      <c r="C4" s="405"/>
      <c r="D4" s="405"/>
      <c r="E4" s="405"/>
      <c r="F4" s="406"/>
      <c r="G4" s="406"/>
      <c r="H4" s="269"/>
      <c r="I4" s="269"/>
      <c r="J4" s="269"/>
      <c r="K4" s="269"/>
      <c r="L4" s="269"/>
      <c r="P4" s="407"/>
    </row>
    <row r="5" customFormat="false" ht="15.6" hidden="false" customHeight="true" outlineLevel="0" collapsed="false">
      <c r="A5" s="98" t="s">
        <v>265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  <c r="P5" s="407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  <c r="P6" s="407"/>
    </row>
    <row r="7" customFormat="false" ht="13.8" hidden="false" customHeight="true" outlineLevel="0" collapsed="false">
      <c r="A7" s="319" t="s">
        <v>266</v>
      </c>
      <c r="B7" s="275" t="n">
        <v>39083</v>
      </c>
      <c r="C7" s="275" t="n">
        <v>39172</v>
      </c>
      <c r="D7" s="277" t="n">
        <v>0</v>
      </c>
      <c r="E7" s="277" t="n">
        <f aca="false">+D7</f>
        <v>0</v>
      </c>
      <c r="F7" s="292"/>
      <c r="G7" s="292" t="n">
        <f aca="false">+E7-F7</f>
        <v>0</v>
      </c>
      <c r="H7" s="279" t="e">
        <f aca="false">+F7/E7</f>
        <v>#DIV/0!</v>
      </c>
      <c r="I7" s="408" t="n">
        <f aca="false">SUM(D7:D9)</f>
        <v>0</v>
      </c>
      <c r="J7" s="408" t="n">
        <f aca="false">SUM(F7:F9)</f>
        <v>0</v>
      </c>
      <c r="K7" s="409" t="n">
        <f aca="false">+I7-J7</f>
        <v>0</v>
      </c>
      <c r="L7" s="282" t="e">
        <f aca="false">+J7/I7</f>
        <v>#DIV/0!</v>
      </c>
      <c r="M7" s="410"/>
      <c r="P7" s="407"/>
    </row>
    <row r="8" customFormat="false" ht="13.8" hidden="false" customHeight="false" outlineLevel="0" collapsed="false">
      <c r="A8" s="319"/>
      <c r="B8" s="339" t="n">
        <v>39173</v>
      </c>
      <c r="C8" s="339" t="n">
        <v>39325</v>
      </c>
      <c r="D8" s="340" t="n">
        <v>0</v>
      </c>
      <c r="E8" s="340" t="n">
        <f aca="false">+D8+G7</f>
        <v>0</v>
      </c>
      <c r="F8" s="341"/>
      <c r="G8" s="341" t="n">
        <f aca="false">+E8-F8</f>
        <v>0</v>
      </c>
      <c r="H8" s="342" t="e">
        <f aca="false">+F8/E8</f>
        <v>#DIV/0!</v>
      </c>
      <c r="I8" s="408"/>
      <c r="J8" s="408"/>
      <c r="K8" s="409"/>
      <c r="L8" s="282"/>
      <c r="M8" s="410"/>
    </row>
    <row r="9" customFormat="false" ht="13.8" hidden="false" customHeight="false" outlineLevel="0" collapsed="false">
      <c r="A9" s="319"/>
      <c r="B9" s="285" t="n">
        <v>39326</v>
      </c>
      <c r="C9" s="285" t="n">
        <v>39447</v>
      </c>
      <c r="D9" s="317" t="n">
        <v>0</v>
      </c>
      <c r="E9" s="317" t="n">
        <f aca="false">+D9+G8</f>
        <v>0</v>
      </c>
      <c r="F9" s="318"/>
      <c r="G9" s="318" t="n">
        <f aca="false">+E9-F9</f>
        <v>0</v>
      </c>
      <c r="H9" s="288" t="e">
        <f aca="false">+F9/E9</f>
        <v>#DIV/0!</v>
      </c>
      <c r="I9" s="408"/>
      <c r="J9" s="408"/>
      <c r="K9" s="409"/>
      <c r="L9" s="282"/>
      <c r="M9" s="410"/>
    </row>
    <row r="10" customFormat="false" ht="13.8" hidden="false" customHeight="true" outlineLevel="0" collapsed="false">
      <c r="A10" s="319" t="s">
        <v>267</v>
      </c>
      <c r="B10" s="275" t="n">
        <v>39083</v>
      </c>
      <c r="C10" s="275" t="n">
        <v>39172</v>
      </c>
      <c r="D10" s="277" t="n">
        <v>5.945</v>
      </c>
      <c r="E10" s="277" t="n">
        <f aca="false">+D10</f>
        <v>5.945</v>
      </c>
      <c r="F10" s="292"/>
      <c r="G10" s="292" t="n">
        <f aca="false">+E10-F10</f>
        <v>5.945</v>
      </c>
      <c r="H10" s="279" t="n">
        <f aca="false">+F10/E10</f>
        <v>0</v>
      </c>
      <c r="I10" s="408" t="n">
        <f aca="false">SUM(D10:D12)</f>
        <v>13.213</v>
      </c>
      <c r="J10" s="408" t="n">
        <f aca="false">SUM(F10:F12)</f>
        <v>0</v>
      </c>
      <c r="K10" s="409" t="n">
        <f aca="false">+I10-J10</f>
        <v>13.213</v>
      </c>
      <c r="L10" s="282" t="n">
        <f aca="false">+J10/I10</f>
        <v>0</v>
      </c>
      <c r="M10" s="410"/>
    </row>
    <row r="11" customFormat="false" ht="13.8" hidden="false" customHeight="false" outlineLevel="0" collapsed="false">
      <c r="A11" s="319"/>
      <c r="B11" s="339" t="n">
        <v>39173</v>
      </c>
      <c r="C11" s="339" t="n">
        <v>39325</v>
      </c>
      <c r="D11" s="340" t="n">
        <v>3.303</v>
      </c>
      <c r="E11" s="340" t="n">
        <f aca="false">+D11+G10</f>
        <v>9.248</v>
      </c>
      <c r="F11" s="341"/>
      <c r="G11" s="341" t="n">
        <f aca="false">+E11-F11</f>
        <v>9.248</v>
      </c>
      <c r="H11" s="342" t="n">
        <f aca="false">+F11/E11</f>
        <v>0</v>
      </c>
      <c r="I11" s="408"/>
      <c r="J11" s="408"/>
      <c r="K11" s="409"/>
      <c r="L11" s="282"/>
      <c r="M11" s="410"/>
    </row>
    <row r="12" customFormat="false" ht="13.8" hidden="false" customHeight="false" outlineLevel="0" collapsed="false">
      <c r="A12" s="319"/>
      <c r="B12" s="285" t="n">
        <v>39326</v>
      </c>
      <c r="C12" s="285" t="n">
        <v>39447</v>
      </c>
      <c r="D12" s="317" t="n">
        <v>3.965</v>
      </c>
      <c r="E12" s="317" t="n">
        <f aca="false">+D12+G11</f>
        <v>13.213</v>
      </c>
      <c r="F12" s="318"/>
      <c r="G12" s="318" t="n">
        <f aca="false">+E12-F12</f>
        <v>13.213</v>
      </c>
      <c r="H12" s="288" t="n">
        <f aca="false">+F12/E12</f>
        <v>0</v>
      </c>
      <c r="I12" s="408"/>
      <c r="J12" s="408"/>
      <c r="K12" s="409"/>
      <c r="L12" s="282"/>
      <c r="M12" s="410"/>
    </row>
    <row r="13" customFormat="false" ht="13.8" hidden="false" customHeight="true" outlineLevel="0" collapsed="false">
      <c r="A13" s="319" t="s">
        <v>268</v>
      </c>
      <c r="B13" s="275" t="n">
        <v>39083</v>
      </c>
      <c r="C13" s="275" t="n">
        <v>39172</v>
      </c>
      <c r="D13" s="277" t="n">
        <v>216.009</v>
      </c>
      <c r="E13" s="277" t="n">
        <f aca="false">+D13</f>
        <v>216.009</v>
      </c>
      <c r="F13" s="292" t="n">
        <v>197.571</v>
      </c>
      <c r="G13" s="292" t="n">
        <f aca="false">+E13-F13</f>
        <v>18.438</v>
      </c>
      <c r="H13" s="279" t="n">
        <f aca="false">+F13/E13</f>
        <v>0.914642445453662</v>
      </c>
      <c r="I13" s="408" t="n">
        <f aca="false">SUM(D13:D15)</f>
        <v>480.073</v>
      </c>
      <c r="J13" s="408" t="n">
        <f aca="false">SUM(F13:F15)</f>
        <v>420.753</v>
      </c>
      <c r="K13" s="409" t="n">
        <f aca="false">+I13-J13</f>
        <v>59.32</v>
      </c>
      <c r="L13" s="282" t="n">
        <f aca="false">+J13/I13</f>
        <v>0.876435458773978</v>
      </c>
      <c r="M13" s="410"/>
    </row>
    <row r="14" customFormat="false" ht="13.8" hidden="false" customHeight="false" outlineLevel="0" collapsed="false">
      <c r="A14" s="319"/>
      <c r="B14" s="339" t="n">
        <v>39173</v>
      </c>
      <c r="C14" s="339" t="n">
        <v>39325</v>
      </c>
      <c r="D14" s="340" t="n">
        <v>120.018</v>
      </c>
      <c r="E14" s="340" t="n">
        <f aca="false">+D14+G13</f>
        <v>138.456</v>
      </c>
      <c r="F14" s="341" t="n">
        <v>80.562</v>
      </c>
      <c r="G14" s="341" t="n">
        <f aca="false">+E14-F14</f>
        <v>57.894</v>
      </c>
      <c r="H14" s="342" t="n">
        <f aca="false">+F14/E14</f>
        <v>0.581859941064309</v>
      </c>
      <c r="I14" s="408"/>
      <c r="J14" s="408"/>
      <c r="K14" s="409"/>
      <c r="L14" s="282"/>
      <c r="M14" s="410" t="s">
        <v>269</v>
      </c>
    </row>
    <row r="15" customFormat="false" ht="13.8" hidden="false" customHeight="false" outlineLevel="0" collapsed="false">
      <c r="A15" s="319"/>
      <c r="B15" s="285" t="n">
        <v>39326</v>
      </c>
      <c r="C15" s="285" t="n">
        <v>39447</v>
      </c>
      <c r="D15" s="317" t="n">
        <v>144.046</v>
      </c>
      <c r="E15" s="317" t="n">
        <f aca="false">+D15+G14</f>
        <v>201.94</v>
      </c>
      <c r="F15" s="318" t="n">
        <v>142.62</v>
      </c>
      <c r="G15" s="318" t="n">
        <f aca="false">+E15-F15</f>
        <v>59.32</v>
      </c>
      <c r="H15" s="288" t="n">
        <f aca="false">+F15/E15</f>
        <v>0.706249381004259</v>
      </c>
      <c r="I15" s="408"/>
      <c r="J15" s="408"/>
      <c r="K15" s="409"/>
      <c r="L15" s="282"/>
      <c r="M15" s="410"/>
    </row>
    <row r="16" customFormat="false" ht="13.8" hidden="false" customHeight="true" outlineLevel="0" collapsed="false">
      <c r="A16" s="319" t="s">
        <v>270</v>
      </c>
      <c r="B16" s="275" t="n">
        <v>39083</v>
      </c>
      <c r="C16" s="275" t="n">
        <v>39172</v>
      </c>
      <c r="D16" s="277" t="n">
        <v>179.156</v>
      </c>
      <c r="E16" s="277" t="n">
        <f aca="false">+D16</f>
        <v>179.156</v>
      </c>
      <c r="F16" s="292" t="n">
        <v>121.414</v>
      </c>
      <c r="G16" s="292" t="n">
        <f aca="false">+E16-F16</f>
        <v>57.742</v>
      </c>
      <c r="H16" s="279" t="n">
        <f aca="false">+F16/E16</f>
        <v>0.677699881667374</v>
      </c>
      <c r="I16" s="408" t="n">
        <f aca="false">SUM(D16:D18)</f>
        <v>398.17</v>
      </c>
      <c r="J16" s="408" t="n">
        <f aca="false">SUM(F16:F18)</f>
        <v>388.215</v>
      </c>
      <c r="K16" s="409" t="n">
        <f aca="false">+I16-J16</f>
        <v>9.95500000000004</v>
      </c>
      <c r="L16" s="282" t="n">
        <f aca="false">+J16/I16</f>
        <v>0.97499811638245</v>
      </c>
      <c r="M16" s="410"/>
    </row>
    <row r="17" customFormat="false" ht="13.8" hidden="false" customHeight="false" outlineLevel="0" collapsed="false">
      <c r="A17" s="319"/>
      <c r="B17" s="339" t="n">
        <v>39173</v>
      </c>
      <c r="C17" s="339" t="n">
        <v>39325</v>
      </c>
      <c r="D17" s="340" t="n">
        <v>99.542</v>
      </c>
      <c r="E17" s="340" t="n">
        <f aca="false">+D17+G16</f>
        <v>157.284</v>
      </c>
      <c r="F17" s="341" t="n">
        <v>43.035</v>
      </c>
      <c r="G17" s="341" t="n">
        <f aca="false">+E17-F17</f>
        <v>114.249</v>
      </c>
      <c r="H17" s="342" t="n">
        <f aca="false">+F17/E17</f>
        <v>0.273613336385138</v>
      </c>
      <c r="I17" s="408"/>
      <c r="J17" s="408"/>
      <c r="K17" s="409"/>
      <c r="L17" s="282"/>
      <c r="M17" s="410"/>
    </row>
    <row r="18" customFormat="false" ht="13.8" hidden="false" customHeight="false" outlineLevel="0" collapsed="false">
      <c r="A18" s="319"/>
      <c r="B18" s="285" t="n">
        <v>39326</v>
      </c>
      <c r="C18" s="285" t="n">
        <v>39447</v>
      </c>
      <c r="D18" s="317" t="n">
        <v>119.472</v>
      </c>
      <c r="E18" s="317" t="n">
        <f aca="false">+D18+G17</f>
        <v>233.721</v>
      </c>
      <c r="F18" s="318" t="n">
        <v>223.766</v>
      </c>
      <c r="G18" s="318" t="n">
        <f aca="false">+E18-F18</f>
        <v>9.95500000000001</v>
      </c>
      <c r="H18" s="288" t="n">
        <f aca="false">+F18/E18</f>
        <v>0.957406480376175</v>
      </c>
      <c r="I18" s="408"/>
      <c r="J18" s="408"/>
      <c r="K18" s="409"/>
      <c r="L18" s="282"/>
      <c r="M18" s="410"/>
    </row>
    <row r="19" customFormat="false" ht="13.8" hidden="false" customHeight="true" outlineLevel="0" collapsed="false">
      <c r="A19" s="319" t="s">
        <v>221</v>
      </c>
      <c r="B19" s="275" t="n">
        <v>39083</v>
      </c>
      <c r="C19" s="275" t="n">
        <v>39172</v>
      </c>
      <c r="D19" s="277" t="n">
        <v>38.076</v>
      </c>
      <c r="E19" s="277" t="n">
        <f aca="false">+D19</f>
        <v>38.076</v>
      </c>
      <c r="F19" s="292"/>
      <c r="G19" s="292" t="n">
        <f aca="false">+E19-F19</f>
        <v>38.076</v>
      </c>
      <c r="H19" s="279" t="n">
        <f aca="false">+F19/E19</f>
        <v>0</v>
      </c>
      <c r="I19" s="408" t="n">
        <f aca="false">SUM(D19:D21)</f>
        <v>84.623</v>
      </c>
      <c r="J19" s="408" t="n">
        <f aca="false">SUM(F19:F21)</f>
        <v>0</v>
      </c>
      <c r="K19" s="409" t="n">
        <f aca="false">+I19-J19</f>
        <v>84.623</v>
      </c>
      <c r="L19" s="282" t="n">
        <f aca="false">+J19/I19</f>
        <v>0</v>
      </c>
      <c r="M19" s="410"/>
    </row>
    <row r="20" customFormat="false" ht="13.8" hidden="false" customHeight="false" outlineLevel="0" collapsed="false">
      <c r="A20" s="319"/>
      <c r="B20" s="339" t="n">
        <v>39173</v>
      </c>
      <c r="C20" s="339" t="n">
        <v>39325</v>
      </c>
      <c r="D20" s="340" t="n">
        <v>21.156</v>
      </c>
      <c r="E20" s="340" t="n">
        <f aca="false">+D20+G19</f>
        <v>59.232</v>
      </c>
      <c r="F20" s="341"/>
      <c r="G20" s="341" t="n">
        <f aca="false">+E20-F20</f>
        <v>59.232</v>
      </c>
      <c r="H20" s="342" t="n">
        <f aca="false">+F20/E20</f>
        <v>0</v>
      </c>
      <c r="I20" s="408"/>
      <c r="J20" s="408"/>
      <c r="K20" s="409"/>
      <c r="L20" s="282"/>
      <c r="M20" s="410"/>
    </row>
    <row r="21" customFormat="false" ht="13.8" hidden="false" customHeight="false" outlineLevel="0" collapsed="false">
      <c r="A21" s="319"/>
      <c r="B21" s="285" t="n">
        <v>39326</v>
      </c>
      <c r="C21" s="285" t="n">
        <v>39447</v>
      </c>
      <c r="D21" s="317" t="n">
        <v>25.391</v>
      </c>
      <c r="E21" s="317" t="n">
        <f aca="false">+D21+G20</f>
        <v>84.623</v>
      </c>
      <c r="F21" s="318"/>
      <c r="G21" s="318" t="n">
        <f aca="false">+E21-F21</f>
        <v>84.623</v>
      </c>
      <c r="H21" s="288" t="n">
        <f aca="false">+F21/E21</f>
        <v>0</v>
      </c>
      <c r="I21" s="408"/>
      <c r="J21" s="408"/>
      <c r="K21" s="409"/>
      <c r="L21" s="282"/>
      <c r="M21" s="410"/>
    </row>
    <row r="22" customFormat="false" ht="14.4" hidden="false" customHeight="true" outlineLevel="0" collapsed="false">
      <c r="A22" s="319" t="s">
        <v>271</v>
      </c>
      <c r="B22" s="275" t="n">
        <v>39083</v>
      </c>
      <c r="C22" s="275" t="n">
        <v>39172</v>
      </c>
      <c r="D22" s="277" t="n">
        <v>65.249</v>
      </c>
      <c r="E22" s="277" t="n">
        <f aca="false">+D22</f>
        <v>65.249</v>
      </c>
      <c r="F22" s="411" t="n">
        <v>34.891</v>
      </c>
      <c r="G22" s="292" t="n">
        <f aca="false">+E22-F22</f>
        <v>30.358</v>
      </c>
      <c r="H22" s="279" t="n">
        <f aca="false">+F22/E22</f>
        <v>0.53473616453892</v>
      </c>
      <c r="I22" s="412" t="n">
        <f aca="false">SUM(D22:D24)</f>
        <v>145.013</v>
      </c>
      <c r="J22" s="413" t="n">
        <f aca="false">SUM(F22:F24)</f>
        <v>105.242</v>
      </c>
      <c r="K22" s="414" t="n">
        <f aca="false">+I22-J22</f>
        <v>39.771</v>
      </c>
      <c r="L22" s="321" t="n">
        <f aca="false">+J22/I22</f>
        <v>0.725741830042824</v>
      </c>
      <c r="N22" s="283"/>
    </row>
    <row r="23" customFormat="false" ht="13.8" hidden="false" customHeight="false" outlineLevel="0" collapsed="false">
      <c r="A23" s="319"/>
      <c r="B23" s="339" t="n">
        <v>39173</v>
      </c>
      <c r="C23" s="339" t="n">
        <v>39325</v>
      </c>
      <c r="D23" s="340" t="n">
        <v>36.253</v>
      </c>
      <c r="E23" s="340" t="n">
        <f aca="false">+D23+G22</f>
        <v>66.611</v>
      </c>
      <c r="F23" s="415" t="n">
        <v>15.872</v>
      </c>
      <c r="G23" s="341" t="n">
        <f aca="false">+E23-F23</f>
        <v>50.739</v>
      </c>
      <c r="H23" s="342" t="n">
        <f aca="false">+F23/E23</f>
        <v>0.23827896293405</v>
      </c>
      <c r="I23" s="412"/>
      <c r="J23" s="413"/>
      <c r="K23" s="414"/>
      <c r="L23" s="321"/>
      <c r="M23" s="374"/>
    </row>
    <row r="24" customFormat="false" ht="13.8" hidden="false" customHeight="false" outlineLevel="0" collapsed="false">
      <c r="A24" s="319"/>
      <c r="B24" s="300" t="n">
        <v>39326</v>
      </c>
      <c r="C24" s="300" t="n">
        <v>39447</v>
      </c>
      <c r="D24" s="322" t="n">
        <v>43.511</v>
      </c>
      <c r="E24" s="322" t="n">
        <f aca="false">+D24+G23</f>
        <v>94.25</v>
      </c>
      <c r="F24" s="416" t="n">
        <v>54.479</v>
      </c>
      <c r="G24" s="323" t="n">
        <f aca="false">+E24-F24</f>
        <v>39.771</v>
      </c>
      <c r="H24" s="303" t="n">
        <f aca="false">+F24/E24</f>
        <v>0.578026525198939</v>
      </c>
      <c r="I24" s="412"/>
      <c r="J24" s="413"/>
      <c r="K24" s="414"/>
      <c r="L24" s="321"/>
    </row>
    <row r="25" customFormat="false" ht="14.4" hidden="false" customHeight="true" outlineLevel="0" collapsed="false">
      <c r="A25" s="319" t="s">
        <v>272</v>
      </c>
      <c r="B25" s="275" t="n">
        <v>39083</v>
      </c>
      <c r="C25" s="275" t="n">
        <v>39172</v>
      </c>
      <c r="D25" s="277" t="n">
        <v>311.044</v>
      </c>
      <c r="E25" s="277" t="n">
        <f aca="false">+D25</f>
        <v>311.044</v>
      </c>
      <c r="F25" s="411" t="n">
        <v>341.239</v>
      </c>
      <c r="G25" s="292" t="n">
        <f aca="false">+E25-F25</f>
        <v>-30.195</v>
      </c>
      <c r="H25" s="279" t="n">
        <f aca="false">+F25/E25</f>
        <v>1.09707629788712</v>
      </c>
      <c r="I25" s="412" t="n">
        <f aca="false">SUM(D25:D27)</f>
        <v>691.287</v>
      </c>
      <c r="J25" s="412" t="n">
        <f aca="false">SUM(F25:F27)</f>
        <v>534.449</v>
      </c>
      <c r="K25" s="414" t="n">
        <f aca="false">+I25-J25</f>
        <v>156.838</v>
      </c>
      <c r="L25" s="321" t="n">
        <f aca="false">+J25/I25</f>
        <v>0.773121728023238</v>
      </c>
      <c r="N25" s="283"/>
    </row>
    <row r="26" customFormat="false" ht="13.8" hidden="false" customHeight="false" outlineLevel="0" collapsed="false">
      <c r="A26" s="319"/>
      <c r="B26" s="339" t="n">
        <v>39173</v>
      </c>
      <c r="C26" s="339" t="n">
        <v>39325</v>
      </c>
      <c r="D26" s="340" t="n">
        <v>172.822</v>
      </c>
      <c r="E26" s="340" t="n">
        <f aca="false">+D26+G25</f>
        <v>142.627</v>
      </c>
      <c r="F26" s="415" t="n">
        <v>45.499</v>
      </c>
      <c r="G26" s="341" t="n">
        <f aca="false">+E26-F26</f>
        <v>97.128</v>
      </c>
      <c r="H26" s="342" t="n">
        <f aca="false">+F26/E26</f>
        <v>0.319006920148359</v>
      </c>
      <c r="I26" s="412"/>
      <c r="J26" s="412"/>
      <c r="K26" s="414"/>
      <c r="L26" s="321"/>
      <c r="M26" s="374"/>
    </row>
    <row r="27" customFormat="false" ht="13.8" hidden="false" customHeight="false" outlineLevel="0" collapsed="false">
      <c r="A27" s="319"/>
      <c r="B27" s="300" t="n">
        <v>39326</v>
      </c>
      <c r="C27" s="300" t="n">
        <v>39447</v>
      </c>
      <c r="D27" s="322" t="n">
        <v>207.421</v>
      </c>
      <c r="E27" s="322" t="n">
        <f aca="false">+D27+G26</f>
        <v>304.549</v>
      </c>
      <c r="F27" s="416" t="n">
        <v>147.711</v>
      </c>
      <c r="G27" s="323" t="n">
        <f aca="false">+E27-F27</f>
        <v>156.838</v>
      </c>
      <c r="H27" s="303" t="n">
        <f aca="false">+F27/E27</f>
        <v>0.485015547580192</v>
      </c>
      <c r="I27" s="412"/>
      <c r="J27" s="412"/>
      <c r="K27" s="414"/>
      <c r="L27" s="321"/>
      <c r="M27" s="374"/>
      <c r="O27" s="410"/>
    </row>
    <row r="28" customFormat="false" ht="14.4" hidden="false" customHeight="true" outlineLevel="0" collapsed="false">
      <c r="A28" s="319" t="s">
        <v>273</v>
      </c>
      <c r="B28" s="275" t="n">
        <v>39083</v>
      </c>
      <c r="C28" s="275" t="n">
        <v>39172</v>
      </c>
      <c r="D28" s="277" t="n">
        <v>118.607</v>
      </c>
      <c r="E28" s="277" t="n">
        <f aca="false">+D28</f>
        <v>118.607</v>
      </c>
      <c r="F28" s="411" t="n">
        <v>91.758</v>
      </c>
      <c r="G28" s="292" t="n">
        <f aca="false">+E28-F28</f>
        <v>26.849</v>
      </c>
      <c r="H28" s="279" t="n">
        <f aca="false">+F28/E28</f>
        <v>0.77363056143398</v>
      </c>
      <c r="I28" s="412" t="n">
        <f aca="false">SUM(D28:D30)</f>
        <v>263.6</v>
      </c>
      <c r="J28" s="412" t="n">
        <f aca="false">SUM(F28:F30)</f>
        <v>262.454</v>
      </c>
      <c r="K28" s="414" t="n">
        <f aca="false">+I28-J28</f>
        <v>1.14600000000002</v>
      </c>
      <c r="L28" s="321" t="n">
        <f aca="false">+J28/I28</f>
        <v>0.995652503793627</v>
      </c>
      <c r="N28" s="283"/>
    </row>
    <row r="29" customFormat="false" ht="13.8" hidden="false" customHeight="false" outlineLevel="0" collapsed="false">
      <c r="A29" s="319"/>
      <c r="B29" s="339" t="n">
        <v>39173</v>
      </c>
      <c r="C29" s="339" t="n">
        <v>39325</v>
      </c>
      <c r="D29" s="340" t="n">
        <v>65.9</v>
      </c>
      <c r="E29" s="340" t="n">
        <f aca="false">+D29+G28</f>
        <v>92.749</v>
      </c>
      <c r="F29" s="415" t="n">
        <v>92.305</v>
      </c>
      <c r="G29" s="341" t="n">
        <f aca="false">+E29-F29</f>
        <v>0.444000000000003</v>
      </c>
      <c r="H29" s="342" t="n">
        <f aca="false">+F29/E29</f>
        <v>0.995212886392306</v>
      </c>
      <c r="I29" s="412"/>
      <c r="J29" s="412"/>
      <c r="K29" s="414"/>
      <c r="L29" s="321"/>
      <c r="M29" s="374" t="s">
        <v>269</v>
      </c>
    </row>
    <row r="30" customFormat="false" ht="13.8" hidden="false" customHeight="false" outlineLevel="0" collapsed="false">
      <c r="A30" s="319"/>
      <c r="B30" s="300" t="n">
        <v>39326</v>
      </c>
      <c r="C30" s="300" t="n">
        <v>39447</v>
      </c>
      <c r="D30" s="322" t="n">
        <v>79.093</v>
      </c>
      <c r="E30" s="322" t="n">
        <f aca="false">+D30+G29</f>
        <v>79.537</v>
      </c>
      <c r="F30" s="416" t="n">
        <v>78.391</v>
      </c>
      <c r="G30" s="323" t="n">
        <f aca="false">+E30-F30</f>
        <v>1.146</v>
      </c>
      <c r="H30" s="303" t="n">
        <f aca="false">+F30/E30</f>
        <v>0.985591611451274</v>
      </c>
      <c r="I30" s="412"/>
      <c r="J30" s="412"/>
      <c r="K30" s="414"/>
      <c r="L30" s="321"/>
      <c r="M30" s="374"/>
    </row>
    <row r="31" customFormat="false" ht="14.4" hidden="false" customHeight="true" outlineLevel="0" collapsed="false">
      <c r="A31" s="319" t="s">
        <v>274</v>
      </c>
      <c r="B31" s="275" t="n">
        <v>39083</v>
      </c>
      <c r="C31" s="275" t="n">
        <v>39172</v>
      </c>
      <c r="D31" s="277" t="n">
        <v>280.687</v>
      </c>
      <c r="E31" s="277" t="n">
        <f aca="false">+D31</f>
        <v>280.687</v>
      </c>
      <c r="F31" s="411" t="n">
        <v>242.94</v>
      </c>
      <c r="G31" s="292" t="n">
        <f aca="false">+E31-F31</f>
        <v>37.747</v>
      </c>
      <c r="H31" s="279" t="n">
        <f aca="false">+F31/E31</f>
        <v>0.865519243855255</v>
      </c>
      <c r="I31" s="412" t="n">
        <f aca="false">SUM(D31:D33)</f>
        <v>623.819</v>
      </c>
      <c r="J31" s="412" t="n">
        <f aca="false">SUM(F31:F33)</f>
        <v>409.946</v>
      </c>
      <c r="K31" s="414" t="n">
        <f aca="false">+I31-J31</f>
        <v>213.873</v>
      </c>
      <c r="L31" s="321" t="n">
        <f aca="false">+J31/I31</f>
        <v>0.657155360769711</v>
      </c>
      <c r="N31" s="283"/>
      <c r="O31" s="407"/>
      <c r="R31" s="407"/>
    </row>
    <row r="32" customFormat="false" ht="13.8" hidden="false" customHeight="false" outlineLevel="0" collapsed="false">
      <c r="A32" s="319"/>
      <c r="B32" s="339" t="n">
        <v>39173</v>
      </c>
      <c r="C32" s="339" t="n">
        <v>39325</v>
      </c>
      <c r="D32" s="340" t="n">
        <v>155.955</v>
      </c>
      <c r="E32" s="340" t="n">
        <f aca="false">+D32+G31</f>
        <v>193.702</v>
      </c>
      <c r="F32" s="415" t="n">
        <v>4.629</v>
      </c>
      <c r="G32" s="341" t="n">
        <f aca="false">+E32-F32</f>
        <v>189.073</v>
      </c>
      <c r="H32" s="342" t="n">
        <f aca="false">+F32/E32</f>
        <v>0.0238975333243849</v>
      </c>
      <c r="I32" s="412"/>
      <c r="J32" s="412"/>
      <c r="K32" s="414"/>
      <c r="L32" s="321"/>
      <c r="M32" s="374"/>
      <c r="O32" s="407"/>
      <c r="R32" s="407"/>
    </row>
    <row r="33" customFormat="false" ht="13.8" hidden="false" customHeight="false" outlineLevel="0" collapsed="false">
      <c r="A33" s="319"/>
      <c r="B33" s="300" t="n">
        <v>39326</v>
      </c>
      <c r="C33" s="300" t="n">
        <v>39447</v>
      </c>
      <c r="D33" s="322" t="n">
        <v>187.177</v>
      </c>
      <c r="E33" s="322" t="n">
        <f aca="false">+D33+G32</f>
        <v>376.25</v>
      </c>
      <c r="F33" s="416" t="n">
        <v>162.377</v>
      </c>
      <c r="G33" s="323" t="n">
        <f aca="false">+E33-F33</f>
        <v>213.873</v>
      </c>
      <c r="H33" s="303" t="n">
        <f aca="false">+F33/E33</f>
        <v>0.431566777408638</v>
      </c>
      <c r="I33" s="412"/>
      <c r="J33" s="412"/>
      <c r="K33" s="414"/>
      <c r="L33" s="321"/>
      <c r="M33" s="374"/>
      <c r="O33" s="407"/>
      <c r="R33" s="407"/>
    </row>
    <row r="34" customFormat="false" ht="14.4" hidden="false" customHeight="true" outlineLevel="0" collapsed="false">
      <c r="A34" s="324" t="s">
        <v>207</v>
      </c>
      <c r="B34" s="325" t="n">
        <v>39083</v>
      </c>
      <c r="C34" s="325" t="n">
        <v>39172</v>
      </c>
      <c r="D34" s="326" t="n">
        <v>1.585</v>
      </c>
      <c r="E34" s="326" t="n">
        <f aca="false">+D34</f>
        <v>1.585</v>
      </c>
      <c r="F34" s="417"/>
      <c r="G34" s="327" t="n">
        <f aca="false">+E34-F34</f>
        <v>1.585</v>
      </c>
      <c r="H34" s="328" t="n">
        <f aca="false">+F34/E34</f>
        <v>0</v>
      </c>
      <c r="I34" s="418" t="n">
        <f aca="false">SUM(D34:D36)</f>
        <v>3.523</v>
      </c>
      <c r="J34" s="419" t="n">
        <f aca="false">SUM(F34:F36)</f>
        <v>3.525</v>
      </c>
      <c r="K34" s="420" t="n">
        <f aca="false">+I34-J34</f>
        <v>-0.00200000000000067</v>
      </c>
      <c r="L34" s="332" t="n">
        <f aca="false">+J34/I34</f>
        <v>1.00056769798467</v>
      </c>
      <c r="M34" s="283"/>
      <c r="N34" s="283"/>
      <c r="O34" s="407"/>
      <c r="R34" s="407"/>
    </row>
    <row r="35" customFormat="false" ht="13.8" hidden="false" customHeight="false" outlineLevel="0" collapsed="false">
      <c r="A35" s="324"/>
      <c r="B35" s="339" t="n">
        <v>39173</v>
      </c>
      <c r="C35" s="339" t="n">
        <v>39325</v>
      </c>
      <c r="D35" s="340" t="n">
        <v>0.881</v>
      </c>
      <c r="E35" s="340" t="n">
        <f aca="false">+D35+G34</f>
        <v>2.466</v>
      </c>
      <c r="F35" s="415" t="n">
        <v>3.265</v>
      </c>
      <c r="G35" s="341" t="n">
        <f aca="false">+E35-F35</f>
        <v>-0.799</v>
      </c>
      <c r="H35" s="342" t="n">
        <f aca="false">+F35/E35</f>
        <v>1.32400648824006</v>
      </c>
      <c r="I35" s="418"/>
      <c r="J35" s="419"/>
      <c r="K35" s="420"/>
      <c r="L35" s="332"/>
      <c r="M35" s="374"/>
    </row>
    <row r="36" customFormat="false" ht="13.8" hidden="false" customHeight="false" outlineLevel="0" collapsed="false">
      <c r="A36" s="324"/>
      <c r="B36" s="300" t="n">
        <v>39326</v>
      </c>
      <c r="C36" s="300" t="n">
        <v>39447</v>
      </c>
      <c r="D36" s="322" t="n">
        <v>1.057</v>
      </c>
      <c r="E36" s="322" t="n">
        <f aca="false">+D36+G35</f>
        <v>0.258</v>
      </c>
      <c r="F36" s="416" t="n">
        <v>0.26</v>
      </c>
      <c r="G36" s="323" t="n">
        <f aca="false">+E36-F36</f>
        <v>-0.002</v>
      </c>
      <c r="H36" s="303" t="n">
        <f aca="false">+F36/E36</f>
        <v>1.0077519379845</v>
      </c>
      <c r="I36" s="418"/>
      <c r="J36" s="419"/>
      <c r="K36" s="420"/>
      <c r="L36" s="332"/>
      <c r="M36" s="374"/>
    </row>
    <row r="37" customFormat="false" ht="14.4" hidden="false" customHeight="true" outlineLevel="0" collapsed="false">
      <c r="A37" s="316" t="s">
        <v>275</v>
      </c>
      <c r="B37" s="275" t="n">
        <v>39083</v>
      </c>
      <c r="C37" s="275" t="n">
        <v>39172</v>
      </c>
      <c r="D37" s="277" t="n">
        <v>9.828</v>
      </c>
      <c r="E37" s="277" t="n">
        <f aca="false">+D37</f>
        <v>9.828</v>
      </c>
      <c r="F37" s="411"/>
      <c r="G37" s="292" t="n">
        <f aca="false">+E37-F37</f>
        <v>9.828</v>
      </c>
      <c r="H37" s="279" t="n">
        <f aca="false">+F37/E37</f>
        <v>0</v>
      </c>
      <c r="I37" s="408" t="n">
        <f aca="false">SUM(D37:D39)</f>
        <v>21.842</v>
      </c>
      <c r="J37" s="408" t="n">
        <f aca="false">SUM(F37:F39)</f>
        <v>18.52</v>
      </c>
      <c r="K37" s="409" t="n">
        <f aca="false">+I37-J37</f>
        <v>3.322</v>
      </c>
      <c r="L37" s="282" t="n">
        <f aca="false">+J37/I37</f>
        <v>0.847907700760004</v>
      </c>
      <c r="N37" s="283"/>
    </row>
    <row r="38" customFormat="false" ht="13.8" hidden="false" customHeight="false" outlineLevel="0" collapsed="false">
      <c r="A38" s="316"/>
      <c r="B38" s="339" t="n">
        <v>39173</v>
      </c>
      <c r="C38" s="339" t="n">
        <v>39325</v>
      </c>
      <c r="D38" s="340" t="n">
        <v>5.46</v>
      </c>
      <c r="E38" s="340" t="n">
        <f aca="false">+D38+G37</f>
        <v>15.288</v>
      </c>
      <c r="F38" s="415"/>
      <c r="G38" s="341" t="n">
        <f aca="false">+E38-F38</f>
        <v>15.288</v>
      </c>
      <c r="H38" s="342" t="n">
        <f aca="false">+F38/E38</f>
        <v>0</v>
      </c>
      <c r="I38" s="408"/>
      <c r="J38" s="408"/>
      <c r="K38" s="409"/>
      <c r="L38" s="282"/>
    </row>
    <row r="39" customFormat="false" ht="13.8" hidden="false" customHeight="false" outlineLevel="0" collapsed="false">
      <c r="A39" s="316"/>
      <c r="B39" s="285" t="n">
        <v>39326</v>
      </c>
      <c r="C39" s="285" t="n">
        <v>39447</v>
      </c>
      <c r="D39" s="317" t="n">
        <v>6.554</v>
      </c>
      <c r="E39" s="317" t="n">
        <f aca="false">+D39+G38</f>
        <v>21.842</v>
      </c>
      <c r="F39" s="421" t="n">
        <v>18.52</v>
      </c>
      <c r="G39" s="318" t="n">
        <f aca="false">+E39-F39</f>
        <v>3.322</v>
      </c>
      <c r="H39" s="288" t="n">
        <f aca="false">+F39/E39</f>
        <v>0.847907700760004</v>
      </c>
      <c r="I39" s="408"/>
      <c r="J39" s="408"/>
      <c r="K39" s="409"/>
      <c r="L39" s="282"/>
      <c r="M39" s="374"/>
    </row>
    <row r="40" customFormat="false" ht="13.8" hidden="false" customHeight="true" outlineLevel="0" collapsed="false">
      <c r="A40" s="319" t="s">
        <v>276</v>
      </c>
      <c r="B40" s="275" t="n">
        <v>39083</v>
      </c>
      <c r="C40" s="275" t="n">
        <v>39172</v>
      </c>
      <c r="D40" s="277" t="n">
        <v>3.245</v>
      </c>
      <c r="E40" s="277" t="n">
        <f aca="false">+D40</f>
        <v>3.245</v>
      </c>
      <c r="F40" s="411"/>
      <c r="G40" s="292" t="n">
        <f aca="false">+E40-F40</f>
        <v>3.245</v>
      </c>
      <c r="H40" s="279" t="n">
        <f aca="false">+F40/E40</f>
        <v>0</v>
      </c>
      <c r="I40" s="412" t="n">
        <f aca="false">SUM(D40:D42)</f>
        <v>7.212</v>
      </c>
      <c r="J40" s="412" t="n">
        <f aca="false">SUM(F40:F42)</f>
        <v>0</v>
      </c>
      <c r="K40" s="414" t="n">
        <f aca="false">+I40-J40</f>
        <v>7.212</v>
      </c>
      <c r="L40" s="321" t="n">
        <f aca="false">+J40/I40</f>
        <v>0</v>
      </c>
    </row>
    <row r="41" customFormat="false" ht="13.8" hidden="false" customHeight="false" outlineLevel="0" collapsed="false">
      <c r="A41" s="319"/>
      <c r="B41" s="339" t="n">
        <v>39173</v>
      </c>
      <c r="C41" s="339" t="n">
        <v>39325</v>
      </c>
      <c r="D41" s="340" t="n">
        <v>1.803</v>
      </c>
      <c r="E41" s="340" t="n">
        <f aca="false">+D41+G40</f>
        <v>5.048</v>
      </c>
      <c r="F41" s="415"/>
      <c r="G41" s="341" t="n">
        <f aca="false">+E41-F41</f>
        <v>5.048</v>
      </c>
      <c r="H41" s="342" t="n">
        <f aca="false">+F41/E41</f>
        <v>0</v>
      </c>
      <c r="I41" s="412"/>
      <c r="J41" s="412"/>
      <c r="K41" s="414"/>
      <c r="L41" s="321"/>
    </row>
    <row r="42" customFormat="false" ht="13.8" hidden="false" customHeight="false" outlineLevel="0" collapsed="false">
      <c r="A42" s="319"/>
      <c r="B42" s="300" t="n">
        <v>39326</v>
      </c>
      <c r="C42" s="300" t="n">
        <v>39447</v>
      </c>
      <c r="D42" s="322" t="n">
        <v>2.164</v>
      </c>
      <c r="E42" s="322" t="n">
        <f aca="false">+D42+G41</f>
        <v>7.212</v>
      </c>
      <c r="F42" s="416"/>
      <c r="G42" s="323" t="n">
        <f aca="false">+E42-F42</f>
        <v>7.212</v>
      </c>
      <c r="H42" s="303" t="n">
        <f aca="false">+F42/E42</f>
        <v>0</v>
      </c>
      <c r="I42" s="412"/>
      <c r="J42" s="412"/>
      <c r="K42" s="414"/>
      <c r="L42" s="321"/>
    </row>
    <row r="43" customFormat="false" ht="14.4" hidden="false" customHeight="true" outlineLevel="0" collapsed="false">
      <c r="A43" s="319" t="s">
        <v>277</v>
      </c>
      <c r="B43" s="325" t="n">
        <v>39083</v>
      </c>
      <c r="C43" s="325" t="n">
        <v>39172</v>
      </c>
      <c r="D43" s="326" t="n">
        <v>153.429</v>
      </c>
      <c r="E43" s="326" t="n">
        <f aca="false">+D43</f>
        <v>153.429</v>
      </c>
      <c r="F43" s="417" t="n">
        <v>153.001</v>
      </c>
      <c r="G43" s="327" t="n">
        <f aca="false">+E43-F43</f>
        <v>0.427999999999997</v>
      </c>
      <c r="H43" s="328" t="n">
        <f aca="false">+F43/E43</f>
        <v>0.997210436097478</v>
      </c>
      <c r="I43" s="422" t="n">
        <f aca="false">SUM(D43:D45)</f>
        <v>340.992</v>
      </c>
      <c r="J43" s="422" t="n">
        <f aca="false">SUM(F43:F45)</f>
        <v>338.224</v>
      </c>
      <c r="K43" s="423" t="n">
        <f aca="false">+I43-J43</f>
        <v>2.76800000000003</v>
      </c>
      <c r="L43" s="348" t="n">
        <f aca="false">+J43/I43</f>
        <v>0.991882507507507</v>
      </c>
      <c r="N43" s="283"/>
    </row>
    <row r="44" customFormat="false" ht="13.8" hidden="false" customHeight="false" outlineLevel="0" collapsed="false">
      <c r="A44" s="319"/>
      <c r="B44" s="339" t="n">
        <v>39173</v>
      </c>
      <c r="C44" s="339" t="n">
        <v>39325</v>
      </c>
      <c r="D44" s="340" t="n">
        <v>85.248</v>
      </c>
      <c r="E44" s="340" t="n">
        <f aca="false">+D44+G43</f>
        <v>85.676</v>
      </c>
      <c r="F44" s="415" t="n">
        <v>85.538</v>
      </c>
      <c r="G44" s="341" t="n">
        <f aca="false">+E44-F44</f>
        <v>0.138000000000005</v>
      </c>
      <c r="H44" s="342" t="n">
        <f aca="false">+F44/E44</f>
        <v>0.99838928054531</v>
      </c>
      <c r="I44" s="422"/>
      <c r="J44" s="422"/>
      <c r="K44" s="423"/>
      <c r="L44" s="348"/>
      <c r="M44" s="374"/>
    </row>
    <row r="45" customFormat="false" ht="13.8" hidden="false" customHeight="false" outlineLevel="0" collapsed="false">
      <c r="A45" s="319"/>
      <c r="B45" s="285" t="n">
        <v>39326</v>
      </c>
      <c r="C45" s="285" t="n">
        <v>39447</v>
      </c>
      <c r="D45" s="317" t="n">
        <v>102.315</v>
      </c>
      <c r="E45" s="317" t="n">
        <f aca="false">+D45+G44</f>
        <v>102.453</v>
      </c>
      <c r="F45" s="421" t="n">
        <v>99.685</v>
      </c>
      <c r="G45" s="318" t="n">
        <f aca="false">+E45-F45</f>
        <v>2.768</v>
      </c>
      <c r="H45" s="288" t="n">
        <f aca="false">+F45/E45</f>
        <v>0.972982733546114</v>
      </c>
      <c r="I45" s="422"/>
      <c r="J45" s="422"/>
      <c r="K45" s="423"/>
      <c r="L45" s="348"/>
      <c r="M45" s="374"/>
      <c r="N45" s="46" t="s">
        <v>278</v>
      </c>
    </row>
    <row r="46" customFormat="false" ht="14.4" hidden="false" customHeight="true" outlineLevel="0" collapsed="false">
      <c r="A46" s="345" t="s">
        <v>279</v>
      </c>
      <c r="B46" s="325" t="n">
        <v>39083</v>
      </c>
      <c r="C46" s="275" t="n">
        <v>39172</v>
      </c>
      <c r="D46" s="277" t="n">
        <v>47.617</v>
      </c>
      <c r="E46" s="277" t="n">
        <f aca="false">+D46</f>
        <v>47.617</v>
      </c>
      <c r="F46" s="411" t="n">
        <v>67.516</v>
      </c>
      <c r="G46" s="292" t="n">
        <f aca="false">+E46-F46</f>
        <v>-19.899</v>
      </c>
      <c r="H46" s="279" t="n">
        <f aca="false">+F46/E46</f>
        <v>1.41789696956969</v>
      </c>
      <c r="I46" s="412" t="n">
        <f aca="false">SUM(D46:D48)</f>
        <v>105.827</v>
      </c>
      <c r="J46" s="422" t="n">
        <f aca="false">SUM(F46:F48)</f>
        <v>105.661</v>
      </c>
      <c r="K46" s="423" t="n">
        <f aca="false">+I46-J46</f>
        <v>0.165999999999997</v>
      </c>
      <c r="L46" s="348" t="n">
        <f aca="false">+J46/I46</f>
        <v>0.998431402194147</v>
      </c>
      <c r="M46" s="283"/>
      <c r="N46" s="283"/>
    </row>
    <row r="47" customFormat="false" ht="13.8" hidden="false" customHeight="false" outlineLevel="0" collapsed="false">
      <c r="A47" s="345"/>
      <c r="B47" s="339" t="n">
        <v>39173</v>
      </c>
      <c r="C47" s="339" t="n">
        <v>39325</v>
      </c>
      <c r="D47" s="340" t="n">
        <v>26.457</v>
      </c>
      <c r="E47" s="340" t="n">
        <f aca="false">+D47+G46</f>
        <v>6.55799999999999</v>
      </c>
      <c r="F47" s="415" t="n">
        <v>38.145</v>
      </c>
      <c r="G47" s="341" t="n">
        <f aca="false">+E47-F47</f>
        <v>-31.587</v>
      </c>
      <c r="H47" s="342" t="n">
        <f aca="false">+F47/E47</f>
        <v>5.81655992680696</v>
      </c>
      <c r="I47" s="412"/>
      <c r="J47" s="412"/>
      <c r="K47" s="423"/>
      <c r="L47" s="348"/>
      <c r="M47" s="374" t="s">
        <v>269</v>
      </c>
    </row>
    <row r="48" customFormat="false" ht="13.8" hidden="false" customHeight="false" outlineLevel="0" collapsed="false">
      <c r="A48" s="345"/>
      <c r="B48" s="300" t="n">
        <v>39326</v>
      </c>
      <c r="C48" s="300" t="n">
        <v>39447</v>
      </c>
      <c r="D48" s="322" t="n">
        <v>31.753</v>
      </c>
      <c r="E48" s="322" t="n">
        <f aca="false">+D48+G47</f>
        <v>0.16599999999999</v>
      </c>
      <c r="F48" s="416"/>
      <c r="G48" s="323" t="n">
        <f aca="false">+E48-F48</f>
        <v>0.16599999999999</v>
      </c>
      <c r="H48" s="303" t="n">
        <f aca="false">+F48/E48</f>
        <v>0</v>
      </c>
      <c r="I48" s="412"/>
      <c r="J48" s="422"/>
      <c r="K48" s="423"/>
      <c r="L48" s="348"/>
      <c r="M48" s="374"/>
    </row>
    <row r="49" customFormat="false" ht="14.4" hidden="false" customHeight="true" outlineLevel="0" collapsed="false">
      <c r="A49" s="316" t="s">
        <v>280</v>
      </c>
      <c r="B49" s="275" t="n">
        <v>39083</v>
      </c>
      <c r="C49" s="275" t="n">
        <v>39172</v>
      </c>
      <c r="D49" s="277" t="n">
        <v>57.144</v>
      </c>
      <c r="E49" s="277" t="n">
        <f aca="false">+D49</f>
        <v>57.144</v>
      </c>
      <c r="F49" s="411" t="n">
        <v>36.768</v>
      </c>
      <c r="G49" s="292" t="n">
        <f aca="false">+E49-F49</f>
        <v>20.376</v>
      </c>
      <c r="H49" s="279" t="n">
        <f aca="false">+F49/E49</f>
        <v>0.643427131457371</v>
      </c>
      <c r="I49" s="408" t="n">
        <f aca="false">SUM(D49:D51)</f>
        <v>127.001</v>
      </c>
      <c r="J49" s="408" t="n">
        <f aca="false">SUM(F49:F51)</f>
        <v>121.596</v>
      </c>
      <c r="K49" s="409" t="n">
        <f aca="false">+I49-J49</f>
        <v>5.405</v>
      </c>
      <c r="L49" s="424" t="n">
        <f aca="false">+J49/I49</f>
        <v>0.957441279989921</v>
      </c>
      <c r="N49" s="283"/>
    </row>
    <row r="50" customFormat="false" ht="13.8" hidden="false" customHeight="false" outlineLevel="0" collapsed="false">
      <c r="A50" s="316"/>
      <c r="B50" s="339" t="n">
        <v>39173</v>
      </c>
      <c r="C50" s="339" t="n">
        <v>39325</v>
      </c>
      <c r="D50" s="340" t="n">
        <v>31.75</v>
      </c>
      <c r="E50" s="340" t="n">
        <f aca="false">+D50+G49</f>
        <v>52.126</v>
      </c>
      <c r="F50" s="415" t="n">
        <v>21.053</v>
      </c>
      <c r="G50" s="341" t="n">
        <f aca="false">+E50-F50</f>
        <v>31.073</v>
      </c>
      <c r="H50" s="342" t="n">
        <f aca="false">+F50/E50</f>
        <v>0.40388673598588</v>
      </c>
      <c r="I50" s="408"/>
      <c r="J50" s="408"/>
      <c r="K50" s="409"/>
      <c r="L50" s="424"/>
      <c r="M50" s="374"/>
      <c r="N50" s="46" t="s">
        <v>281</v>
      </c>
    </row>
    <row r="51" customFormat="false" ht="13.8" hidden="false" customHeight="false" outlineLevel="0" collapsed="false">
      <c r="A51" s="316"/>
      <c r="B51" s="285" t="n">
        <v>39326</v>
      </c>
      <c r="C51" s="285" t="n">
        <v>39447</v>
      </c>
      <c r="D51" s="317" t="n">
        <v>38.107</v>
      </c>
      <c r="E51" s="317" t="n">
        <f aca="false">+D51+G50</f>
        <v>69.18</v>
      </c>
      <c r="F51" s="421" t="n">
        <v>63.775</v>
      </c>
      <c r="G51" s="318" t="n">
        <f aca="false">+E51-F51</f>
        <v>5.40499999999999</v>
      </c>
      <c r="H51" s="288" t="n">
        <f aca="false">+F51/E51</f>
        <v>0.921870482798497</v>
      </c>
      <c r="I51" s="408"/>
      <c r="J51" s="408"/>
      <c r="K51" s="409"/>
      <c r="L51" s="424"/>
    </row>
    <row r="52" customFormat="false" ht="14.4" hidden="false" customHeight="true" outlineLevel="0" collapsed="false">
      <c r="A52" s="319" t="s">
        <v>282</v>
      </c>
      <c r="B52" s="275" t="n">
        <v>39083</v>
      </c>
      <c r="C52" s="275" t="n">
        <v>39172</v>
      </c>
      <c r="D52" s="277" t="n">
        <v>267.632</v>
      </c>
      <c r="E52" s="277" t="n">
        <f aca="false">+D52</f>
        <v>267.632</v>
      </c>
      <c r="F52" s="411" t="n">
        <v>166.367</v>
      </c>
      <c r="G52" s="292" t="n">
        <f aca="false">+E52-F52</f>
        <v>101.265</v>
      </c>
      <c r="H52" s="279" t="n">
        <f aca="false">+F52/E52</f>
        <v>0.621625964010283</v>
      </c>
      <c r="I52" s="412" t="n">
        <f aca="false">SUM(D52:D54)</f>
        <v>594.805</v>
      </c>
      <c r="J52" s="412" t="n">
        <f aca="false">SUM(F52:F54)</f>
        <v>592.371</v>
      </c>
      <c r="K52" s="414" t="n">
        <f aca="false">+I52-J52</f>
        <v>2.43400000000008</v>
      </c>
      <c r="L52" s="321" t="n">
        <f aca="false">+J52/I52</f>
        <v>0.995907902589924</v>
      </c>
      <c r="M52" s="425"/>
      <c r="N52" s="283"/>
    </row>
    <row r="53" customFormat="false" ht="13.8" hidden="false" customHeight="false" outlineLevel="0" collapsed="false">
      <c r="A53" s="319"/>
      <c r="B53" s="339" t="n">
        <v>39173</v>
      </c>
      <c r="C53" s="339" t="n">
        <v>39325</v>
      </c>
      <c r="D53" s="340" t="n">
        <v>148.701</v>
      </c>
      <c r="E53" s="340" t="n">
        <f aca="false">+D53+G52</f>
        <v>249.966</v>
      </c>
      <c r="F53" s="415" t="n">
        <v>243.928</v>
      </c>
      <c r="G53" s="341" t="n">
        <f aca="false">+E53-F53</f>
        <v>6.03800000000001</v>
      </c>
      <c r="H53" s="342" t="n">
        <f aca="false">+F53/E53</f>
        <v>0.975844714881224</v>
      </c>
      <c r="I53" s="412"/>
      <c r="J53" s="412"/>
      <c r="K53" s="414"/>
      <c r="L53" s="321"/>
      <c r="M53" s="374"/>
      <c r="N53" s="46" t="s">
        <v>278</v>
      </c>
    </row>
    <row r="54" customFormat="false" ht="13.8" hidden="false" customHeight="false" outlineLevel="0" collapsed="false">
      <c r="A54" s="319"/>
      <c r="B54" s="300" t="n">
        <v>39326</v>
      </c>
      <c r="C54" s="300" t="n">
        <v>39447</v>
      </c>
      <c r="D54" s="322" t="n">
        <v>178.472</v>
      </c>
      <c r="E54" s="322" t="n">
        <f aca="false">+D54+G53</f>
        <v>184.51</v>
      </c>
      <c r="F54" s="416" t="n">
        <v>182.076</v>
      </c>
      <c r="G54" s="323" t="n">
        <f aca="false">+E54-F54</f>
        <v>2.43400000000003</v>
      </c>
      <c r="H54" s="303" t="n">
        <f aca="false">+F54/E54</f>
        <v>0.986808303073004</v>
      </c>
      <c r="I54" s="412"/>
      <c r="J54" s="412"/>
      <c r="K54" s="414"/>
      <c r="L54" s="321"/>
      <c r="M54" s="374"/>
    </row>
    <row r="55" customFormat="false" ht="13.8" hidden="false" customHeight="false" outlineLevel="0" collapsed="false">
      <c r="A55" s="131"/>
      <c r="B55" s="131"/>
      <c r="C55" s="131"/>
      <c r="D55" s="131"/>
      <c r="E55" s="131"/>
      <c r="F55" s="131"/>
      <c r="G55" s="131"/>
      <c r="H55" s="131"/>
      <c r="I55" s="334"/>
      <c r="J55" s="426"/>
      <c r="K55" s="406"/>
      <c r="L55" s="310"/>
    </row>
    <row r="56" customFormat="false" ht="15.6" hidden="false" customHeight="false" outlineLevel="0" collapsed="false">
      <c r="A56" s="98" t="s">
        <v>173</v>
      </c>
      <c r="B56" s="98" t="s">
        <v>192</v>
      </c>
      <c r="C56" s="98"/>
      <c r="D56" s="98" t="s">
        <v>193</v>
      </c>
      <c r="E56" s="98"/>
      <c r="F56" s="98" t="s">
        <v>156</v>
      </c>
      <c r="G56" s="98"/>
      <c r="H56" s="98"/>
      <c r="I56" s="98" t="s">
        <v>194</v>
      </c>
      <c r="J56" s="98"/>
      <c r="K56" s="98"/>
      <c r="L56" s="98"/>
    </row>
    <row r="57" customFormat="false" ht="15.6" hidden="false" customHeight="false" outlineLevel="0" collapsed="false">
      <c r="A57" s="97" t="s">
        <v>265</v>
      </c>
      <c r="B57" s="98" t="s">
        <v>199</v>
      </c>
      <c r="C57" s="98" t="s">
        <v>200</v>
      </c>
      <c r="D57" s="97" t="s">
        <v>201</v>
      </c>
      <c r="E57" s="97" t="s">
        <v>202</v>
      </c>
      <c r="F57" s="97" t="s">
        <v>43</v>
      </c>
      <c r="G57" s="97" t="s">
        <v>44</v>
      </c>
      <c r="H57" s="97" t="s">
        <v>159</v>
      </c>
      <c r="I57" s="97" t="s">
        <v>193</v>
      </c>
      <c r="J57" s="97" t="s">
        <v>43</v>
      </c>
      <c r="K57" s="97" t="s">
        <v>44</v>
      </c>
      <c r="L57" s="97" t="s">
        <v>159</v>
      </c>
    </row>
    <row r="58" customFormat="false" ht="13.8" hidden="false" customHeight="false" outlineLevel="0" collapsed="false">
      <c r="A58" s="97"/>
      <c r="B58" s="335" t="n">
        <v>39083</v>
      </c>
      <c r="C58" s="335" t="n">
        <v>39172</v>
      </c>
      <c r="D58" s="148" t="n">
        <f aca="false">SUM(D7,D10,D13,D16,D19,D22,D25,D28,D31,D34,D37,D40,D43,D46,D49,D52)</f>
        <v>1755.253</v>
      </c>
      <c r="E58" s="148" t="n">
        <f aca="false">+D58</f>
        <v>1755.253</v>
      </c>
      <c r="F58" s="150" t="n">
        <f aca="false">SUM(F7,F10,F13,F16,F19,F22,F25,F28,F31,F34,F37,F40,F43,F46,F49,F52)</f>
        <v>1453.465</v>
      </c>
      <c r="G58" s="148" t="n">
        <f aca="false">+E58-F58</f>
        <v>301.788</v>
      </c>
      <c r="H58" s="120" t="n">
        <f aca="false">+F58/E58</f>
        <v>0.828065811595252</v>
      </c>
      <c r="I58" s="108" t="n">
        <f aca="false">SUM(D58:D60)</f>
        <v>3901</v>
      </c>
      <c r="J58" s="108" t="n">
        <f aca="false">SUM(F58:F60)</f>
        <v>3300.956</v>
      </c>
      <c r="K58" s="108" t="n">
        <f aca="false">+I58-J58</f>
        <v>600.044</v>
      </c>
      <c r="L58" s="315" t="n">
        <f aca="false">+J58/I58</f>
        <v>0.846182004614202</v>
      </c>
    </row>
    <row r="59" customFormat="false" ht="13.8" hidden="false" customHeight="false" outlineLevel="0" collapsed="false">
      <c r="A59" s="97"/>
      <c r="B59" s="335" t="n">
        <v>39173</v>
      </c>
      <c r="C59" s="335" t="n">
        <v>39325</v>
      </c>
      <c r="D59" s="148" t="n">
        <f aca="false">SUM(D8,D11,D14,D17,D20,D23,D26,D29,D32,D35,D38,D41,D44,D47,D50,D53)</f>
        <v>975.249</v>
      </c>
      <c r="E59" s="148" t="n">
        <f aca="false">+D59+G58</f>
        <v>1277.037</v>
      </c>
      <c r="F59" s="150" t="n">
        <f aca="false">SUM(F8,F11,F14,F17,F20,F23,F26,F29,F32,F35,F38,F41,F44,F47,F50,F53)</f>
        <v>673.831</v>
      </c>
      <c r="G59" s="148" t="n">
        <f aca="false">+E59-F59</f>
        <v>603.206</v>
      </c>
      <c r="H59" s="120" t="n">
        <f aca="false">+F59/E59</f>
        <v>0.527651900453941</v>
      </c>
      <c r="I59" s="108"/>
      <c r="J59" s="108"/>
      <c r="K59" s="108"/>
      <c r="L59" s="315"/>
    </row>
    <row r="60" customFormat="false" ht="13.8" hidden="false" customHeight="false" outlineLevel="0" collapsed="false">
      <c r="A60" s="97"/>
      <c r="B60" s="335" t="n">
        <v>39326</v>
      </c>
      <c r="C60" s="335" t="n">
        <v>39447</v>
      </c>
      <c r="D60" s="148" t="n">
        <f aca="false">SUM(D9,D12,D15,D18,D21,D24,D27,D30,D33,D36,D39,D42,D45,D48,D51,D54)</f>
        <v>1170.498</v>
      </c>
      <c r="E60" s="148" t="n">
        <f aca="false">+D60+G59</f>
        <v>1773.704</v>
      </c>
      <c r="F60" s="150" t="n">
        <f aca="false">SUM(F9,F12,F15,F18,F21,F24,F27,F30,F33,F36,F39,F42,F45,F48,F51,F54)</f>
        <v>1173.66</v>
      </c>
      <c r="G60" s="148" t="n">
        <f aca="false">+E60-F60</f>
        <v>600.044</v>
      </c>
      <c r="H60" s="120" t="n">
        <f aca="false">+F60/E60</f>
        <v>0.66170003563165</v>
      </c>
      <c r="I60" s="108"/>
      <c r="J60" s="108"/>
      <c r="K60" s="108"/>
      <c r="L60" s="315"/>
    </row>
    <row r="66" customFormat="false" ht="15.6" hidden="false" customHeight="false" outlineLevel="0" collapsed="false">
      <c r="I66" s="97" t="s">
        <v>193</v>
      </c>
      <c r="J66" s="97" t="s">
        <v>43</v>
      </c>
      <c r="K66" s="97" t="s">
        <v>44</v>
      </c>
      <c r="L66" s="97" t="s">
        <v>159</v>
      </c>
    </row>
    <row r="67" customFormat="false" ht="15.6" hidden="false" customHeight="false" outlineLevel="0" collapsed="false">
      <c r="H67" s="97" t="s">
        <v>283</v>
      </c>
      <c r="I67" s="151" t="n">
        <v>80</v>
      </c>
      <c r="J67" s="151" t="n">
        <f aca="false">O70+O71+O72+O73+O74</f>
        <v>1.276</v>
      </c>
      <c r="K67" s="151" t="n">
        <f aca="false">I67-J67</f>
        <v>78.724</v>
      </c>
      <c r="L67" s="427" t="n">
        <f aca="false">J67/I67</f>
        <v>0.01595</v>
      </c>
    </row>
    <row r="69" customFormat="false" ht="15.6" hidden="false" customHeight="false" outlineLevel="0" collapsed="false">
      <c r="N69" s="428"/>
      <c r="O69" s="51" t="s">
        <v>43</v>
      </c>
    </row>
    <row r="70" customFormat="false" ht="13.8" hidden="false" customHeight="false" outlineLevel="0" collapsed="false">
      <c r="N70" s="114" t="s">
        <v>284</v>
      </c>
      <c r="O70" s="429" t="n">
        <v>1.276</v>
      </c>
    </row>
    <row r="71" customFormat="false" ht="13.8" hidden="false" customHeight="false" outlineLevel="0" collapsed="false">
      <c r="N71" s="298"/>
      <c r="O71" s="429"/>
    </row>
    <row r="72" customFormat="false" ht="13.8" hidden="false" customHeight="false" outlineLevel="0" collapsed="false">
      <c r="N72" s="298"/>
      <c r="O72" s="429"/>
    </row>
    <row r="73" customFormat="false" ht="13.8" hidden="false" customHeight="false" outlineLevel="0" collapsed="false">
      <c r="N73" s="430"/>
      <c r="O73" s="431"/>
    </row>
    <row r="74" customFormat="false" ht="13.8" hidden="false" customHeight="false" outlineLevel="0" collapsed="false">
      <c r="N74" s="430"/>
      <c r="O74" s="431"/>
    </row>
    <row r="75" customFormat="false" ht="13.8" hidden="false" customHeight="false" outlineLevel="0" collapsed="false">
      <c r="N75" s="430"/>
      <c r="O75" s="431"/>
    </row>
    <row r="76" customFormat="false" ht="13.8" hidden="false" customHeight="false" outlineLevel="0" collapsed="false">
      <c r="N76" s="430"/>
      <c r="O76" s="431"/>
    </row>
    <row r="77" customFormat="false" ht="13.8" hidden="false" customHeight="false" outlineLevel="0" collapsed="false">
      <c r="N77" s="430"/>
      <c r="O77" s="431"/>
    </row>
    <row r="78" customFormat="false" ht="13.8" hidden="false" customHeight="false" outlineLevel="0" collapsed="false">
      <c r="N78" s="430"/>
      <c r="O78" s="431"/>
    </row>
    <row r="79" customFormat="false" ht="13.8" hidden="false" customHeight="false" outlineLevel="0" collapsed="false">
      <c r="N79" s="430"/>
      <c r="O79" s="429"/>
    </row>
    <row r="80" customFormat="false" ht="13.8" hidden="false" customHeight="false" outlineLevel="0" collapsed="false">
      <c r="N80" s="428"/>
      <c r="O80" s="428"/>
    </row>
  </sheetData>
  <mergeCells count="97">
    <mergeCell ref="A2:L2"/>
    <mergeCell ref="A3:L3"/>
    <mergeCell ref="B4:E4"/>
    <mergeCell ref="B5:C5"/>
    <mergeCell ref="D5:E5"/>
    <mergeCell ref="F5:H5"/>
    <mergeCell ref="I5:L5"/>
    <mergeCell ref="A7:A9"/>
    <mergeCell ref="I7:I9"/>
    <mergeCell ref="J7:J9"/>
    <mergeCell ref="K7:K9"/>
    <mergeCell ref="L7:L9"/>
    <mergeCell ref="A10:A12"/>
    <mergeCell ref="I10:I12"/>
    <mergeCell ref="J10:J12"/>
    <mergeCell ref="K10:K12"/>
    <mergeCell ref="L10:L12"/>
    <mergeCell ref="A13:A15"/>
    <mergeCell ref="I13:I15"/>
    <mergeCell ref="J13:J15"/>
    <mergeCell ref="K13:K15"/>
    <mergeCell ref="L13:L15"/>
    <mergeCell ref="A16:A18"/>
    <mergeCell ref="I16:I18"/>
    <mergeCell ref="J16:J18"/>
    <mergeCell ref="K16:K18"/>
    <mergeCell ref="L16:L18"/>
    <mergeCell ref="A19:A21"/>
    <mergeCell ref="I19:I21"/>
    <mergeCell ref="J19:J21"/>
    <mergeCell ref="K19:K21"/>
    <mergeCell ref="L19:L21"/>
    <mergeCell ref="A22:A24"/>
    <mergeCell ref="I22:I24"/>
    <mergeCell ref="J22:J24"/>
    <mergeCell ref="K22:K24"/>
    <mergeCell ref="L22:L24"/>
    <mergeCell ref="A25:A27"/>
    <mergeCell ref="I25:I27"/>
    <mergeCell ref="J25:J27"/>
    <mergeCell ref="K25:K27"/>
    <mergeCell ref="L25:L27"/>
    <mergeCell ref="A28:A30"/>
    <mergeCell ref="I28:I30"/>
    <mergeCell ref="J28:J30"/>
    <mergeCell ref="K28:K30"/>
    <mergeCell ref="L28:L30"/>
    <mergeCell ref="A31:A33"/>
    <mergeCell ref="I31:I33"/>
    <mergeCell ref="J31:J33"/>
    <mergeCell ref="K31:K33"/>
    <mergeCell ref="L31:L33"/>
    <mergeCell ref="A34:A36"/>
    <mergeCell ref="I34:I36"/>
    <mergeCell ref="J34:J36"/>
    <mergeCell ref="K34:K36"/>
    <mergeCell ref="L34:L36"/>
    <mergeCell ref="A37:A39"/>
    <mergeCell ref="I37:I39"/>
    <mergeCell ref="J37:J39"/>
    <mergeCell ref="K37:K39"/>
    <mergeCell ref="L37:L39"/>
    <mergeCell ref="A40:A42"/>
    <mergeCell ref="I40:I42"/>
    <mergeCell ref="J40:J42"/>
    <mergeCell ref="K40:K42"/>
    <mergeCell ref="L40:L42"/>
    <mergeCell ref="A43:A45"/>
    <mergeCell ref="I43:I45"/>
    <mergeCell ref="J43:J45"/>
    <mergeCell ref="K43:K45"/>
    <mergeCell ref="L43:L45"/>
    <mergeCell ref="A46:A48"/>
    <mergeCell ref="I46:I48"/>
    <mergeCell ref="J46:J48"/>
    <mergeCell ref="K46:K48"/>
    <mergeCell ref="L46:L48"/>
    <mergeCell ref="A49:A51"/>
    <mergeCell ref="I49:I51"/>
    <mergeCell ref="J49:J51"/>
    <mergeCell ref="K49:K51"/>
    <mergeCell ref="L49:L51"/>
    <mergeCell ref="A52:A54"/>
    <mergeCell ref="I52:I54"/>
    <mergeCell ref="J52:J54"/>
    <mergeCell ref="K52:K54"/>
    <mergeCell ref="L52:L54"/>
    <mergeCell ref="A55:H55"/>
    <mergeCell ref="B56:C56"/>
    <mergeCell ref="D56:E56"/>
    <mergeCell ref="F56:H56"/>
    <mergeCell ref="I56:L56"/>
    <mergeCell ref="A57:A60"/>
    <mergeCell ref="I58:I60"/>
    <mergeCell ref="J58:J60"/>
    <mergeCell ref="K58:K60"/>
    <mergeCell ref="L58:L60"/>
  </mergeCells>
  <printOptions headings="false" gridLines="false" gridLinesSet="true" horizontalCentered="false" verticalCentered="false"/>
  <pageMargins left="0.236111111111111" right="0.196527777777778" top="0.39375" bottom="0.157638888888889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0" colorId="64" zoomScale="80" zoomScaleNormal="80" zoomScalePageLayoutView="100" workbookViewId="0">
      <selection pane="topLeft" activeCell="M25" activeCellId="0" sqref="M25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27.55"/>
    <col collapsed="false" customWidth="true" hidden="false" outlineLevel="0" max="2" min="2" style="428" width="6.87"/>
    <col collapsed="false" customWidth="true" hidden="false" outlineLevel="0" max="3" min="3" style="428" width="6.99"/>
    <col collapsed="false" customWidth="true" hidden="false" outlineLevel="0" max="4" min="4" style="428" width="9.99"/>
    <col collapsed="false" customWidth="true" hidden="false" outlineLevel="0" max="5" min="5" style="428" width="8.99"/>
    <col collapsed="false" customWidth="true" hidden="false" outlineLevel="0" max="6" min="6" style="428" width="19.99"/>
    <col collapsed="false" customWidth="true" hidden="false" outlineLevel="0" max="7" min="7" style="428" width="11.87"/>
    <col collapsed="false" customWidth="true" hidden="false" outlineLevel="0" max="8" min="8" style="428" width="13.99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3.99"/>
    <col collapsed="false" customWidth="false" hidden="false" outlineLevel="0" max="257" min="13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customFormat="false" ht="15.6" hidden="false" customHeight="false" outlineLevel="0" collapsed="false">
      <c r="A2" s="45" t="s">
        <v>285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customFormat="false" ht="13.8" hidden="false" customHeight="false" outlineLevel="0" collapsed="false">
      <c r="A4" s="266"/>
      <c r="B4" s="267"/>
      <c r="C4" s="267"/>
      <c r="D4" s="267"/>
      <c r="E4" s="267"/>
      <c r="F4" s="269"/>
      <c r="G4" s="269"/>
      <c r="H4" s="269"/>
      <c r="I4" s="269"/>
      <c r="J4" s="269"/>
      <c r="K4" s="269"/>
      <c r="L4" s="269"/>
    </row>
    <row r="5" customFormat="false" ht="15.6" hidden="false" customHeight="true" outlineLevel="0" collapsed="false">
      <c r="A5" s="98" t="s">
        <v>286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</row>
    <row r="7" customFormat="false" ht="21.9" hidden="false" customHeight="true" outlineLevel="0" collapsed="false">
      <c r="A7" s="316" t="s">
        <v>287</v>
      </c>
      <c r="B7" s="275" t="n">
        <v>39083</v>
      </c>
      <c r="C7" s="275" t="n">
        <v>39141</v>
      </c>
      <c r="D7" s="277" t="n">
        <v>512.704</v>
      </c>
      <c r="E7" s="277" t="n">
        <f aca="false">+D7</f>
        <v>512.704</v>
      </c>
      <c r="F7" s="277" t="n">
        <v>25.09</v>
      </c>
      <c r="G7" s="390" t="n">
        <f aca="false">+E7-F7</f>
        <v>487.614</v>
      </c>
      <c r="H7" s="279" t="n">
        <f aca="false">+F7/E7</f>
        <v>0.0489366183997004</v>
      </c>
      <c r="I7" s="397" t="n">
        <f aca="false">SUM(D7:D8)</f>
        <v>1027.231</v>
      </c>
      <c r="J7" s="337" t="n">
        <f aca="false">SUM(F7:F8)</f>
        <v>1043.913</v>
      </c>
      <c r="K7" s="397" t="n">
        <f aca="false">+I7-J7</f>
        <v>-16.682</v>
      </c>
      <c r="L7" s="432" t="n">
        <f aca="false">+J7/I7</f>
        <v>1.01623977469527</v>
      </c>
    </row>
    <row r="8" customFormat="false" ht="39" hidden="false" customHeight="true" outlineLevel="0" collapsed="false">
      <c r="A8" s="316"/>
      <c r="B8" s="285" t="n">
        <v>39142</v>
      </c>
      <c r="C8" s="285" t="n">
        <v>39447</v>
      </c>
      <c r="D8" s="317" t="n">
        <v>514.527</v>
      </c>
      <c r="E8" s="317" t="n">
        <f aca="false">+D8+G7</f>
        <v>1002.141</v>
      </c>
      <c r="F8" s="317" t="n">
        <v>1018.823</v>
      </c>
      <c r="G8" s="433" t="n">
        <f aca="false">+E8-F8</f>
        <v>-16.6819999999999</v>
      </c>
      <c r="H8" s="288" t="n">
        <f aca="false">+F8/E8</f>
        <v>1.01664636014293</v>
      </c>
      <c r="I8" s="397"/>
      <c r="J8" s="337"/>
      <c r="K8" s="397"/>
      <c r="L8" s="432"/>
      <c r="M8" s="434"/>
    </row>
    <row r="9" customFormat="false" ht="21.9" hidden="false" customHeight="true" outlineLevel="0" collapsed="false">
      <c r="A9" s="319" t="s">
        <v>288</v>
      </c>
      <c r="B9" s="275" t="n">
        <v>39083</v>
      </c>
      <c r="C9" s="275" t="n">
        <v>39141</v>
      </c>
      <c r="D9" s="277" t="n">
        <v>32.296</v>
      </c>
      <c r="E9" s="277" t="n">
        <f aca="false">+D9</f>
        <v>32.296</v>
      </c>
      <c r="F9" s="277"/>
      <c r="G9" s="390" t="n">
        <f aca="false">+E9-F9</f>
        <v>32.296</v>
      </c>
      <c r="H9" s="279" t="n">
        <f aca="false">+F9/E9</f>
        <v>0</v>
      </c>
      <c r="I9" s="380" t="n">
        <f aca="false">SUM(D9:D10)</f>
        <v>64.769</v>
      </c>
      <c r="J9" s="343" t="n">
        <f aca="false">SUM(F9:F10)</f>
        <v>8.047</v>
      </c>
      <c r="K9" s="380" t="n">
        <f aca="false">+I9-J9</f>
        <v>56.722</v>
      </c>
      <c r="L9" s="321" t="n">
        <f aca="false">+J9/I9</f>
        <v>0.124241535302382</v>
      </c>
    </row>
    <row r="10" customFormat="false" ht="21.9" hidden="false" customHeight="true" outlineLevel="0" collapsed="false">
      <c r="A10" s="319"/>
      <c r="B10" s="300" t="n">
        <v>39142</v>
      </c>
      <c r="C10" s="300" t="n">
        <v>39447</v>
      </c>
      <c r="D10" s="322" t="n">
        <v>32.473</v>
      </c>
      <c r="E10" s="322" t="n">
        <f aca="false">+D10+G9</f>
        <v>64.769</v>
      </c>
      <c r="F10" s="322" t="n">
        <v>8.047</v>
      </c>
      <c r="G10" s="435" t="n">
        <f aca="false">+E10-F10</f>
        <v>56.722</v>
      </c>
      <c r="H10" s="303" t="n">
        <f aca="false">+F10/E10</f>
        <v>0.124241535302382</v>
      </c>
      <c r="I10" s="380"/>
      <c r="J10" s="343"/>
      <c r="K10" s="380"/>
      <c r="L10" s="321"/>
    </row>
    <row r="11" customFormat="false" ht="13.8" hidden="false" customHeight="false" outlineLevel="0" collapsed="false">
      <c r="A11" s="307"/>
      <c r="B11" s="307"/>
      <c r="C11" s="307"/>
      <c r="D11" s="307"/>
      <c r="E11" s="307"/>
      <c r="F11" s="307"/>
      <c r="G11" s="307"/>
      <c r="H11" s="307"/>
      <c r="I11" s="308"/>
      <c r="J11" s="308"/>
      <c r="K11" s="308"/>
      <c r="L11" s="310"/>
    </row>
    <row r="12" customFormat="false" ht="15.6" hidden="false" customHeight="false" outlineLevel="0" collapsed="false">
      <c r="A12" s="98" t="s">
        <v>173</v>
      </c>
      <c r="B12" s="98" t="s">
        <v>192</v>
      </c>
      <c r="C12" s="98"/>
      <c r="D12" s="98" t="s">
        <v>193</v>
      </c>
      <c r="E12" s="98"/>
      <c r="F12" s="98" t="s">
        <v>156</v>
      </c>
      <c r="G12" s="98"/>
      <c r="H12" s="98"/>
      <c r="I12" s="98" t="s">
        <v>194</v>
      </c>
      <c r="J12" s="98"/>
      <c r="K12" s="98"/>
      <c r="L12" s="98"/>
    </row>
    <row r="13" customFormat="false" ht="15.6" hidden="false" customHeight="false" outlineLevel="0" collapsed="false">
      <c r="A13" s="97" t="s">
        <v>289</v>
      </c>
      <c r="B13" s="98" t="s">
        <v>199</v>
      </c>
      <c r="C13" s="98" t="s">
        <v>200</v>
      </c>
      <c r="D13" s="97" t="s">
        <v>201</v>
      </c>
      <c r="E13" s="97" t="s">
        <v>202</v>
      </c>
      <c r="F13" s="97" t="s">
        <v>43</v>
      </c>
      <c r="G13" s="97" t="s">
        <v>44</v>
      </c>
      <c r="H13" s="97" t="s">
        <v>159</v>
      </c>
      <c r="I13" s="97" t="s">
        <v>193</v>
      </c>
      <c r="J13" s="97" t="s">
        <v>43</v>
      </c>
      <c r="K13" s="97" t="s">
        <v>44</v>
      </c>
      <c r="L13" s="97" t="s">
        <v>159</v>
      </c>
      <c r="N13" s="434"/>
    </row>
    <row r="14" customFormat="false" ht="13.8" hidden="false" customHeight="false" outlineLevel="0" collapsed="false">
      <c r="A14" s="97"/>
      <c r="B14" s="436" t="n">
        <v>39083</v>
      </c>
      <c r="C14" s="436" t="n">
        <v>39141</v>
      </c>
      <c r="D14" s="147" t="n">
        <f aca="false">SUM(D7,D9)</f>
        <v>545</v>
      </c>
      <c r="E14" s="147" t="n">
        <f aca="false">+D14</f>
        <v>545</v>
      </c>
      <c r="F14" s="108" t="n">
        <f aca="false">SUM(F7,F9)</f>
        <v>25.09</v>
      </c>
      <c r="G14" s="147" t="n">
        <f aca="false">+E14-F14</f>
        <v>519.91</v>
      </c>
      <c r="H14" s="105" t="n">
        <f aca="false">+F14/E14</f>
        <v>0.0460366972477064</v>
      </c>
      <c r="I14" s="147" t="n">
        <f aca="false">SUM(D14:D15)</f>
        <v>1092</v>
      </c>
      <c r="J14" s="108" t="n">
        <f aca="false">SUM(F14:F15)</f>
        <v>1051.96</v>
      </c>
      <c r="K14" s="147" t="n">
        <f aca="false">+I14-J14</f>
        <v>40.0400000000002</v>
      </c>
      <c r="L14" s="315" t="n">
        <f aca="false">+J14/I14</f>
        <v>0.963333333333333</v>
      </c>
    </row>
    <row r="15" customFormat="false" ht="13.8" hidden="false" customHeight="false" outlineLevel="0" collapsed="false">
      <c r="A15" s="97"/>
      <c r="B15" s="436" t="n">
        <v>39142</v>
      </c>
      <c r="C15" s="436" t="n">
        <v>39447</v>
      </c>
      <c r="D15" s="147" t="n">
        <f aca="false">SUM(D8,D10)</f>
        <v>547</v>
      </c>
      <c r="E15" s="147" t="n">
        <f aca="false">+D15+G14</f>
        <v>1066.91</v>
      </c>
      <c r="F15" s="108" t="n">
        <f aca="false">SUM(F8,F10)</f>
        <v>1026.87</v>
      </c>
      <c r="G15" s="147" t="n">
        <f aca="false">+E15-F15</f>
        <v>40.04</v>
      </c>
      <c r="H15" s="105" t="n">
        <f aca="false">+F15/E15</f>
        <v>0.962471061289143</v>
      </c>
      <c r="I15" s="147"/>
      <c r="J15" s="108"/>
      <c r="K15" s="147"/>
      <c r="L15" s="315"/>
    </row>
    <row r="16" customFormat="false" ht="13.8" hidden="false" customHeight="false" outlineLevel="0" collapsed="false">
      <c r="A16" s="307"/>
      <c r="B16" s="307"/>
      <c r="C16" s="307"/>
      <c r="D16" s="307"/>
      <c r="E16" s="307"/>
      <c r="F16" s="307"/>
      <c r="G16" s="307"/>
      <c r="H16" s="307"/>
      <c r="I16" s="308"/>
      <c r="J16" s="308"/>
      <c r="K16" s="308"/>
      <c r="L16" s="310"/>
    </row>
    <row r="17" customFormat="false" ht="15.6" hidden="false" customHeight="false" outlineLevel="0" collapsed="false">
      <c r="A17" s="98" t="s">
        <v>290</v>
      </c>
      <c r="B17" s="98" t="s">
        <v>192</v>
      </c>
      <c r="C17" s="98"/>
      <c r="D17" s="98" t="s">
        <v>193</v>
      </c>
      <c r="E17" s="98"/>
      <c r="F17" s="98" t="s">
        <v>156</v>
      </c>
      <c r="G17" s="98"/>
      <c r="H17" s="98"/>
      <c r="I17" s="98" t="s">
        <v>194</v>
      </c>
      <c r="J17" s="98"/>
      <c r="K17" s="98"/>
      <c r="L17" s="98"/>
    </row>
    <row r="18" customFormat="false" ht="15.6" hidden="false" customHeight="false" outlineLevel="0" collapsed="false">
      <c r="A18" s="357" t="s">
        <v>150</v>
      </c>
      <c r="B18" s="53" t="s">
        <v>199</v>
      </c>
      <c r="C18" s="53" t="s">
        <v>200</v>
      </c>
      <c r="D18" s="51" t="s">
        <v>201</v>
      </c>
      <c r="E18" s="51" t="s">
        <v>202</v>
      </c>
      <c r="F18" s="51" t="s">
        <v>43</v>
      </c>
      <c r="G18" s="51" t="s">
        <v>44</v>
      </c>
      <c r="H18" s="51" t="s">
        <v>159</v>
      </c>
      <c r="I18" s="51" t="s">
        <v>193</v>
      </c>
      <c r="J18" s="51" t="s">
        <v>43</v>
      </c>
      <c r="K18" s="51" t="s">
        <v>44</v>
      </c>
      <c r="L18" s="51" t="s">
        <v>159</v>
      </c>
    </row>
    <row r="19" customFormat="false" ht="21.9" hidden="false" customHeight="true" outlineLevel="0" collapsed="false">
      <c r="A19" s="316" t="s">
        <v>287</v>
      </c>
      <c r="B19" s="275" t="n">
        <v>39083</v>
      </c>
      <c r="C19" s="275" t="n">
        <v>39141</v>
      </c>
      <c r="D19" s="277" t="n">
        <v>250.971</v>
      </c>
      <c r="E19" s="277" t="n">
        <f aca="false">+D19</f>
        <v>250.971</v>
      </c>
      <c r="F19" s="411" t="n">
        <v>1.338</v>
      </c>
      <c r="G19" s="390" t="n">
        <f aca="false">+E19-F19</f>
        <v>249.633</v>
      </c>
      <c r="H19" s="279" t="n">
        <f aca="false">+F19/E19</f>
        <v>0.00533129325698985</v>
      </c>
      <c r="I19" s="397" t="n">
        <f aca="false">SUM(D19:D20)</f>
        <v>502.726</v>
      </c>
      <c r="J19" s="337" t="n">
        <f aca="false">SUM(F19:F20)</f>
        <v>462.843</v>
      </c>
      <c r="K19" s="397" t="n">
        <f aca="false">+I19-J19</f>
        <v>39.883</v>
      </c>
      <c r="L19" s="282" t="n">
        <f aca="false">+J19/I19</f>
        <v>0.920666526099705</v>
      </c>
      <c r="N19" s="437"/>
    </row>
    <row r="20" customFormat="false" ht="21.9" hidden="false" customHeight="true" outlineLevel="0" collapsed="false">
      <c r="A20" s="316"/>
      <c r="B20" s="285" t="n">
        <v>39142</v>
      </c>
      <c r="C20" s="285" t="n">
        <v>39447</v>
      </c>
      <c r="D20" s="317" t="n">
        <v>251.755</v>
      </c>
      <c r="E20" s="317" t="n">
        <f aca="false">+D20+G19</f>
        <v>501.388</v>
      </c>
      <c r="F20" s="421" t="n">
        <v>461.505</v>
      </c>
      <c r="G20" s="433" t="n">
        <f aca="false">+E20-F20</f>
        <v>39.883</v>
      </c>
      <c r="H20" s="288" t="n">
        <f aca="false">+F20/E20</f>
        <v>0.920454817426823</v>
      </c>
      <c r="I20" s="397"/>
      <c r="J20" s="337"/>
      <c r="K20" s="397"/>
      <c r="L20" s="282"/>
      <c r="M20" s="438"/>
      <c r="N20" s="283"/>
    </row>
    <row r="21" customFormat="false" ht="21.9" hidden="false" customHeight="true" outlineLevel="0" collapsed="false">
      <c r="A21" s="319" t="s">
        <v>288</v>
      </c>
      <c r="B21" s="275" t="n">
        <v>39083</v>
      </c>
      <c r="C21" s="275" t="n">
        <v>39141</v>
      </c>
      <c r="D21" s="277" t="n">
        <v>73.037</v>
      </c>
      <c r="E21" s="277" t="n">
        <f aca="false">+D21</f>
        <v>73.037</v>
      </c>
      <c r="F21" s="411"/>
      <c r="G21" s="390" t="n">
        <f aca="false">+E21-F21</f>
        <v>73.037</v>
      </c>
      <c r="H21" s="279" t="n">
        <f aca="false">+F21/E21</f>
        <v>0</v>
      </c>
      <c r="I21" s="380" t="n">
        <f aca="false">SUM(D21:D22)</f>
        <v>146.274</v>
      </c>
      <c r="J21" s="343" t="n">
        <f aca="false">SUM(F21:F22)</f>
        <v>28.272</v>
      </c>
      <c r="K21" s="380" t="n">
        <f aca="false">+I21-J21</f>
        <v>118.002</v>
      </c>
      <c r="L21" s="321" t="n">
        <f aca="false">+J21/I21</f>
        <v>0.193281102588293</v>
      </c>
      <c r="M21" s="438"/>
      <c r="N21" s="283"/>
    </row>
    <row r="22" customFormat="false" ht="21.9" hidden="false" customHeight="true" outlineLevel="0" collapsed="false">
      <c r="A22" s="319"/>
      <c r="B22" s="300" t="n">
        <v>39142</v>
      </c>
      <c r="C22" s="300" t="n">
        <v>39447</v>
      </c>
      <c r="D22" s="322" t="n">
        <v>73.237</v>
      </c>
      <c r="E22" s="322" t="n">
        <f aca="false">+D22+G21</f>
        <v>146.274</v>
      </c>
      <c r="F22" s="416" t="n">
        <v>28.272</v>
      </c>
      <c r="G22" s="435" t="n">
        <f aca="false">+E22-F22</f>
        <v>118.002</v>
      </c>
      <c r="H22" s="303" t="n">
        <f aca="false">+F22/E22</f>
        <v>0.193281102588293</v>
      </c>
      <c r="I22" s="380"/>
      <c r="J22" s="343"/>
      <c r="K22" s="380"/>
      <c r="L22" s="321"/>
    </row>
    <row r="23" customFormat="false" ht="13.8" hidden="false" customHeight="false" outlineLevel="0" collapsed="false">
      <c r="A23" s="307"/>
      <c r="B23" s="307"/>
      <c r="C23" s="307"/>
      <c r="D23" s="307"/>
      <c r="E23" s="307"/>
      <c r="F23" s="307"/>
      <c r="G23" s="307"/>
      <c r="H23" s="307"/>
      <c r="I23" s="308"/>
      <c r="J23" s="308"/>
      <c r="K23" s="308"/>
      <c r="L23" s="310"/>
    </row>
    <row r="24" customFormat="false" ht="15.6" hidden="false" customHeight="false" outlineLevel="0" collapsed="false">
      <c r="A24" s="98" t="s">
        <v>173</v>
      </c>
      <c r="B24" s="98" t="s">
        <v>192</v>
      </c>
      <c r="C24" s="98"/>
      <c r="D24" s="98" t="s">
        <v>193</v>
      </c>
      <c r="E24" s="98"/>
      <c r="F24" s="98" t="s">
        <v>156</v>
      </c>
      <c r="G24" s="98"/>
      <c r="H24" s="98"/>
      <c r="I24" s="98" t="s">
        <v>194</v>
      </c>
      <c r="J24" s="98"/>
      <c r="K24" s="98"/>
      <c r="L24" s="98"/>
    </row>
    <row r="25" customFormat="false" ht="15.6" hidden="false" customHeight="false" outlineLevel="0" collapsed="false">
      <c r="A25" s="97" t="s">
        <v>290</v>
      </c>
      <c r="B25" s="98" t="s">
        <v>199</v>
      </c>
      <c r="C25" s="98" t="s">
        <v>200</v>
      </c>
      <c r="D25" s="97" t="s">
        <v>201</v>
      </c>
      <c r="E25" s="97" t="s">
        <v>202</v>
      </c>
      <c r="F25" s="97" t="s">
        <v>43</v>
      </c>
      <c r="G25" s="97" t="s">
        <v>44</v>
      </c>
      <c r="H25" s="97" t="s">
        <v>159</v>
      </c>
      <c r="I25" s="97" t="s">
        <v>193</v>
      </c>
      <c r="J25" s="97" t="s">
        <v>43</v>
      </c>
      <c r="K25" s="97" t="s">
        <v>44</v>
      </c>
      <c r="L25" s="97" t="s">
        <v>159</v>
      </c>
    </row>
    <row r="26" customFormat="false" ht="13.8" hidden="false" customHeight="false" outlineLevel="0" collapsed="false">
      <c r="A26" s="97"/>
      <c r="B26" s="436" t="n">
        <v>39083</v>
      </c>
      <c r="C26" s="436" t="n">
        <v>39141</v>
      </c>
      <c r="D26" s="147" t="n">
        <f aca="false">SUM(D19,D21)</f>
        <v>324.008</v>
      </c>
      <c r="E26" s="147" t="n">
        <f aca="false">+D26</f>
        <v>324.008</v>
      </c>
      <c r="F26" s="108" t="n">
        <f aca="false">SUM(F19,F21)</f>
        <v>1.338</v>
      </c>
      <c r="G26" s="147" t="n">
        <f aca="false">+E26-F26</f>
        <v>322.67</v>
      </c>
      <c r="H26" s="105" t="n">
        <f aca="false">+F26/E26</f>
        <v>0.00412952766598356</v>
      </c>
      <c r="I26" s="147" t="n">
        <f aca="false">SUM(D26:D27)</f>
        <v>649</v>
      </c>
      <c r="J26" s="108" t="n">
        <f aca="false">SUM(F26:F27)</f>
        <v>491.115</v>
      </c>
      <c r="K26" s="147" t="n">
        <f aca="false">+I26-J26</f>
        <v>157.885</v>
      </c>
      <c r="L26" s="315" t="n">
        <f aca="false">+J26/I26</f>
        <v>0.756725731895223</v>
      </c>
    </row>
    <row r="27" customFormat="false" ht="13.8" hidden="false" customHeight="false" outlineLevel="0" collapsed="false">
      <c r="A27" s="97"/>
      <c r="B27" s="436" t="n">
        <v>39142</v>
      </c>
      <c r="C27" s="436" t="n">
        <v>39447</v>
      </c>
      <c r="D27" s="147" t="n">
        <f aca="false">SUM(D20,D22)</f>
        <v>324.992</v>
      </c>
      <c r="E27" s="147" t="n">
        <f aca="false">+D27+G26</f>
        <v>647.662</v>
      </c>
      <c r="F27" s="108" t="n">
        <f aca="false">SUM(F20,F22)</f>
        <v>489.777</v>
      </c>
      <c r="G27" s="147" t="n">
        <f aca="false">+E27-F27</f>
        <v>157.885</v>
      </c>
      <c r="H27" s="105" t="n">
        <f aca="false">+F27/E27</f>
        <v>0.756223153434971</v>
      </c>
      <c r="I27" s="147"/>
      <c r="J27" s="108"/>
      <c r="K27" s="147"/>
      <c r="L27" s="315"/>
    </row>
    <row r="28" customFormat="false" ht="13.8" hidden="false" customHeight="fals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customFormat="false" ht="13.8" hidden="false" customHeight="fals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customFormat="false" ht="13.8" hidden="false" customHeight="fals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</row>
  </sheetData>
  <mergeCells count="51">
    <mergeCell ref="A2:L2"/>
    <mergeCell ref="A3:L3"/>
    <mergeCell ref="B4:E4"/>
    <mergeCell ref="B5:C5"/>
    <mergeCell ref="D5:E5"/>
    <mergeCell ref="F5:H5"/>
    <mergeCell ref="I5:L5"/>
    <mergeCell ref="A7:A8"/>
    <mergeCell ref="I7:I8"/>
    <mergeCell ref="J7:J8"/>
    <mergeCell ref="K7:K8"/>
    <mergeCell ref="L7:L8"/>
    <mergeCell ref="A9:A10"/>
    <mergeCell ref="I9:I10"/>
    <mergeCell ref="J9:J10"/>
    <mergeCell ref="K9:K10"/>
    <mergeCell ref="L9:L10"/>
    <mergeCell ref="A11:H11"/>
    <mergeCell ref="B12:C12"/>
    <mergeCell ref="D12:E12"/>
    <mergeCell ref="F12:H12"/>
    <mergeCell ref="I12:L12"/>
    <mergeCell ref="A13:A15"/>
    <mergeCell ref="I14:I15"/>
    <mergeCell ref="J14:J15"/>
    <mergeCell ref="K14:K15"/>
    <mergeCell ref="L14:L15"/>
    <mergeCell ref="B17:C17"/>
    <mergeCell ref="D17:E17"/>
    <mergeCell ref="F17:H17"/>
    <mergeCell ref="I17:L17"/>
    <mergeCell ref="A19:A20"/>
    <mergeCell ref="I19:I20"/>
    <mergeCell ref="J19:J20"/>
    <mergeCell ref="K19:K20"/>
    <mergeCell ref="L19:L20"/>
    <mergeCell ref="A21:A22"/>
    <mergeCell ref="I21:I22"/>
    <mergeCell ref="J21:J22"/>
    <mergeCell ref="K21:K22"/>
    <mergeCell ref="L21:L22"/>
    <mergeCell ref="A23:H23"/>
    <mergeCell ref="B24:C24"/>
    <mergeCell ref="D24:E24"/>
    <mergeCell ref="F24:H24"/>
    <mergeCell ref="I24:L24"/>
    <mergeCell ref="A25:A27"/>
    <mergeCell ref="I26:I27"/>
    <mergeCell ref="J26:J27"/>
    <mergeCell ref="K26:K27"/>
    <mergeCell ref="L26:L27"/>
  </mergeCells>
  <printOptions headings="false" gridLines="false" gridLinesSet="true" horizontalCentered="false" verticalCentered="false"/>
  <pageMargins left="0.747916666666667" right="0.259722222222222" top="0.35" bottom="0.2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6" colorId="64" zoomScale="80" zoomScaleNormal="80" zoomScalePageLayoutView="100" workbookViewId="0">
      <selection pane="topLeft" activeCell="N36" activeCellId="0" sqref="N36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27.55"/>
    <col collapsed="false" customWidth="true" hidden="false" outlineLevel="0" max="2" min="2" style="428" width="6.87"/>
    <col collapsed="false" customWidth="true" hidden="false" outlineLevel="0" max="3" min="3" style="428" width="6.99"/>
    <col collapsed="false" customWidth="true" hidden="false" outlineLevel="0" max="4" min="4" style="428" width="9.99"/>
    <col collapsed="false" customWidth="true" hidden="false" outlineLevel="0" max="5" min="5" style="428" width="8.99"/>
    <col collapsed="false" customWidth="true" hidden="false" outlineLevel="0" max="6" min="6" style="428" width="19.99"/>
    <col collapsed="false" customWidth="true" hidden="false" outlineLevel="0" max="7" min="7" style="428" width="11.87"/>
    <col collapsed="false" customWidth="true" hidden="false" outlineLevel="0" max="8" min="8" style="428" width="13.99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3.99"/>
    <col collapsed="false" customWidth="false" hidden="false" outlineLevel="0" max="257" min="13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customFormat="false" ht="15.6" hidden="false" customHeight="false" outlineLevel="0" collapsed="false">
      <c r="A2" s="45" t="s">
        <v>291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customFormat="false" ht="13.8" hidden="false" customHeight="false" outlineLevel="0" collapsed="false">
      <c r="A4" s="439"/>
      <c r="B4" s="142"/>
      <c r="C4" s="142"/>
      <c r="D4" s="142"/>
      <c r="E4" s="440"/>
      <c r="F4" s="441"/>
      <c r="G4" s="440"/>
      <c r="H4" s="441"/>
      <c r="I4" s="269"/>
      <c r="J4" s="269"/>
      <c r="K4" s="269"/>
      <c r="L4" s="269"/>
    </row>
    <row r="5" customFormat="false" ht="15.6" hidden="false" customHeight="true" outlineLevel="0" collapsed="false">
      <c r="A5" s="98" t="s">
        <v>292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</row>
    <row r="7" customFormat="false" ht="14.4" hidden="false" customHeight="true" outlineLevel="0" collapsed="false">
      <c r="A7" s="316" t="s">
        <v>293</v>
      </c>
      <c r="B7" s="442" t="n">
        <v>39173</v>
      </c>
      <c r="C7" s="442" t="n">
        <v>39263</v>
      </c>
      <c r="D7" s="369" t="n">
        <v>76.682</v>
      </c>
      <c r="E7" s="369" t="n">
        <f aca="false">+D7</f>
        <v>76.682</v>
      </c>
      <c r="F7" s="370" t="n">
        <v>13.549</v>
      </c>
      <c r="G7" s="371" t="n">
        <f aca="false">+E7-F7</f>
        <v>63.133</v>
      </c>
      <c r="H7" s="372" t="n">
        <f aca="false">+F7/E7</f>
        <v>0.17669074880676</v>
      </c>
      <c r="I7" s="338" t="n">
        <f aca="false">(SUM(D7:D9))</f>
        <v>153.287</v>
      </c>
      <c r="J7" s="338" t="n">
        <f aca="false">SUM(F7:F9)</f>
        <v>77.418</v>
      </c>
      <c r="K7" s="338" t="n">
        <f aca="false">+I7-J7</f>
        <v>75.869</v>
      </c>
      <c r="L7" s="282" t="n">
        <f aca="false">+J7/I7</f>
        <v>0.505052613724582</v>
      </c>
      <c r="N7" s="283"/>
    </row>
    <row r="8" customFormat="false" ht="14.4" hidden="false" customHeight="false" outlineLevel="0" collapsed="false">
      <c r="A8" s="316"/>
      <c r="B8" s="443" t="n">
        <v>39264</v>
      </c>
      <c r="C8" s="443" t="n">
        <v>39355</v>
      </c>
      <c r="D8" s="215" t="n">
        <v>45.993</v>
      </c>
      <c r="E8" s="215" t="n">
        <f aca="false">+D8+G7</f>
        <v>109.126</v>
      </c>
      <c r="F8" s="222" t="n">
        <v>62.187</v>
      </c>
      <c r="G8" s="178" t="n">
        <f aca="false">+E8-F8</f>
        <v>46.939</v>
      </c>
      <c r="H8" s="179" t="n">
        <f aca="false">+F8/E8</f>
        <v>0.569864193684365</v>
      </c>
      <c r="I8" s="338"/>
      <c r="J8" s="338"/>
      <c r="K8" s="338"/>
      <c r="L8" s="282"/>
      <c r="N8" s="444"/>
    </row>
    <row r="9" customFormat="false" ht="13.8" hidden="false" customHeight="false" outlineLevel="0" collapsed="false">
      <c r="A9" s="316"/>
      <c r="B9" s="445" t="n">
        <v>39356</v>
      </c>
      <c r="C9" s="445" t="n">
        <v>39447</v>
      </c>
      <c r="D9" s="375" t="n">
        <v>30.612</v>
      </c>
      <c r="E9" s="375" t="n">
        <f aca="false">+D9+G8</f>
        <v>77.551</v>
      </c>
      <c r="F9" s="376" t="n">
        <v>1.682</v>
      </c>
      <c r="G9" s="232" t="n">
        <f aca="false">+E9-F9</f>
        <v>75.869</v>
      </c>
      <c r="H9" s="233" t="n">
        <f aca="false">+F9/E9</f>
        <v>0.0216889530760403</v>
      </c>
      <c r="I9" s="338"/>
      <c r="J9" s="338"/>
      <c r="K9" s="338"/>
      <c r="L9" s="282"/>
      <c r="M9" s="438"/>
    </row>
    <row r="10" customFormat="false" ht="14.4" hidden="false" customHeight="true" outlineLevel="0" collapsed="false">
      <c r="A10" s="316" t="s">
        <v>271</v>
      </c>
      <c r="B10" s="442" t="n">
        <v>39173</v>
      </c>
      <c r="C10" s="442" t="n">
        <v>39263</v>
      </c>
      <c r="D10" s="369" t="n">
        <v>51.865</v>
      </c>
      <c r="E10" s="369" t="n">
        <f aca="false">+D10</f>
        <v>51.865</v>
      </c>
      <c r="F10" s="370" t="n">
        <v>57.641</v>
      </c>
      <c r="G10" s="371" t="n">
        <f aca="false">+E10-F10</f>
        <v>-5.776</v>
      </c>
      <c r="H10" s="372" t="n">
        <f aca="false">+F10/E10</f>
        <v>1.11136604646679</v>
      </c>
      <c r="I10" s="338" t="n">
        <f aca="false">SUM(D10:D12)</f>
        <v>103.677</v>
      </c>
      <c r="J10" s="338" t="n">
        <f aca="false">SUM(F10:F12)</f>
        <v>73.896</v>
      </c>
      <c r="K10" s="338" t="n">
        <f aca="false">+I10-J10</f>
        <v>29.781</v>
      </c>
      <c r="L10" s="282" t="n">
        <f aca="false">+J10/I10</f>
        <v>0.712752105095634</v>
      </c>
      <c r="N10" s="403"/>
    </row>
    <row r="11" customFormat="false" ht="13.8" hidden="false" customHeight="false" outlineLevel="0" collapsed="false">
      <c r="A11" s="316"/>
      <c r="B11" s="443" t="n">
        <v>39264</v>
      </c>
      <c r="C11" s="443" t="n">
        <v>39355</v>
      </c>
      <c r="D11" s="215" t="n">
        <v>31.108</v>
      </c>
      <c r="E11" s="215" t="n">
        <f aca="false">+D11+G10</f>
        <v>25.332</v>
      </c>
      <c r="F11" s="222" t="n">
        <v>7.984</v>
      </c>
      <c r="G11" s="178" t="n">
        <f aca="false">+E11-F11</f>
        <v>17.348</v>
      </c>
      <c r="H11" s="179" t="n">
        <f aca="false">+F11/E11</f>
        <v>0.315174482867519</v>
      </c>
      <c r="I11" s="338"/>
      <c r="J11" s="338"/>
      <c r="K11" s="338"/>
      <c r="L11" s="282"/>
    </row>
    <row r="12" customFormat="false" ht="13.8" hidden="false" customHeight="false" outlineLevel="0" collapsed="false">
      <c r="A12" s="316"/>
      <c r="B12" s="445" t="n">
        <v>39356</v>
      </c>
      <c r="C12" s="445" t="n">
        <v>39447</v>
      </c>
      <c r="D12" s="375" t="n">
        <v>20.704</v>
      </c>
      <c r="E12" s="375" t="n">
        <f aca="false">+D12+G11</f>
        <v>38.052</v>
      </c>
      <c r="F12" s="376" t="n">
        <v>8.271</v>
      </c>
      <c r="G12" s="232" t="n">
        <f aca="false">+E12-F12</f>
        <v>29.781</v>
      </c>
      <c r="H12" s="233" t="n">
        <f aca="false">+F12/E12</f>
        <v>0.217360454115421</v>
      </c>
      <c r="I12" s="338"/>
      <c r="J12" s="338"/>
      <c r="K12" s="338"/>
      <c r="L12" s="282"/>
    </row>
    <row r="13" customFormat="false" ht="14.4" hidden="false" customHeight="true" outlineLevel="0" collapsed="false">
      <c r="A13" s="316" t="s">
        <v>294</v>
      </c>
      <c r="B13" s="442" t="n">
        <v>39173</v>
      </c>
      <c r="C13" s="442" t="n">
        <v>39263</v>
      </c>
      <c r="D13" s="369" t="n">
        <v>388.023</v>
      </c>
      <c r="E13" s="369" t="n">
        <f aca="false">+D13</f>
        <v>388.023</v>
      </c>
      <c r="F13" s="370" t="n">
        <v>354.025</v>
      </c>
      <c r="G13" s="371" t="n">
        <f aca="false">+E13-F13</f>
        <v>33.9980000000001</v>
      </c>
      <c r="H13" s="372" t="n">
        <f aca="false">+F13/E13</f>
        <v>0.912381482540983</v>
      </c>
      <c r="I13" s="338" t="n">
        <f aca="false">SUM(D13:D15)</f>
        <v>775.655</v>
      </c>
      <c r="J13" s="338" t="n">
        <f aca="false">SUM(F13:F15)</f>
        <v>647.284</v>
      </c>
      <c r="K13" s="338" t="n">
        <f aca="false">+I13-J13</f>
        <v>128.371</v>
      </c>
      <c r="L13" s="282" t="n">
        <f aca="false">+J13/I13</f>
        <v>0.834499874299785</v>
      </c>
      <c r="N13" s="403"/>
    </row>
    <row r="14" customFormat="false" ht="13.8" hidden="false" customHeight="false" outlineLevel="0" collapsed="false">
      <c r="A14" s="316"/>
      <c r="B14" s="443" t="n">
        <v>39264</v>
      </c>
      <c r="C14" s="443" t="n">
        <v>39355</v>
      </c>
      <c r="D14" s="215" t="n">
        <v>232.736</v>
      </c>
      <c r="E14" s="215" t="n">
        <f aca="false">+D14+G13</f>
        <v>266.734</v>
      </c>
      <c r="F14" s="222" t="n">
        <v>122.126</v>
      </c>
      <c r="G14" s="178" t="n">
        <f aca="false">+E14-F14</f>
        <v>144.608</v>
      </c>
      <c r="H14" s="179" t="n">
        <f aca="false">+F14/E14</f>
        <v>0.457856891134988</v>
      </c>
      <c r="I14" s="338"/>
      <c r="J14" s="338"/>
      <c r="K14" s="338"/>
      <c r="L14" s="282"/>
      <c r="M14" s="438"/>
    </row>
    <row r="15" customFormat="false" ht="13.8" hidden="false" customHeight="false" outlineLevel="0" collapsed="false">
      <c r="A15" s="316"/>
      <c r="B15" s="445" t="n">
        <v>39356</v>
      </c>
      <c r="C15" s="445" t="n">
        <v>39447</v>
      </c>
      <c r="D15" s="375" t="n">
        <v>154.896</v>
      </c>
      <c r="E15" s="375" t="n">
        <f aca="false">+D15+G14</f>
        <v>299.504</v>
      </c>
      <c r="F15" s="376" t="n">
        <v>171.133</v>
      </c>
      <c r="G15" s="232" t="n">
        <f aca="false">+E15-F15</f>
        <v>128.371</v>
      </c>
      <c r="H15" s="233" t="n">
        <f aca="false">+F15/E15</f>
        <v>0.571388028206635</v>
      </c>
      <c r="I15" s="338"/>
      <c r="J15" s="338"/>
      <c r="K15" s="338"/>
      <c r="L15" s="282"/>
    </row>
    <row r="16" customFormat="false" ht="14.4" hidden="false" customHeight="true" outlineLevel="0" collapsed="false">
      <c r="A16" s="319" t="s">
        <v>273</v>
      </c>
      <c r="B16" s="442" t="n">
        <v>39173</v>
      </c>
      <c r="C16" s="442" t="n">
        <v>39263</v>
      </c>
      <c r="D16" s="370" t="n">
        <v>27.992</v>
      </c>
      <c r="E16" s="369" t="n">
        <f aca="false">+D16</f>
        <v>27.992</v>
      </c>
      <c r="F16" s="370" t="n">
        <v>14.948</v>
      </c>
      <c r="G16" s="371" t="n">
        <f aca="false">+E16-F16</f>
        <v>13.044</v>
      </c>
      <c r="H16" s="372" t="n">
        <f aca="false">+F16/E16</f>
        <v>0.534009717062018</v>
      </c>
      <c r="I16" s="344" t="n">
        <f aca="false">SUM(D16:D18)</f>
        <v>55.956</v>
      </c>
      <c r="J16" s="344" t="n">
        <f aca="false">SUM(F16:F18)</f>
        <v>34.003</v>
      </c>
      <c r="K16" s="344" t="n">
        <f aca="false">+I16-J16</f>
        <v>21.953</v>
      </c>
      <c r="L16" s="321" t="n">
        <f aca="false">+J16/I16</f>
        <v>0.607673886625206</v>
      </c>
      <c r="N16" s="403"/>
    </row>
    <row r="17" customFormat="false" ht="13.8" hidden="false" customHeight="false" outlineLevel="0" collapsed="false">
      <c r="A17" s="319"/>
      <c r="B17" s="443" t="n">
        <v>39264</v>
      </c>
      <c r="C17" s="443" t="n">
        <v>39355</v>
      </c>
      <c r="D17" s="222" t="n">
        <v>16.79</v>
      </c>
      <c r="E17" s="215" t="n">
        <f aca="false">+D17+G16</f>
        <v>29.834</v>
      </c>
      <c r="F17" s="222"/>
      <c r="G17" s="178" t="n">
        <f aca="false">+E17-F17</f>
        <v>29.834</v>
      </c>
      <c r="H17" s="179" t="n">
        <f aca="false">+F17/E17</f>
        <v>0</v>
      </c>
      <c r="I17" s="344"/>
      <c r="J17" s="344"/>
      <c r="K17" s="344"/>
      <c r="L17" s="321"/>
      <c r="M17" s="438"/>
    </row>
    <row r="18" customFormat="false" ht="13.8" hidden="false" customHeight="false" outlineLevel="0" collapsed="false">
      <c r="A18" s="319"/>
      <c r="B18" s="446" t="n">
        <v>39356</v>
      </c>
      <c r="C18" s="446" t="n">
        <v>39447</v>
      </c>
      <c r="D18" s="381" t="n">
        <v>11.174</v>
      </c>
      <c r="E18" s="377" t="n">
        <f aca="false">+D18+G17</f>
        <v>41.008</v>
      </c>
      <c r="F18" s="381" t="n">
        <v>19.055</v>
      </c>
      <c r="G18" s="378" t="n">
        <f aca="false">+E18-F18</f>
        <v>21.953</v>
      </c>
      <c r="H18" s="379" t="n">
        <f aca="false">+F18/E18</f>
        <v>0.464665431135388</v>
      </c>
      <c r="I18" s="344"/>
      <c r="J18" s="344"/>
      <c r="K18" s="344"/>
      <c r="L18" s="321"/>
    </row>
    <row r="19" customFormat="false" ht="14.4" hidden="false" customHeight="true" outlineLevel="0" collapsed="false">
      <c r="A19" s="319" t="s">
        <v>274</v>
      </c>
      <c r="B19" s="442" t="n">
        <v>39173</v>
      </c>
      <c r="C19" s="442" t="n">
        <v>39263</v>
      </c>
      <c r="D19" s="369" t="n">
        <v>407.818</v>
      </c>
      <c r="E19" s="369" t="n">
        <f aca="false">+D19</f>
        <v>407.818</v>
      </c>
      <c r="F19" s="370" t="n">
        <v>379.189</v>
      </c>
      <c r="G19" s="371" t="n">
        <f aca="false">+E19-F19</f>
        <v>28.629</v>
      </c>
      <c r="H19" s="372" t="n">
        <f aca="false">+F19/E19</f>
        <v>0.92979956745411</v>
      </c>
      <c r="I19" s="344" t="n">
        <f aca="false">SUM(D19:D21)</f>
        <v>815.224</v>
      </c>
      <c r="J19" s="344" t="n">
        <f aca="false">SUM(F19:F21)</f>
        <v>809.792</v>
      </c>
      <c r="K19" s="344" t="n">
        <f aca="false">+I19-J19</f>
        <v>5.4319999999999</v>
      </c>
      <c r="L19" s="321" t="n">
        <f aca="false">+J19/I19</f>
        <v>0.993336800683003</v>
      </c>
      <c r="N19" s="403"/>
    </row>
    <row r="20" customFormat="false" ht="13.8" hidden="false" customHeight="false" outlineLevel="0" collapsed="false">
      <c r="A20" s="319"/>
      <c r="B20" s="443" t="n">
        <v>39264</v>
      </c>
      <c r="C20" s="443" t="n">
        <v>39355</v>
      </c>
      <c r="D20" s="215" t="n">
        <v>244.608</v>
      </c>
      <c r="E20" s="215" t="n">
        <f aca="false">+D20+G19</f>
        <v>273.237</v>
      </c>
      <c r="F20" s="222" t="n">
        <v>266.841</v>
      </c>
      <c r="G20" s="178" t="n">
        <f aca="false">+E20-F20</f>
        <v>6.39599999999996</v>
      </c>
      <c r="H20" s="179" t="n">
        <f aca="false">+F20/E20</f>
        <v>0.976591750019214</v>
      </c>
      <c r="I20" s="344"/>
      <c r="J20" s="344"/>
      <c r="K20" s="344"/>
      <c r="L20" s="321"/>
      <c r="M20" s="304" t="s">
        <v>269</v>
      </c>
    </row>
    <row r="21" customFormat="false" ht="13.8" hidden="false" customHeight="false" outlineLevel="0" collapsed="false">
      <c r="A21" s="319"/>
      <c r="B21" s="446" t="n">
        <v>39356</v>
      </c>
      <c r="C21" s="446" t="n">
        <v>39447</v>
      </c>
      <c r="D21" s="377" t="n">
        <v>162.798</v>
      </c>
      <c r="E21" s="377" t="n">
        <f aca="false">+D21+G20</f>
        <v>169.194</v>
      </c>
      <c r="F21" s="381" t="n">
        <v>163.762</v>
      </c>
      <c r="G21" s="378" t="n">
        <f aca="false">+E21-F21</f>
        <v>5.43199999999996</v>
      </c>
      <c r="H21" s="379" t="n">
        <f aca="false">+F21/E21</f>
        <v>0.967894842606712</v>
      </c>
      <c r="I21" s="344"/>
      <c r="J21" s="344"/>
      <c r="K21" s="344"/>
      <c r="L21" s="321"/>
      <c r="M21" s="438"/>
    </row>
    <row r="22" customFormat="false" ht="14.4" hidden="false" customHeight="true" outlineLevel="0" collapsed="false">
      <c r="A22" s="324" t="s">
        <v>279</v>
      </c>
      <c r="B22" s="447" t="n">
        <v>39173</v>
      </c>
      <c r="C22" s="447" t="n">
        <v>39263</v>
      </c>
      <c r="D22" s="384" t="n">
        <v>6.96</v>
      </c>
      <c r="E22" s="384" t="n">
        <f aca="false">+D22</f>
        <v>6.96</v>
      </c>
      <c r="F22" s="385" t="n">
        <v>3.59</v>
      </c>
      <c r="G22" s="386" t="n">
        <f aca="false">+E22-F22</f>
        <v>3.37</v>
      </c>
      <c r="H22" s="387" t="n">
        <f aca="false">+F22/E22</f>
        <v>0.515804597701149</v>
      </c>
      <c r="I22" s="448" t="n">
        <f aca="false">SUM(D22:D24)</f>
        <v>13.912</v>
      </c>
      <c r="J22" s="449" t="n">
        <f aca="false">SUM(F22:F24)</f>
        <v>3.59</v>
      </c>
      <c r="K22" s="448" t="n">
        <f aca="false">+I22-J22</f>
        <v>10.322</v>
      </c>
      <c r="L22" s="332" t="n">
        <f aca="false">+J22/I22</f>
        <v>0.258050603795285</v>
      </c>
      <c r="N22" s="403"/>
    </row>
    <row r="23" customFormat="false" ht="13.8" hidden="false" customHeight="false" outlineLevel="0" collapsed="false">
      <c r="A23" s="324"/>
      <c r="B23" s="443" t="n">
        <v>39264</v>
      </c>
      <c r="C23" s="443" t="n">
        <v>39355</v>
      </c>
      <c r="D23" s="215" t="n">
        <v>4.174</v>
      </c>
      <c r="E23" s="215" t="n">
        <f aca="false">+D23+G22</f>
        <v>7.544</v>
      </c>
      <c r="F23" s="222"/>
      <c r="G23" s="178" t="n">
        <f aca="false">+E23-F23</f>
        <v>7.544</v>
      </c>
      <c r="H23" s="179" t="n">
        <f aca="false">+F23/E23</f>
        <v>0</v>
      </c>
      <c r="I23" s="448"/>
      <c r="J23" s="449"/>
      <c r="K23" s="448"/>
      <c r="L23" s="332"/>
    </row>
    <row r="24" customFormat="false" ht="13.8" hidden="false" customHeight="false" outlineLevel="0" collapsed="false">
      <c r="A24" s="324"/>
      <c r="B24" s="446" t="n">
        <v>39356</v>
      </c>
      <c r="C24" s="446" t="n">
        <v>39447</v>
      </c>
      <c r="D24" s="377" t="n">
        <v>2.778</v>
      </c>
      <c r="E24" s="377" t="n">
        <f aca="false">+D24+G23</f>
        <v>10.322</v>
      </c>
      <c r="F24" s="381"/>
      <c r="G24" s="378" t="n">
        <f aca="false">+E24-F24</f>
        <v>10.322</v>
      </c>
      <c r="H24" s="379" t="n">
        <f aca="false">+F24/E24</f>
        <v>0</v>
      </c>
      <c r="I24" s="448"/>
      <c r="J24" s="449"/>
      <c r="K24" s="448"/>
      <c r="L24" s="332"/>
      <c r="M24" s="438"/>
    </row>
    <row r="25" customFormat="false" ht="13.8" hidden="false" customHeight="true" outlineLevel="0" collapsed="false">
      <c r="A25" s="324" t="s">
        <v>295</v>
      </c>
      <c r="B25" s="447" t="n">
        <v>39173</v>
      </c>
      <c r="C25" s="447" t="n">
        <v>39263</v>
      </c>
      <c r="D25" s="384" t="n">
        <v>3.124</v>
      </c>
      <c r="E25" s="384" t="n">
        <f aca="false">+D25</f>
        <v>3.124</v>
      </c>
      <c r="F25" s="385"/>
      <c r="G25" s="386" t="n">
        <f aca="false">+E25-F25</f>
        <v>3.124</v>
      </c>
      <c r="H25" s="387" t="n">
        <f aca="false">+F25/E25</f>
        <v>0</v>
      </c>
      <c r="I25" s="448" t="n">
        <f aca="false">SUM(D25:D27)</f>
        <v>6.245</v>
      </c>
      <c r="J25" s="448" t="n">
        <f aca="false">SUM(F25:F27)</f>
        <v>5.413</v>
      </c>
      <c r="K25" s="448" t="n">
        <f aca="false">+I25-J25</f>
        <v>0.832</v>
      </c>
      <c r="L25" s="332" t="n">
        <f aca="false">+J25/I25</f>
        <v>0.866773418734988</v>
      </c>
    </row>
    <row r="26" customFormat="false" ht="13.8" hidden="false" customHeight="false" outlineLevel="0" collapsed="false">
      <c r="A26" s="324"/>
      <c r="B26" s="443" t="n">
        <v>39264</v>
      </c>
      <c r="C26" s="443" t="n">
        <v>39355</v>
      </c>
      <c r="D26" s="215" t="n">
        <v>1.874</v>
      </c>
      <c r="E26" s="215" t="n">
        <f aca="false">+D26+G25</f>
        <v>4.998</v>
      </c>
      <c r="F26" s="222"/>
      <c r="G26" s="178" t="n">
        <f aca="false">+E26-F26</f>
        <v>4.998</v>
      </c>
      <c r="H26" s="179" t="n">
        <f aca="false">+F26/E26</f>
        <v>0</v>
      </c>
      <c r="I26" s="448"/>
      <c r="J26" s="448"/>
      <c r="K26" s="448"/>
      <c r="L26" s="332"/>
    </row>
    <row r="27" customFormat="false" ht="13.8" hidden="false" customHeight="false" outlineLevel="0" collapsed="false">
      <c r="A27" s="324"/>
      <c r="B27" s="446" t="n">
        <v>39356</v>
      </c>
      <c r="C27" s="446" t="n">
        <v>39447</v>
      </c>
      <c r="D27" s="377" t="n">
        <v>1.247</v>
      </c>
      <c r="E27" s="377" t="n">
        <f aca="false">+D27+G26</f>
        <v>6.245</v>
      </c>
      <c r="F27" s="381" t="n">
        <v>5.413</v>
      </c>
      <c r="G27" s="378" t="n">
        <f aca="false">+E27-F27</f>
        <v>0.832</v>
      </c>
      <c r="H27" s="379" t="n">
        <f aca="false">+F27/E27</f>
        <v>0.866773418734988</v>
      </c>
      <c r="I27" s="448"/>
      <c r="J27" s="448"/>
      <c r="K27" s="448"/>
      <c r="L27" s="332"/>
    </row>
    <row r="28" customFormat="false" ht="14.4" hidden="false" customHeight="true" outlineLevel="0" collapsed="false">
      <c r="A28" s="324" t="s">
        <v>296</v>
      </c>
      <c r="B28" s="447" t="n">
        <v>39173</v>
      </c>
      <c r="C28" s="447" t="n">
        <v>39263</v>
      </c>
      <c r="D28" s="384" t="n">
        <v>33.288</v>
      </c>
      <c r="E28" s="384" t="n">
        <f aca="false">+D28</f>
        <v>33.288</v>
      </c>
      <c r="F28" s="385" t="n">
        <v>29.337</v>
      </c>
      <c r="G28" s="386" t="n">
        <f aca="false">+E28-F28</f>
        <v>3.951</v>
      </c>
      <c r="H28" s="387" t="n">
        <f aca="false">+F28/E28</f>
        <v>0.881308579668349</v>
      </c>
      <c r="I28" s="448" t="n">
        <f aca="false">SUM(D28:D30)</f>
        <v>66.542</v>
      </c>
      <c r="J28" s="448" t="n">
        <f aca="false">SUM(F28:F30)</f>
        <v>55.634</v>
      </c>
      <c r="K28" s="448" t="n">
        <f aca="false">+I28-J28</f>
        <v>10.908</v>
      </c>
      <c r="L28" s="332" t="n">
        <f aca="false">+J28/I28</f>
        <v>0.836073457365273</v>
      </c>
      <c r="N28" s="403"/>
    </row>
    <row r="29" customFormat="false" ht="13.8" hidden="false" customHeight="false" outlineLevel="0" collapsed="false">
      <c r="A29" s="324"/>
      <c r="B29" s="443" t="n">
        <v>39264</v>
      </c>
      <c r="C29" s="443" t="n">
        <v>39355</v>
      </c>
      <c r="D29" s="215" t="n">
        <v>19.966</v>
      </c>
      <c r="E29" s="215" t="n">
        <f aca="false">+D29+G28</f>
        <v>23.917</v>
      </c>
      <c r="F29" s="222"/>
      <c r="G29" s="178" t="n">
        <f aca="false">+E29-F29</f>
        <v>23.917</v>
      </c>
      <c r="H29" s="179" t="n">
        <f aca="false">+F29/E29</f>
        <v>0</v>
      </c>
      <c r="I29" s="448"/>
      <c r="J29" s="448"/>
      <c r="K29" s="448"/>
      <c r="L29" s="332"/>
      <c r="M29" s="438"/>
    </row>
    <row r="30" customFormat="false" ht="13.8" hidden="false" customHeight="false" outlineLevel="0" collapsed="false">
      <c r="A30" s="324"/>
      <c r="B30" s="446" t="n">
        <v>39356</v>
      </c>
      <c r="C30" s="446" t="n">
        <v>39447</v>
      </c>
      <c r="D30" s="377" t="n">
        <v>13.288</v>
      </c>
      <c r="E30" s="377" t="n">
        <f aca="false">+D30+G29</f>
        <v>37.205</v>
      </c>
      <c r="F30" s="381" t="n">
        <v>26.297</v>
      </c>
      <c r="G30" s="378" t="n">
        <f aca="false">+E30-F30</f>
        <v>10.908</v>
      </c>
      <c r="H30" s="379" t="n">
        <f aca="false">+F30/E30</f>
        <v>0.706813600322537</v>
      </c>
      <c r="I30" s="448"/>
      <c r="J30" s="448"/>
      <c r="K30" s="448"/>
      <c r="L30" s="332"/>
      <c r="M30" s="438"/>
    </row>
    <row r="31" customFormat="false" ht="13.8" hidden="false" customHeight="false" outlineLevel="0" collapsed="false">
      <c r="A31" s="131"/>
      <c r="B31" s="131"/>
      <c r="C31" s="131"/>
      <c r="D31" s="131"/>
      <c r="E31" s="131"/>
      <c r="F31" s="131"/>
      <c r="G31" s="131"/>
      <c r="H31" s="131"/>
      <c r="I31" s="334"/>
      <c r="J31" s="334"/>
      <c r="K31" s="334"/>
      <c r="L31" s="310"/>
    </row>
    <row r="32" customFormat="false" ht="15.6" hidden="false" customHeight="false" outlineLevel="0" collapsed="false">
      <c r="A32" s="98" t="s">
        <v>173</v>
      </c>
      <c r="B32" s="98" t="s">
        <v>192</v>
      </c>
      <c r="C32" s="98"/>
      <c r="D32" s="98" t="s">
        <v>193</v>
      </c>
      <c r="E32" s="98"/>
      <c r="F32" s="98" t="s">
        <v>156</v>
      </c>
      <c r="G32" s="98"/>
      <c r="H32" s="98"/>
      <c r="I32" s="98" t="s">
        <v>194</v>
      </c>
      <c r="J32" s="98"/>
      <c r="K32" s="98"/>
      <c r="L32" s="98"/>
    </row>
    <row r="33" customFormat="false" ht="15.6" hidden="false" customHeight="false" outlineLevel="0" collapsed="false">
      <c r="A33" s="97" t="s">
        <v>297</v>
      </c>
      <c r="B33" s="98" t="s">
        <v>199</v>
      </c>
      <c r="C33" s="98" t="s">
        <v>200</v>
      </c>
      <c r="D33" s="97" t="s">
        <v>201</v>
      </c>
      <c r="E33" s="97" t="s">
        <v>202</v>
      </c>
      <c r="F33" s="97" t="s">
        <v>43</v>
      </c>
      <c r="G33" s="97" t="s">
        <v>44</v>
      </c>
      <c r="H33" s="97" t="s">
        <v>159</v>
      </c>
      <c r="I33" s="97" t="s">
        <v>193</v>
      </c>
      <c r="J33" s="97" t="s">
        <v>43</v>
      </c>
      <c r="K33" s="97" t="s">
        <v>44</v>
      </c>
      <c r="L33" s="97" t="s">
        <v>159</v>
      </c>
    </row>
    <row r="34" customFormat="false" ht="13.8" hidden="false" customHeight="false" outlineLevel="0" collapsed="false">
      <c r="A34" s="97"/>
      <c r="B34" s="364" t="n">
        <v>39173</v>
      </c>
      <c r="C34" s="364" t="n">
        <v>39263</v>
      </c>
      <c r="D34" s="152" t="n">
        <f aca="false">+D7+D10+D13+D16+D19+D22+D25+D28</f>
        <v>995.752</v>
      </c>
      <c r="E34" s="152" t="n">
        <f aca="false">+D34</f>
        <v>995.752</v>
      </c>
      <c r="F34" s="148" t="n">
        <f aca="false">+F7+F10+F13+F16+F19+F22+F25+F28</f>
        <v>852.279</v>
      </c>
      <c r="G34" s="365" t="n">
        <f aca="false">+E34-F34</f>
        <v>143.473</v>
      </c>
      <c r="H34" s="120" t="n">
        <f aca="false">+F34/E34</f>
        <v>0.855914926608232</v>
      </c>
      <c r="I34" s="104" t="n">
        <f aca="false">SUM(D34:D36)</f>
        <v>1990.498</v>
      </c>
      <c r="J34" s="312" t="n">
        <f aca="false">SUM(F34:F36)</f>
        <v>1707.03</v>
      </c>
      <c r="K34" s="104" t="n">
        <f aca="false">+I34-J34</f>
        <v>283.468</v>
      </c>
      <c r="L34" s="315" t="n">
        <f aca="false">+J34/I34</f>
        <v>0.857589407273959</v>
      </c>
    </row>
    <row r="35" customFormat="false" ht="13.8" hidden="false" customHeight="false" outlineLevel="0" collapsed="false">
      <c r="A35" s="97"/>
      <c r="B35" s="364" t="n">
        <v>39264</v>
      </c>
      <c r="C35" s="364" t="n">
        <v>39355</v>
      </c>
      <c r="D35" s="152" t="n">
        <f aca="false">+D8+D11+D14+D17+D20+D23+D26+D29</f>
        <v>597.249</v>
      </c>
      <c r="E35" s="152" t="n">
        <f aca="false">+D35+G34</f>
        <v>740.722</v>
      </c>
      <c r="F35" s="148" t="n">
        <f aca="false">+F8+F11+F14+F17+F20+F23+F26+F29</f>
        <v>459.138</v>
      </c>
      <c r="G35" s="365" t="n">
        <f aca="false">+E35-F35</f>
        <v>281.584</v>
      </c>
      <c r="H35" s="120" t="n">
        <f aca="false">+F35/E35</f>
        <v>0.619851982255151</v>
      </c>
      <c r="I35" s="104"/>
      <c r="J35" s="312"/>
      <c r="K35" s="104"/>
      <c r="L35" s="315"/>
    </row>
    <row r="36" customFormat="false" ht="13.8" hidden="false" customHeight="false" outlineLevel="0" collapsed="false">
      <c r="A36" s="97"/>
      <c r="B36" s="364" t="n">
        <v>39356</v>
      </c>
      <c r="C36" s="364" t="n">
        <v>39447</v>
      </c>
      <c r="D36" s="152" t="n">
        <f aca="false">+D9+D12+D15+D18+D21+D24+D27+D30</f>
        <v>397.497</v>
      </c>
      <c r="E36" s="152" t="n">
        <f aca="false">+D36+G35</f>
        <v>679.081</v>
      </c>
      <c r="F36" s="148" t="n">
        <f aca="false">+F9+F12+F15+F18+F21+F24+F27+F30</f>
        <v>395.613</v>
      </c>
      <c r="G36" s="365" t="n">
        <f aca="false">+E36-F36</f>
        <v>283.468</v>
      </c>
      <c r="H36" s="120" t="n">
        <f aca="false">+F36/E36</f>
        <v>0.582571151305956</v>
      </c>
      <c r="I36" s="104"/>
      <c r="J36" s="312"/>
      <c r="K36" s="104"/>
      <c r="L36" s="315"/>
    </row>
  </sheetData>
  <mergeCells count="56">
    <mergeCell ref="A2:L2"/>
    <mergeCell ref="A3:L3"/>
    <mergeCell ref="B5:C5"/>
    <mergeCell ref="D5:E5"/>
    <mergeCell ref="F5:H5"/>
    <mergeCell ref="I5:L5"/>
    <mergeCell ref="A7:A9"/>
    <mergeCell ref="I7:I9"/>
    <mergeCell ref="J7:J9"/>
    <mergeCell ref="K7:K9"/>
    <mergeCell ref="L7:L9"/>
    <mergeCell ref="A10:A12"/>
    <mergeCell ref="I10:I12"/>
    <mergeCell ref="J10:J12"/>
    <mergeCell ref="K10:K12"/>
    <mergeCell ref="L10:L12"/>
    <mergeCell ref="A13:A15"/>
    <mergeCell ref="I13:I15"/>
    <mergeCell ref="J13:J15"/>
    <mergeCell ref="K13:K15"/>
    <mergeCell ref="L13:L15"/>
    <mergeCell ref="A16:A18"/>
    <mergeCell ref="I16:I18"/>
    <mergeCell ref="J16:J18"/>
    <mergeCell ref="K16:K18"/>
    <mergeCell ref="L16:L18"/>
    <mergeCell ref="A19:A21"/>
    <mergeCell ref="I19:I21"/>
    <mergeCell ref="J19:J21"/>
    <mergeCell ref="K19:K21"/>
    <mergeCell ref="L19:L21"/>
    <mergeCell ref="A22:A24"/>
    <mergeCell ref="I22:I24"/>
    <mergeCell ref="J22:J24"/>
    <mergeCell ref="K22:K24"/>
    <mergeCell ref="L22:L24"/>
    <mergeCell ref="A25:A27"/>
    <mergeCell ref="I25:I27"/>
    <mergeCell ref="J25:J27"/>
    <mergeCell ref="K25:K27"/>
    <mergeCell ref="L25:L27"/>
    <mergeCell ref="A28:A30"/>
    <mergeCell ref="I28:I30"/>
    <mergeCell ref="J28:J30"/>
    <mergeCell ref="K28:K30"/>
    <mergeCell ref="L28:L30"/>
    <mergeCell ref="A31:H31"/>
    <mergeCell ref="B32:C32"/>
    <mergeCell ref="D32:E32"/>
    <mergeCell ref="F32:H32"/>
    <mergeCell ref="I32:L32"/>
    <mergeCell ref="A33:A36"/>
    <mergeCell ref="I34:I36"/>
    <mergeCell ref="J34:J36"/>
    <mergeCell ref="K34:K36"/>
    <mergeCell ref="L34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M22" activeCellId="0" sqref="M22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27.55"/>
    <col collapsed="false" customWidth="true" hidden="false" outlineLevel="0" max="2" min="2" style="428" width="6.87"/>
    <col collapsed="false" customWidth="true" hidden="false" outlineLevel="0" max="3" min="3" style="428" width="7.43"/>
    <col collapsed="false" customWidth="true" hidden="false" outlineLevel="0" max="4" min="4" style="428" width="9.99"/>
    <col collapsed="false" customWidth="true" hidden="false" outlineLevel="0" max="5" min="5" style="428" width="8.99"/>
    <col collapsed="false" customWidth="true" hidden="false" outlineLevel="0" max="6" min="6" style="428" width="19.99"/>
    <col collapsed="false" customWidth="true" hidden="false" outlineLevel="0" max="7" min="7" style="428" width="11.87"/>
    <col collapsed="false" customWidth="true" hidden="false" outlineLevel="0" max="8" min="8" style="428" width="13.99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3.99"/>
    <col collapsed="false" customWidth="true" hidden="false" outlineLevel="0" max="13" min="13" style="428" width="46.55"/>
    <col collapsed="false" customWidth="false" hidden="false" outlineLevel="0" max="257" min="14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customFormat="false" ht="15.6" hidden="false" customHeight="false" outlineLevel="0" collapsed="false">
      <c r="A2" s="45" t="s">
        <v>298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264"/>
    </row>
    <row r="4" customFormat="false" ht="13.8" hidden="false" customHeight="false" outlineLevel="0" collapsed="false">
      <c r="A4" s="439"/>
      <c r="B4" s="142"/>
      <c r="C4" s="142"/>
      <c r="D4" s="142"/>
      <c r="E4" s="440"/>
      <c r="F4" s="441"/>
      <c r="G4" s="440"/>
      <c r="H4" s="441"/>
      <c r="I4" s="269"/>
      <c r="J4" s="269"/>
      <c r="K4" s="269"/>
      <c r="L4" s="269"/>
    </row>
    <row r="5" customFormat="false" ht="15.6" hidden="false" customHeight="true" outlineLevel="0" collapsed="false">
      <c r="A5" s="98" t="s">
        <v>299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</row>
    <row r="7" customFormat="false" ht="14.4" hidden="false" customHeight="true" outlineLevel="0" collapsed="false">
      <c r="A7" s="316" t="s">
        <v>300</v>
      </c>
      <c r="B7" s="442" t="n">
        <v>39173</v>
      </c>
      <c r="C7" s="442" t="n">
        <v>39263</v>
      </c>
      <c r="D7" s="369" t="n">
        <v>41.583</v>
      </c>
      <c r="E7" s="369" t="n">
        <f aca="false">+D7</f>
        <v>41.583</v>
      </c>
      <c r="F7" s="370" t="n">
        <v>8.872</v>
      </c>
      <c r="G7" s="371" t="n">
        <f aca="false">+E7-F7</f>
        <v>32.711</v>
      </c>
      <c r="H7" s="372" t="n">
        <f aca="false">+F7/E7</f>
        <v>0.213356419690739</v>
      </c>
      <c r="I7" s="408" t="n">
        <f aca="false">SUM(D7:D9)</f>
        <v>177.538</v>
      </c>
      <c r="J7" s="408" t="n">
        <f aca="false">SUM(F7:F9)</f>
        <v>177.034</v>
      </c>
      <c r="K7" s="338" t="n">
        <f aca="false">+I7-J7</f>
        <v>0.504000000000019</v>
      </c>
      <c r="L7" s="282" t="n">
        <f aca="false">+J7/I7</f>
        <v>0.997161171129561</v>
      </c>
      <c r="N7" s="283"/>
    </row>
    <row r="8" customFormat="false" ht="13.8" hidden="false" customHeight="false" outlineLevel="0" collapsed="false">
      <c r="A8" s="316"/>
      <c r="B8" s="443" t="n">
        <v>39264</v>
      </c>
      <c r="C8" s="443" t="n">
        <v>39355</v>
      </c>
      <c r="D8" s="215" t="n">
        <v>96.532</v>
      </c>
      <c r="E8" s="215" t="n">
        <f aca="false">+D8+G7</f>
        <v>129.243</v>
      </c>
      <c r="F8" s="222" t="n">
        <v>9.86</v>
      </c>
      <c r="G8" s="178" t="n">
        <f aca="false">+E8-F8</f>
        <v>119.383</v>
      </c>
      <c r="H8" s="179" t="n">
        <f aca="false">+F8/E8</f>
        <v>0.0762903987063129</v>
      </c>
      <c r="I8" s="408"/>
      <c r="J8" s="408"/>
      <c r="K8" s="338"/>
      <c r="L8" s="282"/>
      <c r="M8" s="438"/>
    </row>
    <row r="9" customFormat="false" ht="13.8" hidden="false" customHeight="false" outlineLevel="0" collapsed="false">
      <c r="A9" s="316"/>
      <c r="B9" s="445" t="n">
        <v>39356</v>
      </c>
      <c r="C9" s="445" t="n">
        <v>39447</v>
      </c>
      <c r="D9" s="375" t="n">
        <v>39.423</v>
      </c>
      <c r="E9" s="375" t="n">
        <f aca="false">+D9+G8</f>
        <v>158.806</v>
      </c>
      <c r="F9" s="376" t="n">
        <v>158.302</v>
      </c>
      <c r="G9" s="232" t="n">
        <f aca="false">+E9-F9</f>
        <v>0.503999999999991</v>
      </c>
      <c r="H9" s="233" t="n">
        <f aca="false">+F9/E9</f>
        <v>0.996826316386031</v>
      </c>
      <c r="I9" s="408"/>
      <c r="J9" s="408"/>
      <c r="K9" s="338"/>
      <c r="L9" s="282"/>
    </row>
    <row r="10" customFormat="false" ht="14.4" hidden="false" customHeight="true" outlineLevel="0" collapsed="false">
      <c r="A10" s="319" t="s">
        <v>271</v>
      </c>
      <c r="B10" s="442" t="n">
        <v>39173</v>
      </c>
      <c r="C10" s="442" t="n">
        <v>39263</v>
      </c>
      <c r="D10" s="369" t="n">
        <v>6.2</v>
      </c>
      <c r="E10" s="369" t="n">
        <f aca="false">+D10</f>
        <v>6.2</v>
      </c>
      <c r="F10" s="370" t="n">
        <v>9.914</v>
      </c>
      <c r="G10" s="371" t="n">
        <f aca="false">+E10-F10</f>
        <v>-3.714</v>
      </c>
      <c r="H10" s="372" t="n">
        <f aca="false">+F10/E10</f>
        <v>1.59903225806452</v>
      </c>
      <c r="I10" s="412" t="n">
        <f aca="false">SUM(D10:D12)</f>
        <v>26.472</v>
      </c>
      <c r="J10" s="412" t="n">
        <f aca="false">SUM(F10:F12)</f>
        <v>25.688</v>
      </c>
      <c r="K10" s="344" t="n">
        <f aca="false">+I10-J10</f>
        <v>0.784000000000003</v>
      </c>
      <c r="L10" s="321" t="n">
        <f aca="false">+J10/I10</f>
        <v>0.970383801752795</v>
      </c>
      <c r="N10" s="403"/>
    </row>
    <row r="11" customFormat="false" ht="13.8" hidden="false" customHeight="false" outlineLevel="0" collapsed="false">
      <c r="A11" s="319"/>
      <c r="B11" s="443" t="n">
        <v>39264</v>
      </c>
      <c r="C11" s="443" t="n">
        <v>39355</v>
      </c>
      <c r="D11" s="215" t="n">
        <v>14.394</v>
      </c>
      <c r="E11" s="215" t="n">
        <f aca="false">+D11+G10</f>
        <v>10.68</v>
      </c>
      <c r="F11" s="222" t="n">
        <v>0</v>
      </c>
      <c r="G11" s="178" t="n">
        <f aca="false">+E11-F11</f>
        <v>10.68</v>
      </c>
      <c r="H11" s="179" t="n">
        <f aca="false">+F11/E11</f>
        <v>0</v>
      </c>
      <c r="I11" s="412"/>
      <c r="J11" s="412"/>
      <c r="K11" s="344"/>
      <c r="L11" s="321"/>
    </row>
    <row r="12" customFormat="false" ht="13.8" hidden="false" customHeight="false" outlineLevel="0" collapsed="false">
      <c r="A12" s="319"/>
      <c r="B12" s="446" t="n">
        <v>39356</v>
      </c>
      <c r="C12" s="446" t="n">
        <v>39447</v>
      </c>
      <c r="D12" s="377" t="n">
        <v>5.878</v>
      </c>
      <c r="E12" s="377" t="n">
        <f aca="false">+D12+G11</f>
        <v>16.558</v>
      </c>
      <c r="F12" s="381" t="n">
        <v>15.774</v>
      </c>
      <c r="G12" s="378" t="n">
        <f aca="false">+E12-F12</f>
        <v>0.784000000000001</v>
      </c>
      <c r="H12" s="379" t="n">
        <f aca="false">+F12/E12</f>
        <v>0.952651286387245</v>
      </c>
      <c r="I12" s="412"/>
      <c r="J12" s="412"/>
      <c r="K12" s="344"/>
      <c r="L12" s="321"/>
    </row>
    <row r="13" customFormat="false" ht="14.4" hidden="true" customHeight="false" outlineLevel="0" collapsed="false">
      <c r="A13" s="345"/>
      <c r="B13" s="447" t="n">
        <v>39173</v>
      </c>
      <c r="C13" s="447" t="n">
        <v>39263</v>
      </c>
      <c r="D13" s="450"/>
      <c r="E13" s="384" t="n">
        <f aca="false">+D13</f>
        <v>0</v>
      </c>
      <c r="F13" s="385"/>
      <c r="G13" s="386" t="n">
        <f aca="false">+E13-F13</f>
        <v>0</v>
      </c>
      <c r="H13" s="387" t="e">
        <f aca="false">+F13/E13</f>
        <v>#DIV/0!</v>
      </c>
      <c r="I13" s="422" t="n">
        <f aca="false">SUM(D13:D15)</f>
        <v>0</v>
      </c>
      <c r="J13" s="422" t="n">
        <f aca="false">SUM(F13:F15)</f>
        <v>0</v>
      </c>
      <c r="K13" s="347" t="n">
        <f aca="false">+I13-J13</f>
        <v>0</v>
      </c>
      <c r="L13" s="348" t="e">
        <f aca="false">+J13/I13</f>
        <v>#DIV/0!</v>
      </c>
      <c r="N13" s="403"/>
    </row>
    <row r="14" customFormat="false" ht="13.8" hidden="true" customHeight="false" outlineLevel="0" collapsed="false">
      <c r="A14" s="345"/>
      <c r="B14" s="443" t="n">
        <v>39264</v>
      </c>
      <c r="C14" s="443" t="n">
        <v>39355</v>
      </c>
      <c r="D14" s="451"/>
      <c r="E14" s="215" t="n">
        <f aca="false">+D14+G13</f>
        <v>0</v>
      </c>
      <c r="F14" s="222"/>
      <c r="G14" s="178" t="n">
        <f aca="false">+E14-F14</f>
        <v>0</v>
      </c>
      <c r="H14" s="179" t="e">
        <f aca="false">+F14/E14</f>
        <v>#DIV/0!</v>
      </c>
      <c r="I14" s="422"/>
      <c r="J14" s="422"/>
      <c r="K14" s="347"/>
      <c r="L14" s="348"/>
    </row>
    <row r="15" customFormat="false" ht="13.8" hidden="true" customHeight="false" outlineLevel="0" collapsed="false">
      <c r="A15" s="345"/>
      <c r="B15" s="445" t="n">
        <v>39356</v>
      </c>
      <c r="C15" s="445" t="n">
        <v>39447</v>
      </c>
      <c r="D15" s="452"/>
      <c r="E15" s="375" t="n">
        <f aca="false">+D15+G14</f>
        <v>0</v>
      </c>
      <c r="F15" s="376"/>
      <c r="G15" s="232" t="n">
        <f aca="false">+E15-F15</f>
        <v>0</v>
      </c>
      <c r="H15" s="233" t="e">
        <f aca="false">+F15/E15</f>
        <v>#DIV/0!</v>
      </c>
      <c r="I15" s="422"/>
      <c r="J15" s="422"/>
      <c r="K15" s="347"/>
      <c r="L15" s="348"/>
    </row>
    <row r="16" customFormat="false" ht="14.4" hidden="false" customHeight="true" outlineLevel="0" collapsed="false">
      <c r="A16" s="319" t="s">
        <v>274</v>
      </c>
      <c r="B16" s="442" t="n">
        <v>39173</v>
      </c>
      <c r="C16" s="442" t="n">
        <v>39263</v>
      </c>
      <c r="D16" s="369" t="n">
        <v>139.168</v>
      </c>
      <c r="E16" s="369" t="n">
        <f aca="false">+D16</f>
        <v>139.168</v>
      </c>
      <c r="F16" s="370" t="n">
        <v>156.299</v>
      </c>
      <c r="G16" s="371" t="n">
        <f aca="false">+E16-F16</f>
        <v>-17.131</v>
      </c>
      <c r="H16" s="372" t="n">
        <f aca="false">+F16/E16</f>
        <v>1.12309582662681</v>
      </c>
      <c r="I16" s="412" t="n">
        <f aca="false">SUM(D16:D18)</f>
        <v>594.175</v>
      </c>
      <c r="J16" s="412" t="n">
        <f aca="false">SUM(F16:F18)</f>
        <v>587.668</v>
      </c>
      <c r="K16" s="344" t="n">
        <f aca="false">+I16-J16</f>
        <v>6.50699999999995</v>
      </c>
      <c r="L16" s="321" t="n">
        <f aca="false">+J16/I16</f>
        <v>0.989048680944166</v>
      </c>
      <c r="N16" s="403"/>
    </row>
    <row r="17" customFormat="false" ht="13.8" hidden="false" customHeight="false" outlineLevel="0" collapsed="false">
      <c r="A17" s="319"/>
      <c r="B17" s="443" t="n">
        <v>39264</v>
      </c>
      <c r="C17" s="443" t="n">
        <v>39355</v>
      </c>
      <c r="D17" s="215" t="n">
        <v>323.069</v>
      </c>
      <c r="E17" s="215" t="n">
        <f aca="false">+D17+G16</f>
        <v>305.938</v>
      </c>
      <c r="F17" s="222" t="n">
        <v>93.057</v>
      </c>
      <c r="G17" s="178" t="n">
        <f aca="false">+E17-F17</f>
        <v>212.881</v>
      </c>
      <c r="H17" s="179" t="n">
        <f aca="false">+F17/E17</f>
        <v>0.304169472246011</v>
      </c>
      <c r="I17" s="412"/>
      <c r="J17" s="412"/>
      <c r="K17" s="344"/>
      <c r="L17" s="321"/>
    </row>
    <row r="18" customFormat="false" ht="13.8" hidden="false" customHeight="false" outlineLevel="0" collapsed="false">
      <c r="A18" s="319"/>
      <c r="B18" s="446" t="n">
        <v>39356</v>
      </c>
      <c r="C18" s="446" t="n">
        <v>39447</v>
      </c>
      <c r="D18" s="377" t="n">
        <v>131.938</v>
      </c>
      <c r="E18" s="377" t="n">
        <f aca="false">+D18+G17</f>
        <v>344.819</v>
      </c>
      <c r="F18" s="381" t="n">
        <v>338.312</v>
      </c>
      <c r="G18" s="378" t="n">
        <f aca="false">+E18-F18</f>
        <v>6.50699999999995</v>
      </c>
      <c r="H18" s="379" t="n">
        <f aca="false">+F18/E18</f>
        <v>0.98112923011783</v>
      </c>
      <c r="I18" s="412"/>
      <c r="J18" s="412"/>
      <c r="K18" s="344"/>
      <c r="L18" s="321"/>
    </row>
    <row r="19" customFormat="false" ht="13.8" hidden="false" customHeight="true" outlineLevel="0" collapsed="false">
      <c r="A19" s="324" t="s">
        <v>301</v>
      </c>
      <c r="B19" s="447" t="n">
        <v>39173</v>
      </c>
      <c r="C19" s="447" t="n">
        <v>39263</v>
      </c>
      <c r="D19" s="384" t="n">
        <v>76.547</v>
      </c>
      <c r="E19" s="384" t="n">
        <f aca="false">+D19</f>
        <v>76.547</v>
      </c>
      <c r="F19" s="385" t="n">
        <v>93.055</v>
      </c>
      <c r="G19" s="386" t="n">
        <f aca="false">+E19-F19</f>
        <v>-16.508</v>
      </c>
      <c r="H19" s="387" t="n">
        <f aca="false">+F19/E19</f>
        <v>1.2156583536912</v>
      </c>
      <c r="I19" s="418" t="n">
        <f aca="false">SUM(D19:D21)</f>
        <v>326.814</v>
      </c>
      <c r="J19" s="418" t="n">
        <f aca="false">SUM(F19:F21)</f>
        <v>327.335</v>
      </c>
      <c r="K19" s="448" t="n">
        <f aca="false">+I19-J19</f>
        <v>-0.521000000000015</v>
      </c>
      <c r="L19" s="332" t="n">
        <f aca="false">+J19/I19</f>
        <v>1.00159417895194</v>
      </c>
    </row>
    <row r="20" customFormat="false" ht="13.8" hidden="false" customHeight="false" outlineLevel="0" collapsed="false">
      <c r="A20" s="324"/>
      <c r="B20" s="443" t="n">
        <v>39264</v>
      </c>
      <c r="C20" s="443" t="n">
        <v>39355</v>
      </c>
      <c r="D20" s="215" t="n">
        <v>177.697</v>
      </c>
      <c r="E20" s="215" t="n">
        <f aca="false">+D20+G19</f>
        <v>161.189</v>
      </c>
      <c r="F20" s="222" t="n">
        <v>62.354</v>
      </c>
      <c r="G20" s="178" t="n">
        <f aca="false">+E20-F20</f>
        <v>98.835</v>
      </c>
      <c r="H20" s="179" t="n">
        <f aca="false">+F20/E20</f>
        <v>0.386837811513193</v>
      </c>
      <c r="I20" s="418"/>
      <c r="J20" s="418"/>
      <c r="K20" s="448"/>
      <c r="L20" s="332"/>
    </row>
    <row r="21" customFormat="false" ht="13.8" hidden="false" customHeight="false" outlineLevel="0" collapsed="false">
      <c r="A21" s="324"/>
      <c r="B21" s="446" t="n">
        <v>39356</v>
      </c>
      <c r="C21" s="446" t="n">
        <v>39447</v>
      </c>
      <c r="D21" s="377" t="n">
        <v>72.57</v>
      </c>
      <c r="E21" s="377" t="n">
        <f aca="false">+D21+G20</f>
        <v>171.405</v>
      </c>
      <c r="F21" s="381" t="n">
        <v>171.926</v>
      </c>
      <c r="G21" s="378" t="n">
        <f aca="false">+E21-F21</f>
        <v>-0.521000000000015</v>
      </c>
      <c r="H21" s="379" t="n">
        <f aca="false">+F21/E21</f>
        <v>1.00303958460955</v>
      </c>
      <c r="I21" s="418"/>
      <c r="J21" s="418"/>
      <c r="K21" s="448"/>
      <c r="L21" s="332"/>
    </row>
    <row r="22" customFormat="false" ht="13.8" hidden="false" customHeight="false" outlineLevel="0" collapsed="false">
      <c r="A22" s="307"/>
      <c r="B22" s="307"/>
      <c r="C22" s="307"/>
      <c r="D22" s="307"/>
      <c r="E22" s="307"/>
      <c r="F22" s="307"/>
      <c r="G22" s="307"/>
      <c r="H22" s="307"/>
      <c r="I22" s="308"/>
      <c r="J22" s="308"/>
      <c r="K22" s="308"/>
      <c r="L22" s="310"/>
    </row>
    <row r="23" customFormat="false" ht="15.6" hidden="false" customHeight="false" outlineLevel="0" collapsed="false">
      <c r="A23" s="98" t="s">
        <v>173</v>
      </c>
      <c r="B23" s="98" t="s">
        <v>192</v>
      </c>
      <c r="C23" s="98"/>
      <c r="D23" s="98" t="s">
        <v>193</v>
      </c>
      <c r="E23" s="98"/>
      <c r="F23" s="98" t="s">
        <v>156</v>
      </c>
      <c r="G23" s="98"/>
      <c r="H23" s="98"/>
      <c r="I23" s="98" t="s">
        <v>194</v>
      </c>
      <c r="J23" s="98"/>
      <c r="K23" s="98"/>
      <c r="L23" s="98"/>
    </row>
    <row r="24" customFormat="false" ht="15.6" hidden="false" customHeight="false" outlineLevel="0" collapsed="false">
      <c r="A24" s="97" t="s">
        <v>302</v>
      </c>
      <c r="B24" s="98" t="s">
        <v>199</v>
      </c>
      <c r="C24" s="98" t="s">
        <v>200</v>
      </c>
      <c r="D24" s="97" t="s">
        <v>201</v>
      </c>
      <c r="E24" s="97" t="s">
        <v>202</v>
      </c>
      <c r="F24" s="97" t="s">
        <v>43</v>
      </c>
      <c r="G24" s="97" t="s">
        <v>44</v>
      </c>
      <c r="H24" s="97" t="s">
        <v>159</v>
      </c>
      <c r="I24" s="97" t="s">
        <v>193</v>
      </c>
      <c r="J24" s="97" t="s">
        <v>43</v>
      </c>
      <c r="K24" s="97" t="s">
        <v>44</v>
      </c>
      <c r="L24" s="97" t="s">
        <v>159</v>
      </c>
    </row>
    <row r="25" customFormat="false" ht="13.8" hidden="false" customHeight="false" outlineLevel="0" collapsed="false">
      <c r="A25" s="97"/>
      <c r="B25" s="364" t="n">
        <v>39173</v>
      </c>
      <c r="C25" s="364" t="n">
        <v>39263</v>
      </c>
      <c r="D25" s="152" t="n">
        <f aca="false">+D7+D10+D13+D19+D16</f>
        <v>263.498</v>
      </c>
      <c r="E25" s="152" t="n">
        <f aca="false">+D25</f>
        <v>263.498</v>
      </c>
      <c r="F25" s="148" t="n">
        <f aca="false">+F7+F10+F13+F19+F16</f>
        <v>268.14</v>
      </c>
      <c r="G25" s="365" t="n">
        <f aca="false">+E25-F25</f>
        <v>-4.642</v>
      </c>
      <c r="H25" s="120" t="n">
        <f aca="false">+F25/E25</f>
        <v>1.01761683200632</v>
      </c>
      <c r="I25" s="453" t="n">
        <f aca="false">SUM(D25:D27)</f>
        <v>1124.999</v>
      </c>
      <c r="J25" s="454" t="n">
        <f aca="false">SUM(F25:F27)</f>
        <v>1117.725</v>
      </c>
      <c r="K25" s="312" t="n">
        <f aca="false">+I25-J25</f>
        <v>7.27400000000012</v>
      </c>
      <c r="L25" s="315" t="n">
        <f aca="false">+J25/I25</f>
        <v>0.993534216474859</v>
      </c>
    </row>
    <row r="26" customFormat="false" ht="13.8" hidden="false" customHeight="false" outlineLevel="0" collapsed="false">
      <c r="A26" s="97"/>
      <c r="B26" s="364" t="n">
        <v>39264</v>
      </c>
      <c r="C26" s="364" t="n">
        <v>39355</v>
      </c>
      <c r="D26" s="152" t="n">
        <f aca="false">+D8+D11+D14+D20+D17</f>
        <v>611.692</v>
      </c>
      <c r="E26" s="152" t="n">
        <f aca="false">+D26+G25</f>
        <v>607.05</v>
      </c>
      <c r="F26" s="148" t="n">
        <f aca="false">+F8+F11+F14+F20+F17</f>
        <v>165.271</v>
      </c>
      <c r="G26" s="365" t="n">
        <f aca="false">+E26-F26</f>
        <v>441.779</v>
      </c>
      <c r="H26" s="120" t="n">
        <f aca="false">+F26/E26</f>
        <v>0.272252697471378</v>
      </c>
      <c r="I26" s="453"/>
      <c r="J26" s="454"/>
      <c r="K26" s="312"/>
      <c r="L26" s="315"/>
    </row>
    <row r="27" customFormat="false" ht="13.8" hidden="false" customHeight="false" outlineLevel="0" collapsed="false">
      <c r="A27" s="97"/>
      <c r="B27" s="364" t="n">
        <v>39356</v>
      </c>
      <c r="C27" s="364" t="n">
        <v>39447</v>
      </c>
      <c r="D27" s="152" t="n">
        <f aca="false">+D9+D12+D15+D21+D18</f>
        <v>249.809</v>
      </c>
      <c r="E27" s="152" t="n">
        <f aca="false">+D27+G26</f>
        <v>691.588</v>
      </c>
      <c r="F27" s="148" t="n">
        <f aca="false">+F9+F12+F15+F21+F18</f>
        <v>684.314</v>
      </c>
      <c r="G27" s="365" t="n">
        <f aca="false">+E27-F27</f>
        <v>7.274</v>
      </c>
      <c r="H27" s="120" t="n">
        <f aca="false">+F27/E27</f>
        <v>0.989482177250039</v>
      </c>
      <c r="I27" s="453"/>
      <c r="J27" s="454"/>
      <c r="K27" s="312"/>
      <c r="L27" s="315"/>
    </row>
    <row r="29" customFormat="false" ht="14.4" hidden="false" customHeight="false" outlineLevel="0" collapsed="false">
      <c r="G29" s="438"/>
      <c r="H29" s="283"/>
      <c r="I29" s="283"/>
    </row>
  </sheetData>
  <mergeCells count="41">
    <mergeCell ref="A2:L2"/>
    <mergeCell ref="A3:L3"/>
    <mergeCell ref="B5:C5"/>
    <mergeCell ref="D5:E5"/>
    <mergeCell ref="F5:H5"/>
    <mergeCell ref="I5:L5"/>
    <mergeCell ref="A7:A9"/>
    <mergeCell ref="I7:I9"/>
    <mergeCell ref="J7:J9"/>
    <mergeCell ref="K7:K9"/>
    <mergeCell ref="L7:L9"/>
    <mergeCell ref="A10:A12"/>
    <mergeCell ref="I10:I12"/>
    <mergeCell ref="J10:J12"/>
    <mergeCell ref="K10:K12"/>
    <mergeCell ref="L10:L12"/>
    <mergeCell ref="A13:A15"/>
    <mergeCell ref="I13:I15"/>
    <mergeCell ref="J13:J15"/>
    <mergeCell ref="K13:K15"/>
    <mergeCell ref="L13:L15"/>
    <mergeCell ref="A16:A18"/>
    <mergeCell ref="I16:I18"/>
    <mergeCell ref="J16:J18"/>
    <mergeCell ref="K16:K18"/>
    <mergeCell ref="L16:L18"/>
    <mergeCell ref="A19:A21"/>
    <mergeCell ref="I19:I21"/>
    <mergeCell ref="J19:J21"/>
    <mergeCell ref="K19:K21"/>
    <mergeCell ref="L19:L21"/>
    <mergeCell ref="A22:H22"/>
    <mergeCell ref="B23:C23"/>
    <mergeCell ref="D23:E23"/>
    <mergeCell ref="F23:H23"/>
    <mergeCell ref="I23:L23"/>
    <mergeCell ref="A24:A27"/>
    <mergeCell ref="I25:I27"/>
    <mergeCell ref="J25:J27"/>
    <mergeCell ref="K25:K27"/>
    <mergeCell ref="L25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N11" activeCellId="0" sqref="N11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30.99"/>
    <col collapsed="false" customWidth="true" hidden="false" outlineLevel="0" max="2" min="2" style="428" width="6.87"/>
    <col collapsed="false" customWidth="true" hidden="false" outlineLevel="0" max="3" min="3" style="428" width="6.55"/>
    <col collapsed="false" customWidth="true" hidden="false" outlineLevel="0" max="4" min="4" style="428" width="10.1"/>
    <col collapsed="false" customWidth="true" hidden="false" outlineLevel="0" max="5" min="5" style="428" width="10.66"/>
    <col collapsed="false" customWidth="true" hidden="false" outlineLevel="0" max="6" min="6" style="428" width="19.99"/>
    <col collapsed="false" customWidth="true" hidden="false" outlineLevel="0" max="7" min="7" style="428" width="11.87"/>
    <col collapsed="false" customWidth="true" hidden="false" outlineLevel="0" max="8" min="8" style="428" width="16.43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4.55"/>
    <col collapsed="false" customWidth="false" hidden="false" outlineLevel="0" max="13" min="13" style="428" width="11.43"/>
    <col collapsed="false" customWidth="true" hidden="false" outlineLevel="0" max="14" min="14" style="428" width="25.66"/>
    <col collapsed="false" customWidth="true" hidden="false" outlineLevel="0" max="15" min="15" style="428" width="19.87"/>
    <col collapsed="false" customWidth="true" hidden="false" outlineLevel="0" max="16" min="16" style="428" width="19.1"/>
    <col collapsed="false" customWidth="false" hidden="false" outlineLevel="0" max="257" min="17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customFormat="false" ht="15.6" hidden="false" customHeight="false" outlineLevel="0" collapsed="false">
      <c r="A2" s="45" t="s">
        <v>303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15.6" hidden="false" customHeight="false" outlineLevel="0" collapsed="false">
      <c r="A3" s="47" t="s">
        <v>304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customFormat="false" ht="13.8" hidden="false" customHeight="false" outlineLevel="0" collapsed="false">
      <c r="A4" s="439"/>
      <c r="B4" s="142"/>
      <c r="C4" s="142"/>
      <c r="D4" s="142"/>
      <c r="E4" s="440"/>
      <c r="F4" s="441"/>
      <c r="G4" s="440"/>
      <c r="H4" s="441"/>
      <c r="I4" s="269"/>
      <c r="J4" s="269"/>
      <c r="K4" s="269"/>
      <c r="L4" s="269"/>
    </row>
    <row r="5" customFormat="false" ht="15.6" hidden="false" customHeight="true" outlineLevel="0" collapsed="false">
      <c r="A5" s="98" t="s">
        <v>305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</row>
    <row r="7" customFormat="false" ht="24.9" hidden="false" customHeight="true" outlineLevel="0" collapsed="false">
      <c r="A7" s="316" t="s">
        <v>306</v>
      </c>
      <c r="B7" s="275" t="n">
        <v>39083</v>
      </c>
      <c r="C7" s="275" t="n">
        <v>39294</v>
      </c>
      <c r="D7" s="277" t="n">
        <v>559.1</v>
      </c>
      <c r="E7" s="277" t="n">
        <f aca="false">+D7</f>
        <v>559.1</v>
      </c>
      <c r="F7" s="277" t="n">
        <v>310.527</v>
      </c>
      <c r="G7" s="292" t="n">
        <f aca="false">+E7-F7</f>
        <v>248.573</v>
      </c>
      <c r="H7" s="279" t="n">
        <f aca="false">+F7/E7</f>
        <v>0.555405115363978</v>
      </c>
      <c r="I7" s="337" t="n">
        <f aca="false">SUM(D7:D8)</f>
        <v>745.476</v>
      </c>
      <c r="J7" s="337" t="n">
        <f aca="false">SUM(F7:F8)</f>
        <v>658.879</v>
      </c>
      <c r="K7" s="338" t="n">
        <f aca="false">+I7-J7</f>
        <v>86.5970000000001</v>
      </c>
      <c r="L7" s="282" t="n">
        <f aca="false">+J7/I7</f>
        <v>0.88383663592121</v>
      </c>
      <c r="N7" s="283"/>
    </row>
    <row r="8" customFormat="false" ht="24.9" hidden="false" customHeight="true" outlineLevel="0" collapsed="false">
      <c r="A8" s="316"/>
      <c r="B8" s="285" t="n">
        <v>39295</v>
      </c>
      <c r="C8" s="285" t="n">
        <v>39447</v>
      </c>
      <c r="D8" s="317" t="n">
        <v>186.376</v>
      </c>
      <c r="E8" s="317" t="n">
        <f aca="false">+D8+G7</f>
        <v>434.949</v>
      </c>
      <c r="F8" s="317" t="n">
        <v>348.352</v>
      </c>
      <c r="G8" s="318" t="n">
        <f aca="false">+E8-F8</f>
        <v>86.5970000000001</v>
      </c>
      <c r="H8" s="288" t="n">
        <f aca="false">+F8/E8</f>
        <v>0.800903094385778</v>
      </c>
      <c r="I8" s="337"/>
      <c r="J8" s="337"/>
      <c r="K8" s="338"/>
      <c r="L8" s="282"/>
      <c r="M8" s="434"/>
    </row>
    <row r="9" customFormat="false" ht="24.9" hidden="false" customHeight="true" outlineLevel="0" collapsed="false">
      <c r="A9" s="316" t="s">
        <v>307</v>
      </c>
      <c r="B9" s="275" t="n">
        <v>39083</v>
      </c>
      <c r="C9" s="275" t="n">
        <v>39294</v>
      </c>
      <c r="D9" s="455" t="n">
        <v>4022.463</v>
      </c>
      <c r="E9" s="455" t="n">
        <f aca="false">+D9</f>
        <v>4022.463</v>
      </c>
      <c r="F9" s="455" t="n">
        <v>2037.808</v>
      </c>
      <c r="G9" s="456" t="n">
        <f aca="false">+E9-F9</f>
        <v>1984.655</v>
      </c>
      <c r="H9" s="279" t="n">
        <f aca="false">+F9/E9</f>
        <v>0.506607021618347</v>
      </c>
      <c r="I9" s="337" t="n">
        <f aca="false">SUM(D9:D10)</f>
        <v>5363.347</v>
      </c>
      <c r="J9" s="337" t="n">
        <f aca="false">SUM(F9:F10)</f>
        <v>3918.38</v>
      </c>
      <c r="K9" s="338" t="n">
        <f aca="false">+I9-J9</f>
        <v>1444.967</v>
      </c>
      <c r="L9" s="282" t="n">
        <f aca="false">+J9/I9</f>
        <v>0.730584838161693</v>
      </c>
      <c r="N9" s="283"/>
    </row>
    <row r="10" customFormat="false" ht="24.9" hidden="false" customHeight="true" outlineLevel="0" collapsed="false">
      <c r="A10" s="316"/>
      <c r="B10" s="285" t="n">
        <v>39295</v>
      </c>
      <c r="C10" s="285" t="n">
        <v>39447</v>
      </c>
      <c r="D10" s="457" t="n">
        <v>1340.884</v>
      </c>
      <c r="E10" s="457" t="n">
        <f aca="false">+D10+G9</f>
        <v>3325.539</v>
      </c>
      <c r="F10" s="457" t="n">
        <v>1880.572</v>
      </c>
      <c r="G10" s="458" t="n">
        <f aca="false">+E10-F10</f>
        <v>1444.967</v>
      </c>
      <c r="H10" s="288" t="n">
        <f aca="false">+F10/E10</f>
        <v>0.565493894373213</v>
      </c>
      <c r="I10" s="337"/>
      <c r="J10" s="337"/>
      <c r="K10" s="338"/>
      <c r="L10" s="282"/>
      <c r="M10" s="434"/>
    </row>
    <row r="11" customFormat="false" ht="24.9" hidden="false" customHeight="true" outlineLevel="0" collapsed="false">
      <c r="A11" s="316" t="s">
        <v>308</v>
      </c>
      <c r="B11" s="275" t="n">
        <v>39083</v>
      </c>
      <c r="C11" s="275" t="n">
        <v>39294</v>
      </c>
      <c r="D11" s="455" t="n">
        <v>2391.827</v>
      </c>
      <c r="E11" s="455" t="n">
        <f aca="false">+D11</f>
        <v>2391.827</v>
      </c>
      <c r="F11" s="455" t="n">
        <v>2143.829</v>
      </c>
      <c r="G11" s="456" t="n">
        <f aca="false">+E11-F11</f>
        <v>247.998</v>
      </c>
      <c r="H11" s="279" t="n">
        <f aca="false">+F11/E11</f>
        <v>0.896314407354713</v>
      </c>
      <c r="I11" s="337" t="n">
        <f aca="false">SUM(D11:D12)</f>
        <v>3189.14</v>
      </c>
      <c r="J11" s="337" t="n">
        <f aca="false">SUM(F11:F12)</f>
        <v>3145.481</v>
      </c>
      <c r="K11" s="338" t="n">
        <f aca="false">+I11-J11</f>
        <v>43.6590000000001</v>
      </c>
      <c r="L11" s="282" t="n">
        <f aca="false">+J11/I11</f>
        <v>0.986310102410054</v>
      </c>
      <c r="N11" s="283"/>
    </row>
    <row r="12" customFormat="false" ht="24.9" hidden="false" customHeight="true" outlineLevel="0" collapsed="false">
      <c r="A12" s="316"/>
      <c r="B12" s="285" t="n">
        <v>39295</v>
      </c>
      <c r="C12" s="285" t="n">
        <v>39447</v>
      </c>
      <c r="D12" s="457" t="n">
        <v>797.313</v>
      </c>
      <c r="E12" s="457" t="n">
        <f aca="false">+D12+G11</f>
        <v>1045.311</v>
      </c>
      <c r="F12" s="457" t="n">
        <v>1001.652</v>
      </c>
      <c r="G12" s="458" t="n">
        <f aca="false">+E12-F12</f>
        <v>43.6590000000001</v>
      </c>
      <c r="H12" s="288" t="n">
        <f aca="false">+F12/E12</f>
        <v>0.958233482666881</v>
      </c>
      <c r="I12" s="337"/>
      <c r="J12" s="337"/>
      <c r="K12" s="338"/>
      <c r="L12" s="282"/>
      <c r="M12" s="434"/>
    </row>
    <row r="13" customFormat="false" ht="24.9" hidden="false" customHeight="true" outlineLevel="0" collapsed="false">
      <c r="A13" s="316" t="s">
        <v>309</v>
      </c>
      <c r="B13" s="459" t="n">
        <v>39083</v>
      </c>
      <c r="C13" s="459" t="n">
        <v>39294</v>
      </c>
      <c r="D13" s="460" t="n">
        <v>326.297</v>
      </c>
      <c r="E13" s="460" t="n">
        <f aca="false">+D13</f>
        <v>326.297</v>
      </c>
      <c r="F13" s="277" t="n">
        <v>0</v>
      </c>
      <c r="G13" s="461" t="n">
        <f aca="false">+E13-F13</f>
        <v>326.297</v>
      </c>
      <c r="H13" s="462" t="n">
        <f aca="false">+F13/E13</f>
        <v>0</v>
      </c>
      <c r="I13" s="463" t="n">
        <f aca="false">SUM(D13:D14)</f>
        <v>435.068</v>
      </c>
      <c r="J13" s="463" t="n">
        <f aca="false">SUM(F13:F14)</f>
        <v>0</v>
      </c>
      <c r="K13" s="464" t="n">
        <f aca="false">+I13-J13</f>
        <v>435.068</v>
      </c>
      <c r="L13" s="282" t="n">
        <f aca="false">+J13/I13</f>
        <v>0</v>
      </c>
      <c r="N13" s="283"/>
    </row>
    <row r="14" customFormat="false" ht="24.9" hidden="false" customHeight="true" outlineLevel="0" collapsed="false">
      <c r="A14" s="316"/>
      <c r="B14" s="465" t="n">
        <v>39295</v>
      </c>
      <c r="C14" s="465" t="n">
        <v>39447</v>
      </c>
      <c r="D14" s="466" t="n">
        <v>108.771</v>
      </c>
      <c r="E14" s="466" t="n">
        <f aca="false">+D14+G13</f>
        <v>435.068</v>
      </c>
      <c r="F14" s="317"/>
      <c r="G14" s="467" t="n">
        <f aca="false">+E14-F14</f>
        <v>435.068</v>
      </c>
      <c r="H14" s="468" t="n">
        <f aca="false">+F14/E14</f>
        <v>0</v>
      </c>
      <c r="I14" s="463"/>
      <c r="J14" s="463"/>
      <c r="K14" s="464"/>
      <c r="L14" s="282"/>
    </row>
    <row r="15" customFormat="false" ht="24.9" hidden="false" customHeight="true" outlineLevel="0" collapsed="false">
      <c r="A15" s="469" t="s">
        <v>294</v>
      </c>
      <c r="B15" s="470" t="n">
        <v>39083</v>
      </c>
      <c r="C15" s="470" t="n">
        <v>39294</v>
      </c>
      <c r="D15" s="471" t="n">
        <v>0.837</v>
      </c>
      <c r="E15" s="471" t="n">
        <f aca="false">+D15</f>
        <v>0.837</v>
      </c>
      <c r="F15" s="471" t="n">
        <v>1.111</v>
      </c>
      <c r="G15" s="472" t="n">
        <f aca="false">+E15-F15</f>
        <v>-0.274</v>
      </c>
      <c r="H15" s="473" t="n">
        <f aca="false">+F15/E15</f>
        <v>1.3273596176822</v>
      </c>
      <c r="I15" s="474" t="n">
        <f aca="false">SUM(D15:D16)</f>
        <v>1.116</v>
      </c>
      <c r="J15" s="474" t="n">
        <f aca="false">SUM(F15:F16)</f>
        <v>1.111</v>
      </c>
      <c r="K15" s="475" t="n">
        <f aca="false">+I15-J15</f>
        <v>0.00500000000000012</v>
      </c>
      <c r="L15" s="476" t="n">
        <f aca="false">+J15/I15</f>
        <v>0.995519713261649</v>
      </c>
      <c r="N15" s="434"/>
    </row>
    <row r="16" customFormat="false" ht="24.9" hidden="false" customHeight="true" outlineLevel="0" collapsed="false">
      <c r="A16" s="469"/>
      <c r="B16" s="477" t="n">
        <v>39295</v>
      </c>
      <c r="C16" s="477" t="n">
        <v>39447</v>
      </c>
      <c r="D16" s="478" t="n">
        <v>0.279</v>
      </c>
      <c r="E16" s="478" t="n">
        <f aca="false">+D16+G15</f>
        <v>0.005</v>
      </c>
      <c r="F16" s="478" t="n">
        <v>0</v>
      </c>
      <c r="G16" s="479" t="n">
        <f aca="false">+E16-F16</f>
        <v>0.005</v>
      </c>
      <c r="H16" s="473"/>
      <c r="I16" s="474"/>
      <c r="J16" s="474"/>
      <c r="K16" s="475"/>
      <c r="L16" s="476"/>
    </row>
    <row r="17" customFormat="false" ht="24.9" hidden="false" customHeight="true" outlineLevel="0" collapsed="false">
      <c r="A17" s="345" t="s">
        <v>310</v>
      </c>
      <c r="B17" s="480" t="n">
        <v>39083</v>
      </c>
      <c r="C17" s="480" t="n">
        <v>39294</v>
      </c>
      <c r="D17" s="481" t="n">
        <v>173.879</v>
      </c>
      <c r="E17" s="481" t="n">
        <f aca="false">+D17</f>
        <v>173.879</v>
      </c>
      <c r="F17" s="326" t="n">
        <v>101.108</v>
      </c>
      <c r="G17" s="482" t="n">
        <f aca="false">+E17-F17</f>
        <v>72.771</v>
      </c>
      <c r="H17" s="483" t="n">
        <f aca="false">+F17/E17</f>
        <v>0.581484825654622</v>
      </c>
      <c r="I17" s="484" t="n">
        <f aca="false">SUM(D17:D18)</f>
        <v>231.841</v>
      </c>
      <c r="J17" s="484" t="n">
        <f aca="false">SUM(F17:F18)</f>
        <v>234.057</v>
      </c>
      <c r="K17" s="485" t="n">
        <f aca="false">+I17-J17</f>
        <v>-2.21600000000001</v>
      </c>
      <c r="L17" s="348" t="n">
        <f aca="false">+J17/I17</f>
        <v>1.00955827485216</v>
      </c>
    </row>
    <row r="18" customFormat="false" ht="24.9" hidden="false" customHeight="true" outlineLevel="0" collapsed="false">
      <c r="A18" s="345"/>
      <c r="B18" s="465" t="n">
        <v>39295</v>
      </c>
      <c r="C18" s="465" t="n">
        <v>39447</v>
      </c>
      <c r="D18" s="466" t="n">
        <v>57.962</v>
      </c>
      <c r="E18" s="466" t="n">
        <f aca="false">+D18+G17</f>
        <v>130.733</v>
      </c>
      <c r="F18" s="317" t="n">
        <v>132.949</v>
      </c>
      <c r="G18" s="467" t="n">
        <f aca="false">+E18-F18</f>
        <v>-2.21600000000001</v>
      </c>
      <c r="H18" s="468" t="n">
        <f aca="false">+F18/E18</f>
        <v>1.01695057866032</v>
      </c>
      <c r="I18" s="484"/>
      <c r="J18" s="484"/>
      <c r="K18" s="485"/>
      <c r="L18" s="348"/>
      <c r="M18" s="434"/>
      <c r="N18" s="283"/>
    </row>
    <row r="19" customFormat="false" ht="24.9" hidden="false" customHeight="true" outlineLevel="0" collapsed="false">
      <c r="A19" s="319" t="s">
        <v>217</v>
      </c>
      <c r="B19" s="459" t="n">
        <v>39083</v>
      </c>
      <c r="C19" s="459" t="n">
        <v>39294</v>
      </c>
      <c r="D19" s="460" t="n">
        <v>6354.199</v>
      </c>
      <c r="E19" s="460" t="n">
        <f aca="false">+D19</f>
        <v>6354.199</v>
      </c>
      <c r="F19" s="277" t="n">
        <v>4825.525</v>
      </c>
      <c r="G19" s="461" t="n">
        <f aca="false">+E19-F19</f>
        <v>1528.674</v>
      </c>
      <c r="H19" s="462" t="n">
        <f aca="false">+F19/E19</f>
        <v>0.759423020903186</v>
      </c>
      <c r="I19" s="486" t="n">
        <f aca="false">SUM(D19:D20)</f>
        <v>8472.364</v>
      </c>
      <c r="J19" s="486" t="n">
        <f aca="false">SUM(F19:F20)</f>
        <v>7642.946</v>
      </c>
      <c r="K19" s="487" t="n">
        <f aca="false">+I19-J19</f>
        <v>829.418</v>
      </c>
      <c r="L19" s="321" t="n">
        <f aca="false">+J19/I19</f>
        <v>0.902103120215326</v>
      </c>
      <c r="M19" s="434"/>
      <c r="N19" s="283"/>
    </row>
    <row r="20" customFormat="false" ht="24.9" hidden="false" customHeight="true" outlineLevel="0" collapsed="false">
      <c r="A20" s="319"/>
      <c r="B20" s="488" t="n">
        <v>39295</v>
      </c>
      <c r="C20" s="488" t="n">
        <v>39447</v>
      </c>
      <c r="D20" s="489" t="n">
        <v>2118.165</v>
      </c>
      <c r="E20" s="489" t="n">
        <f aca="false">+D20+G19</f>
        <v>3646.839</v>
      </c>
      <c r="F20" s="322" t="n">
        <v>2817.421</v>
      </c>
      <c r="G20" s="490" t="n">
        <f aca="false">+E20-F20</f>
        <v>829.418</v>
      </c>
      <c r="H20" s="491" t="n">
        <f aca="false">+F20/E20</f>
        <v>0.772565227036346</v>
      </c>
      <c r="I20" s="486"/>
      <c r="J20" s="486"/>
      <c r="K20" s="487"/>
      <c r="L20" s="321"/>
      <c r="M20" s="434"/>
      <c r="N20" s="283"/>
    </row>
    <row r="21" customFormat="false" ht="24.9" hidden="false" customHeight="true" outlineLevel="0" collapsed="false">
      <c r="A21" s="324" t="s">
        <v>221</v>
      </c>
      <c r="B21" s="480" t="n">
        <v>39083</v>
      </c>
      <c r="C21" s="480" t="n">
        <v>39294</v>
      </c>
      <c r="D21" s="481" t="n">
        <v>6676.46</v>
      </c>
      <c r="E21" s="481" t="n">
        <f aca="false">+D21</f>
        <v>6676.46</v>
      </c>
      <c r="F21" s="326" t="n">
        <v>6042.048</v>
      </c>
      <c r="G21" s="482" t="n">
        <f aca="false">+E21-F21</f>
        <v>634.412</v>
      </c>
      <c r="H21" s="483" t="n">
        <f aca="false">+F21/E21</f>
        <v>0.904977787629972</v>
      </c>
      <c r="I21" s="484" t="n">
        <f aca="false">SUM(D21:D22)</f>
        <v>8902.05</v>
      </c>
      <c r="J21" s="484" t="n">
        <f aca="false">SUM(F21:F22)</f>
        <v>8684.925</v>
      </c>
      <c r="K21" s="485" t="n">
        <f aca="false">+I21-J21</f>
        <v>217.125</v>
      </c>
      <c r="L21" s="348" t="n">
        <f aca="false">+J21/I21</f>
        <v>0.975609550609129</v>
      </c>
      <c r="M21" s="434"/>
      <c r="N21" s="283"/>
    </row>
    <row r="22" customFormat="false" ht="24.9" hidden="false" customHeight="true" outlineLevel="0" collapsed="false">
      <c r="A22" s="324"/>
      <c r="B22" s="465" t="n">
        <v>39295</v>
      </c>
      <c r="C22" s="465" t="n">
        <v>39447</v>
      </c>
      <c r="D22" s="466" t="n">
        <v>2225.59</v>
      </c>
      <c r="E22" s="466" t="n">
        <f aca="false">+D22+G21</f>
        <v>2860.002</v>
      </c>
      <c r="F22" s="317" t="n">
        <v>2642.877</v>
      </c>
      <c r="G22" s="467" t="n">
        <f aca="false">+E22-F22</f>
        <v>217.125</v>
      </c>
      <c r="H22" s="468" t="n">
        <f aca="false">+F22/E22</f>
        <v>0.924082220921524</v>
      </c>
      <c r="I22" s="484"/>
      <c r="J22" s="484"/>
      <c r="K22" s="485"/>
      <c r="L22" s="348"/>
      <c r="M22" s="434"/>
      <c r="N22" s="283"/>
    </row>
    <row r="23" customFormat="false" ht="24.9" hidden="false" customHeight="true" outlineLevel="0" collapsed="false">
      <c r="A23" s="319" t="s">
        <v>311</v>
      </c>
      <c r="B23" s="459" t="n">
        <v>39083</v>
      </c>
      <c r="C23" s="459" t="n">
        <v>39294</v>
      </c>
      <c r="D23" s="460" t="n">
        <v>181.702</v>
      </c>
      <c r="E23" s="460" t="n">
        <f aca="false">+D23</f>
        <v>181.702</v>
      </c>
      <c r="F23" s="277" t="n">
        <v>89.389</v>
      </c>
      <c r="G23" s="461" t="n">
        <f aca="false">+E23-F23</f>
        <v>92.313</v>
      </c>
      <c r="H23" s="462" t="n">
        <f aca="false">+F23/E23</f>
        <v>0.491953858515591</v>
      </c>
      <c r="I23" s="486" t="n">
        <f aca="false">SUM(D23:D24)</f>
        <v>242.272</v>
      </c>
      <c r="J23" s="486" t="n">
        <f aca="false">SUM(F23:F24)</f>
        <v>242.27</v>
      </c>
      <c r="K23" s="487" t="n">
        <f aca="false">+I23-J23</f>
        <v>0.00200000000000955</v>
      </c>
      <c r="L23" s="321" t="n">
        <f aca="false">+J23/I23</f>
        <v>0.999991744815744</v>
      </c>
      <c r="N23" s="283"/>
    </row>
    <row r="24" customFormat="false" ht="24.9" hidden="false" customHeight="true" outlineLevel="0" collapsed="false">
      <c r="A24" s="319"/>
      <c r="B24" s="488" t="n">
        <v>39295</v>
      </c>
      <c r="C24" s="488" t="n">
        <v>39447</v>
      </c>
      <c r="D24" s="489" t="n">
        <v>60.57</v>
      </c>
      <c r="E24" s="489" t="n">
        <f aca="false">+D24+G23</f>
        <v>152.883</v>
      </c>
      <c r="F24" s="322" t="n">
        <v>152.881</v>
      </c>
      <c r="G24" s="490" t="n">
        <f aca="false">+E24-F24</f>
        <v>0.00200000000000955</v>
      </c>
      <c r="H24" s="491" t="n">
        <f aca="false">+F24/E24</f>
        <v>0.99998691810077</v>
      </c>
      <c r="I24" s="486"/>
      <c r="J24" s="486"/>
      <c r="K24" s="487"/>
      <c r="L24" s="321"/>
      <c r="M24" s="434"/>
      <c r="N24" s="283"/>
    </row>
    <row r="25" customFormat="false" ht="24.9" hidden="false" customHeight="true" outlineLevel="0" collapsed="false">
      <c r="A25" s="324" t="s">
        <v>312</v>
      </c>
      <c r="B25" s="480" t="n">
        <v>39083</v>
      </c>
      <c r="C25" s="480" t="n">
        <v>39294</v>
      </c>
      <c r="D25" s="481" t="n">
        <v>227.052</v>
      </c>
      <c r="E25" s="481" t="n">
        <f aca="false">+D25</f>
        <v>227.052</v>
      </c>
      <c r="F25" s="326" t="n">
        <v>91.437</v>
      </c>
      <c r="G25" s="482" t="n">
        <f aca="false">+E25-F25</f>
        <v>135.615</v>
      </c>
      <c r="H25" s="483" t="n">
        <f aca="false">+F25/E25</f>
        <v>0.402713915754981</v>
      </c>
      <c r="I25" s="492" t="n">
        <f aca="false">(SUM(D25:D26))</f>
        <v>302.739</v>
      </c>
      <c r="J25" s="492" t="n">
        <f aca="false">SUM(F25:F26)</f>
        <v>291.922</v>
      </c>
      <c r="K25" s="493" t="n">
        <f aca="false">+I25-J25</f>
        <v>10.817</v>
      </c>
      <c r="L25" s="332" t="n">
        <f aca="false">+J25/I25</f>
        <v>0.964269552320646</v>
      </c>
      <c r="N25" s="283"/>
    </row>
    <row r="26" customFormat="false" ht="24.9" hidden="false" customHeight="true" outlineLevel="0" collapsed="false">
      <c r="A26" s="324"/>
      <c r="B26" s="488" t="n">
        <v>39295</v>
      </c>
      <c r="C26" s="488" t="n">
        <v>39447</v>
      </c>
      <c r="D26" s="489" t="n">
        <v>75.687</v>
      </c>
      <c r="E26" s="489" t="n">
        <f aca="false">+D26+G25</f>
        <v>211.302</v>
      </c>
      <c r="F26" s="322" t="n">
        <v>200.485</v>
      </c>
      <c r="G26" s="490" t="n">
        <f aca="false">+E26-F26</f>
        <v>10.817</v>
      </c>
      <c r="H26" s="491" t="n">
        <f aca="false">+F26/E26</f>
        <v>0.948807867412519</v>
      </c>
      <c r="I26" s="492"/>
      <c r="J26" s="492"/>
      <c r="K26" s="493"/>
      <c r="L26" s="332"/>
      <c r="M26" s="434"/>
      <c r="N26" s="283"/>
    </row>
    <row r="27" customFormat="false" ht="24.9" hidden="false" customHeight="true" outlineLevel="0" collapsed="false">
      <c r="A27" s="319" t="s">
        <v>313</v>
      </c>
      <c r="B27" s="459" t="n">
        <v>39083</v>
      </c>
      <c r="C27" s="459" t="n">
        <v>39294</v>
      </c>
      <c r="D27" s="460" t="n">
        <v>182.397</v>
      </c>
      <c r="E27" s="460" t="n">
        <f aca="false">+D27</f>
        <v>182.397</v>
      </c>
      <c r="F27" s="277"/>
      <c r="G27" s="461" t="n">
        <f aca="false">+E27-F27</f>
        <v>182.397</v>
      </c>
      <c r="H27" s="462" t="n">
        <f aca="false">+F27/E27</f>
        <v>0</v>
      </c>
      <c r="I27" s="486" t="n">
        <f aca="false">SUM(D27:D28)</f>
        <v>243.199</v>
      </c>
      <c r="J27" s="486" t="n">
        <f aca="false">SUM(F27:F28)</f>
        <v>0</v>
      </c>
      <c r="K27" s="487" t="n">
        <f aca="false">+I27-J27</f>
        <v>243.199</v>
      </c>
      <c r="L27" s="321" t="n">
        <f aca="false">+J27/I27</f>
        <v>0</v>
      </c>
      <c r="M27" s="434"/>
      <c r="N27" s="494"/>
    </row>
    <row r="28" customFormat="false" ht="24.9" hidden="false" customHeight="true" outlineLevel="0" collapsed="false">
      <c r="A28" s="319"/>
      <c r="B28" s="488" t="n">
        <v>39295</v>
      </c>
      <c r="C28" s="488" t="n">
        <v>39447</v>
      </c>
      <c r="D28" s="489" t="n">
        <v>60.802</v>
      </c>
      <c r="E28" s="489" t="n">
        <f aca="false">+D28+G27</f>
        <v>243.199</v>
      </c>
      <c r="F28" s="322"/>
      <c r="G28" s="490" t="n">
        <f aca="false">+E28-F28</f>
        <v>243.199</v>
      </c>
      <c r="H28" s="491" t="n">
        <f aca="false">+F28/E28</f>
        <v>0</v>
      </c>
      <c r="I28" s="486"/>
      <c r="J28" s="486"/>
      <c r="K28" s="487"/>
      <c r="L28" s="321"/>
      <c r="M28" s="434"/>
      <c r="N28" s="494"/>
    </row>
    <row r="29" customFormat="false" ht="24.9" hidden="false" customHeight="true" outlineLevel="0" collapsed="false">
      <c r="A29" s="319" t="s">
        <v>314</v>
      </c>
      <c r="B29" s="459" t="n">
        <v>39083</v>
      </c>
      <c r="C29" s="459" t="n">
        <v>39294</v>
      </c>
      <c r="D29" s="460" t="n">
        <v>6.967</v>
      </c>
      <c r="E29" s="460" t="n">
        <f aca="false">+D29</f>
        <v>6.967</v>
      </c>
      <c r="F29" s="277" t="n">
        <v>9.272</v>
      </c>
      <c r="G29" s="461" t="n">
        <f aca="false">+E29-F29</f>
        <v>-2.305</v>
      </c>
      <c r="H29" s="462" t="n">
        <f aca="false">+F29/E29</f>
        <v>1.33084541409502</v>
      </c>
      <c r="I29" s="486" t="n">
        <f aca="false">SUM(D29:D30)</f>
        <v>9.29</v>
      </c>
      <c r="J29" s="486" t="n">
        <f aca="false">SUM(F29:F30)</f>
        <v>9.272</v>
      </c>
      <c r="K29" s="487" t="n">
        <f aca="false">+I29-J29</f>
        <v>0.0179999999999989</v>
      </c>
      <c r="L29" s="495" t="n">
        <f aca="false">+J29/I29</f>
        <v>0.998062432723359</v>
      </c>
      <c r="M29" s="434"/>
      <c r="N29" s="494"/>
    </row>
    <row r="30" customFormat="false" ht="24.9" hidden="false" customHeight="true" outlineLevel="0" collapsed="false">
      <c r="A30" s="319"/>
      <c r="B30" s="488" t="n">
        <v>39295</v>
      </c>
      <c r="C30" s="488" t="n">
        <v>39447</v>
      </c>
      <c r="D30" s="489" t="n">
        <v>2.323</v>
      </c>
      <c r="E30" s="489" t="n">
        <f aca="false">+D30+G29</f>
        <v>0.0179999999999994</v>
      </c>
      <c r="F30" s="322"/>
      <c r="G30" s="490" t="n">
        <f aca="false">+E30-F30</f>
        <v>0.0179999999999994</v>
      </c>
      <c r="H30" s="491" t="n">
        <f aca="false">+F30/E30</f>
        <v>0</v>
      </c>
      <c r="I30" s="486"/>
      <c r="J30" s="486"/>
      <c r="K30" s="487"/>
      <c r="L30" s="495"/>
      <c r="M30" s="434"/>
      <c r="N30" s="494"/>
    </row>
    <row r="31" customFormat="false" ht="24.9" hidden="false" customHeight="true" outlineLevel="0" collapsed="false">
      <c r="A31" s="324" t="s">
        <v>315</v>
      </c>
      <c r="B31" s="480" t="n">
        <v>39083</v>
      </c>
      <c r="C31" s="480" t="n">
        <v>39294</v>
      </c>
      <c r="D31" s="481" t="n">
        <v>0.77</v>
      </c>
      <c r="E31" s="481" t="n">
        <f aca="false">+D31</f>
        <v>0.77</v>
      </c>
      <c r="F31" s="326"/>
      <c r="G31" s="482" t="n">
        <f aca="false">+E31-F31</f>
        <v>0.77</v>
      </c>
      <c r="H31" s="483" t="n">
        <f aca="false">+F31/E31</f>
        <v>0</v>
      </c>
      <c r="I31" s="492" t="n">
        <f aca="false">(SUM(D31:D32))</f>
        <v>1.027</v>
      </c>
      <c r="J31" s="492" t="n">
        <f aca="false">SUM(F31:F32)</f>
        <v>0</v>
      </c>
      <c r="K31" s="493" t="n">
        <f aca="false">+I31-J31</f>
        <v>1.027</v>
      </c>
      <c r="L31" s="332" t="n">
        <f aca="false">+J31/I31</f>
        <v>0</v>
      </c>
    </row>
    <row r="32" customFormat="false" ht="24.9" hidden="false" customHeight="true" outlineLevel="0" collapsed="false">
      <c r="A32" s="324"/>
      <c r="B32" s="488" t="n">
        <v>39295</v>
      </c>
      <c r="C32" s="488" t="n">
        <v>39447</v>
      </c>
      <c r="D32" s="489" t="n">
        <v>0.257</v>
      </c>
      <c r="E32" s="489" t="n">
        <f aca="false">+D32+G31</f>
        <v>1.027</v>
      </c>
      <c r="F32" s="322"/>
      <c r="G32" s="490" t="n">
        <f aca="false">+E32-F32</f>
        <v>1.027</v>
      </c>
      <c r="H32" s="491" t="n">
        <f aca="false">+F32/E32</f>
        <v>0</v>
      </c>
      <c r="I32" s="492"/>
      <c r="J32" s="492"/>
      <c r="K32" s="493"/>
      <c r="L32" s="332"/>
    </row>
    <row r="33" customFormat="false" ht="24.9" hidden="false" customHeight="true" outlineLevel="0" collapsed="false">
      <c r="A33" s="324" t="s">
        <v>316</v>
      </c>
      <c r="B33" s="480" t="n">
        <v>39083</v>
      </c>
      <c r="C33" s="480" t="n">
        <v>39294</v>
      </c>
      <c r="D33" s="481" t="n">
        <v>5.998</v>
      </c>
      <c r="E33" s="481" t="n">
        <f aca="false">+D33</f>
        <v>5.998</v>
      </c>
      <c r="F33" s="326"/>
      <c r="G33" s="482" t="n">
        <f aca="false">+E33-F33</f>
        <v>5.998</v>
      </c>
      <c r="H33" s="483" t="n">
        <f aca="false">+F33/E33</f>
        <v>0</v>
      </c>
      <c r="I33" s="492" t="n">
        <f aca="false">SUM(D33:D34)</f>
        <v>7.997</v>
      </c>
      <c r="J33" s="492" t="n">
        <f aca="false">+F33+F34</f>
        <v>2.643</v>
      </c>
      <c r="K33" s="493" t="n">
        <f aca="false">+I33-J33</f>
        <v>5.354</v>
      </c>
      <c r="L33" s="332" t="n">
        <f aca="false">+J33/I33</f>
        <v>0.330498937101413</v>
      </c>
      <c r="N33" s="283"/>
    </row>
    <row r="34" customFormat="false" ht="24.9" hidden="false" customHeight="true" outlineLevel="0" collapsed="false">
      <c r="A34" s="324"/>
      <c r="B34" s="488" t="n">
        <v>39295</v>
      </c>
      <c r="C34" s="488" t="n">
        <v>39447</v>
      </c>
      <c r="D34" s="489" t="n">
        <v>1.999</v>
      </c>
      <c r="E34" s="489" t="n">
        <f aca="false">+D34+G33</f>
        <v>7.997</v>
      </c>
      <c r="F34" s="322" t="n">
        <v>2.643</v>
      </c>
      <c r="G34" s="490" t="n">
        <f aca="false">+E34-F34</f>
        <v>5.354</v>
      </c>
      <c r="H34" s="491" t="n">
        <f aca="false">+F34/E34</f>
        <v>0.330498937101413</v>
      </c>
      <c r="I34" s="492"/>
      <c r="J34" s="492"/>
      <c r="K34" s="493"/>
      <c r="L34" s="332"/>
      <c r="M34" s="283"/>
      <c r="N34" s="283"/>
    </row>
    <row r="35" customFormat="false" ht="24.9" hidden="false" customHeight="true" outlineLevel="0" collapsed="false">
      <c r="A35" s="345" t="s">
        <v>317</v>
      </c>
      <c r="B35" s="480" t="n">
        <v>39083</v>
      </c>
      <c r="C35" s="480" t="n">
        <v>39294</v>
      </c>
      <c r="D35" s="481" t="n">
        <v>114.332</v>
      </c>
      <c r="E35" s="481" t="n">
        <f aca="false">+D35</f>
        <v>114.332</v>
      </c>
      <c r="F35" s="326" t="n">
        <v>14.344</v>
      </c>
      <c r="G35" s="482" t="n">
        <f aca="false">+E35-F35</f>
        <v>99.988</v>
      </c>
      <c r="H35" s="483" t="n">
        <f aca="false">+F35/E35</f>
        <v>0.125459189028443</v>
      </c>
      <c r="I35" s="484" t="n">
        <f aca="false">SUM(D35:D36)</f>
        <v>152.445</v>
      </c>
      <c r="J35" s="484" t="n">
        <f aca="false">SUM(F35:F36)</f>
        <v>146.523</v>
      </c>
      <c r="K35" s="485" t="n">
        <f aca="false">+I35-J35</f>
        <v>5.922</v>
      </c>
      <c r="L35" s="348" t="n">
        <f aca="false">+J35/I35</f>
        <v>0.961153202794451</v>
      </c>
      <c r="N35" s="283"/>
    </row>
    <row r="36" customFormat="false" ht="24.9" hidden="false" customHeight="true" outlineLevel="0" collapsed="false">
      <c r="A36" s="345"/>
      <c r="B36" s="465" t="n">
        <v>39295</v>
      </c>
      <c r="C36" s="465" t="n">
        <v>39447</v>
      </c>
      <c r="D36" s="466" t="n">
        <v>38.113</v>
      </c>
      <c r="E36" s="466" t="n">
        <f aca="false">+D36+G35</f>
        <v>138.101</v>
      </c>
      <c r="F36" s="317" t="n">
        <v>132.179</v>
      </c>
      <c r="G36" s="467" t="n">
        <f aca="false">+E36-F36</f>
        <v>5.922</v>
      </c>
      <c r="H36" s="468" t="n">
        <f aca="false">+F36/E36</f>
        <v>0.957118340924396</v>
      </c>
      <c r="I36" s="484"/>
      <c r="J36" s="484"/>
      <c r="K36" s="485"/>
      <c r="L36" s="348"/>
      <c r="M36" s="434"/>
      <c r="N36" s="283"/>
    </row>
    <row r="37" customFormat="false" ht="24.9" hidden="false" customHeight="true" outlineLevel="0" collapsed="false">
      <c r="A37" s="319" t="s">
        <v>318</v>
      </c>
      <c r="B37" s="275" t="n">
        <v>39083</v>
      </c>
      <c r="C37" s="275" t="n">
        <v>39294</v>
      </c>
      <c r="D37" s="277" t="n">
        <v>149.834</v>
      </c>
      <c r="E37" s="277" t="n">
        <f aca="false">+D37</f>
        <v>149.834</v>
      </c>
      <c r="F37" s="277"/>
      <c r="G37" s="292" t="n">
        <f aca="false">+E37-F37</f>
        <v>149.834</v>
      </c>
      <c r="H37" s="279" t="n">
        <f aca="false">+F37/E37</f>
        <v>0</v>
      </c>
      <c r="I37" s="343" t="n">
        <f aca="false">SUM(D37:D38)</f>
        <v>199.781</v>
      </c>
      <c r="J37" s="343" t="n">
        <f aca="false">SUM(F37:F38)</f>
        <v>0</v>
      </c>
      <c r="K37" s="344" t="n">
        <f aca="false">+I37-J37</f>
        <v>199.781</v>
      </c>
      <c r="L37" s="321" t="n">
        <f aca="false">+J37/I37</f>
        <v>0</v>
      </c>
      <c r="N37" s="283"/>
    </row>
    <row r="38" customFormat="false" ht="24.9" hidden="false" customHeight="true" outlineLevel="0" collapsed="false">
      <c r="A38" s="319"/>
      <c r="B38" s="300" t="n">
        <v>39295</v>
      </c>
      <c r="C38" s="300" t="n">
        <v>39447</v>
      </c>
      <c r="D38" s="322" t="n">
        <v>49.947</v>
      </c>
      <c r="E38" s="322" t="n">
        <f aca="false">+D38+G37</f>
        <v>199.781</v>
      </c>
      <c r="F38" s="322"/>
      <c r="G38" s="323" t="n">
        <f aca="false">+E38-F38</f>
        <v>199.781</v>
      </c>
      <c r="H38" s="303" t="n">
        <f aca="false">+F38/E38</f>
        <v>0</v>
      </c>
      <c r="I38" s="343"/>
      <c r="J38" s="343"/>
      <c r="K38" s="344"/>
      <c r="L38" s="321"/>
      <c r="M38" s="434"/>
    </row>
    <row r="39" customFormat="false" ht="13.8" hidden="false" customHeight="false" outlineLevel="0" collapsed="false">
      <c r="A39" s="131"/>
      <c r="B39" s="131"/>
      <c r="C39" s="131"/>
      <c r="D39" s="131"/>
      <c r="E39" s="131"/>
      <c r="F39" s="131"/>
      <c r="G39" s="131"/>
      <c r="H39" s="131"/>
      <c r="I39" s="334"/>
      <c r="J39" s="334"/>
      <c r="K39" s="406"/>
      <c r="L39" s="310"/>
    </row>
    <row r="40" customFormat="false" ht="15.6" hidden="false" customHeight="false" outlineLevel="0" collapsed="false">
      <c r="A40" s="98" t="s">
        <v>173</v>
      </c>
      <c r="B40" s="98" t="s">
        <v>192</v>
      </c>
      <c r="C40" s="98"/>
      <c r="D40" s="98" t="s">
        <v>193</v>
      </c>
      <c r="E40" s="98"/>
      <c r="F40" s="98" t="s">
        <v>156</v>
      </c>
      <c r="G40" s="98"/>
      <c r="H40" s="98"/>
      <c r="I40" s="98" t="s">
        <v>194</v>
      </c>
      <c r="J40" s="98"/>
      <c r="K40" s="98"/>
      <c r="L40" s="98"/>
    </row>
    <row r="41" customFormat="false" ht="15.6" hidden="false" customHeight="false" outlineLevel="0" collapsed="false">
      <c r="A41" s="97" t="s">
        <v>319</v>
      </c>
      <c r="B41" s="98" t="s">
        <v>199</v>
      </c>
      <c r="C41" s="98" t="s">
        <v>200</v>
      </c>
      <c r="D41" s="97" t="s">
        <v>201</v>
      </c>
      <c r="E41" s="97" t="s">
        <v>202</v>
      </c>
      <c r="F41" s="97" t="s">
        <v>43</v>
      </c>
      <c r="G41" s="97" t="s">
        <v>44</v>
      </c>
      <c r="H41" s="97" t="s">
        <v>159</v>
      </c>
      <c r="I41" s="97" t="s">
        <v>193</v>
      </c>
      <c r="J41" s="97" t="s">
        <v>43</v>
      </c>
      <c r="K41" s="97" t="s">
        <v>44</v>
      </c>
      <c r="L41" s="97" t="s">
        <v>159</v>
      </c>
    </row>
    <row r="42" customFormat="false" ht="13.8" hidden="false" customHeight="false" outlineLevel="0" collapsed="false">
      <c r="A42" s="97"/>
      <c r="B42" s="311" t="n">
        <v>39083</v>
      </c>
      <c r="C42" s="311" t="n">
        <v>39294</v>
      </c>
      <c r="D42" s="148" t="n">
        <f aca="false">+D7+D9+D11+D13+D17+D23+D25+D31+D33+D35+D37+D15+D19+D21+D27+D29</f>
        <v>21374.114</v>
      </c>
      <c r="E42" s="148" t="n">
        <f aca="false">+D42</f>
        <v>21374.114</v>
      </c>
      <c r="F42" s="150" t="n">
        <f aca="false">+F7+F9+F11+F13+F17+F23+F25+F31+F33+F35+F37+F15+F19+F21+F27+F29</f>
        <v>15666.398</v>
      </c>
      <c r="G42" s="496" t="n">
        <f aca="false">+E42-F42</f>
        <v>5707.716</v>
      </c>
      <c r="H42" s="120" t="n">
        <f aca="false">+F42/E42</f>
        <v>0.732961282044252</v>
      </c>
      <c r="I42" s="109" t="n">
        <f aca="false">SUM(D42:D43)</f>
        <v>28499.152</v>
      </c>
      <c r="J42" s="497" t="n">
        <f aca="false">SUM(F42:F43)</f>
        <v>24978.409</v>
      </c>
      <c r="K42" s="118" t="n">
        <f aca="false">+I42-J42</f>
        <v>3520.743</v>
      </c>
      <c r="L42" s="315" t="n">
        <f aca="false">+J42/I42</f>
        <v>0.876461482081993</v>
      </c>
    </row>
    <row r="43" customFormat="false" ht="13.8" hidden="false" customHeight="false" outlineLevel="0" collapsed="false">
      <c r="A43" s="97"/>
      <c r="B43" s="311" t="n">
        <v>39295</v>
      </c>
      <c r="C43" s="311" t="n">
        <v>39447</v>
      </c>
      <c r="D43" s="148" t="n">
        <f aca="false">+D8+D10+D12+D14+D18+D24+D26+D32+D34+D36+D38+D16+D20+D22+D28+D30</f>
        <v>7125.038</v>
      </c>
      <c r="E43" s="148" t="n">
        <f aca="false">+D43+G42</f>
        <v>12832.754</v>
      </c>
      <c r="F43" s="150" t="n">
        <f aca="false">+F8+F10+F12+F14+F18+F24+F26+F32+F34+F36+F38+F16+F20+F22+F28+F30</f>
        <v>9312.011</v>
      </c>
      <c r="G43" s="496" t="n">
        <f aca="false">+E43-F43</f>
        <v>3520.743</v>
      </c>
      <c r="H43" s="120" t="n">
        <f aca="false">+F43/E43</f>
        <v>0.725644004396874</v>
      </c>
      <c r="I43" s="109"/>
      <c r="J43" s="497"/>
      <c r="K43" s="118"/>
      <c r="L43" s="315"/>
    </row>
    <row r="44" customFormat="false" ht="13.8" hidden="false" customHeight="fals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customFormat="false" ht="13.8" hidden="false" customHeight="fals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customFormat="false" ht="15.6" hidden="false" customHeight="false" outlineLevel="0" collapsed="false">
      <c r="A46" s="46"/>
      <c r="B46" s="46"/>
      <c r="C46" s="46"/>
      <c r="D46" s="46"/>
      <c r="E46" s="46"/>
      <c r="F46" s="374"/>
      <c r="G46" s="46"/>
      <c r="H46" s="46"/>
      <c r="I46" s="97" t="s">
        <v>193</v>
      </c>
      <c r="J46" s="97" t="s">
        <v>43</v>
      </c>
      <c r="K46" s="97" t="s">
        <v>44</v>
      </c>
      <c r="L46" s="97" t="s">
        <v>159</v>
      </c>
      <c r="O46" s="51" t="s">
        <v>43</v>
      </c>
    </row>
    <row r="47" customFormat="false" ht="15.6" hidden="false" customHeight="false" outlineLevel="0" collapsed="false">
      <c r="A47" s="46"/>
      <c r="B47" s="46"/>
      <c r="C47" s="46"/>
      <c r="D47" s="46"/>
      <c r="E47" s="46"/>
      <c r="F47" s="46"/>
      <c r="G47" s="46"/>
      <c r="H47" s="97" t="s">
        <v>283</v>
      </c>
      <c r="I47" s="151" t="n">
        <v>250</v>
      </c>
      <c r="J47" s="151" t="n">
        <f aca="false">O47+O48+O49+O50+O51+O52+O53+O54+O55+O56</f>
        <v>96.075</v>
      </c>
      <c r="K47" s="151" t="n">
        <f aca="false">I47-J47</f>
        <v>153.925</v>
      </c>
      <c r="L47" s="427" t="n">
        <f aca="false">J47/I47</f>
        <v>0.3843</v>
      </c>
      <c r="N47" s="115" t="s">
        <v>169</v>
      </c>
      <c r="O47" s="429" t="n">
        <v>24.254</v>
      </c>
    </row>
    <row r="48" customFormat="false" ht="13.8" hidden="false" customHeight="fals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N48" s="298" t="s">
        <v>320</v>
      </c>
      <c r="O48" s="429" t="n">
        <v>2.713</v>
      </c>
    </row>
    <row r="49" customFormat="false" ht="13.8" hidden="false" customHeight="fals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N49" s="298" t="s">
        <v>321</v>
      </c>
      <c r="O49" s="429" t="n">
        <v>6.226</v>
      </c>
    </row>
    <row r="50" customFormat="false" ht="13.8" hidden="false" customHeight="fals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30" t="s">
        <v>165</v>
      </c>
      <c r="O50" s="431" t="n">
        <v>27.488</v>
      </c>
    </row>
    <row r="51" customFormat="false" ht="13.8" hidden="false" customHeight="fals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30" t="s">
        <v>322</v>
      </c>
      <c r="O51" s="431" t="n">
        <v>4.092</v>
      </c>
    </row>
    <row r="52" customFormat="false" ht="13.8" hidden="false" customHeight="fals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30" t="s">
        <v>323</v>
      </c>
      <c r="O52" s="431" t="n">
        <v>10.152</v>
      </c>
    </row>
    <row r="53" customFormat="false" ht="13.8" hidden="false" customHeight="false" outlineLevel="0" collapsed="false">
      <c r="A53" s="46"/>
      <c r="B53" s="46"/>
      <c r="C53" s="46"/>
      <c r="D53" s="46"/>
      <c r="E53" s="46"/>
      <c r="F53" s="46"/>
      <c r="G53" s="374"/>
      <c r="H53" s="46"/>
      <c r="I53" s="46"/>
      <c r="J53" s="46"/>
      <c r="K53" s="46"/>
      <c r="L53" s="46"/>
      <c r="N53" s="430" t="s">
        <v>324</v>
      </c>
      <c r="O53" s="431" t="n">
        <v>2.986</v>
      </c>
    </row>
    <row r="54" customFormat="false" ht="13.8" hidden="false" customHeight="fals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30" t="s">
        <v>325</v>
      </c>
      <c r="O54" s="431" t="n">
        <v>17.216</v>
      </c>
    </row>
    <row r="55" customFormat="false" ht="13.8" hidden="false" customHeight="fals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374"/>
      <c r="K55" s="46"/>
      <c r="L55" s="46"/>
      <c r="N55" s="430" t="s">
        <v>326</v>
      </c>
      <c r="O55" s="431" t="n">
        <v>0.828</v>
      </c>
    </row>
    <row r="56" customFormat="false" ht="13.8" hidden="false" customHeight="fals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30" t="s">
        <v>327</v>
      </c>
      <c r="O56" s="429" t="n">
        <v>0.12</v>
      </c>
    </row>
    <row r="57" customFormat="false" ht="13.8" hidden="false" customHeight="fals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30" t="s">
        <v>328</v>
      </c>
      <c r="O57" s="431" t="n">
        <v>5.513</v>
      </c>
    </row>
    <row r="58" customFormat="false" ht="13.8" hidden="false" customHeight="fals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30" t="s">
        <v>329</v>
      </c>
      <c r="O58" s="431" t="n">
        <v>0.143</v>
      </c>
    </row>
    <row r="59" customFormat="false" ht="13.8" hidden="false" customHeight="fals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</row>
    <row r="60" customFormat="false" ht="13.8" hidden="false" customHeight="fals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customFormat="false" ht="13.8" hidden="false" customHeight="fals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</row>
    <row r="62" customFormat="false" ht="13.8" hidden="false" customHeight="fals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customFormat="false" ht="13.8" hidden="false" customHeight="fals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</row>
    <row r="64" customFormat="false" ht="13.8" hidden="false" customHeight="fals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customFormat="false" ht="13.8" hidden="false" customHeight="fals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</row>
    <row r="66" customFormat="false" ht="13.8" hidden="false" customHeight="fals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</row>
    <row r="67" customFormat="false" ht="13.8" hidden="false" customHeight="fals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</row>
    <row r="68" customFormat="false" ht="13.8" hidden="false" customHeight="fals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</row>
    <row r="69" customFormat="false" ht="13.8" hidden="false" customHeight="fals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</row>
    <row r="70" customFormat="false" ht="13.8" hidden="false" customHeight="fals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</row>
    <row r="71" customFormat="false" ht="13.8" hidden="false" customHeight="fals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</row>
    <row r="72" customFormat="false" ht="13.8" hidden="false" customHeight="fals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</row>
    <row r="73" customFormat="false" ht="13.8" hidden="false" customHeight="fals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</row>
    <row r="74" customFormat="false" ht="13.8" hidden="false" customHeight="fals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</row>
    <row r="75" customFormat="false" ht="13.8" hidden="false" customHeight="fals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</row>
    <row r="76" customFormat="false" ht="13.8" hidden="false" customHeight="fals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</row>
    <row r="77" customFormat="false" ht="13.8" hidden="false" customHeight="fals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</row>
    <row r="78" customFormat="false" ht="13.8" hidden="false" customHeight="fals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</row>
    <row r="79" customFormat="false" ht="13.8" hidden="false" customHeight="fals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</row>
    <row r="80" customFormat="false" ht="13.8" hidden="false" customHeight="fals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</row>
    <row r="81" customFormat="false" ht="13.8" hidden="false" customHeight="fals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</row>
    <row r="82" customFormat="false" ht="13.8" hidden="false" customHeight="fals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</row>
    <row r="83" customFormat="false" ht="13.8" hidden="false" customHeight="fals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</row>
    <row r="84" customFormat="false" ht="13.8" hidden="false" customHeight="fals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</row>
    <row r="85" customFormat="false" ht="13.8" hidden="false" customHeight="fals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</row>
    <row r="86" customFormat="false" ht="13.8" hidden="false" customHeight="fals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</row>
    <row r="87" customFormat="false" ht="13.8" hidden="false" customHeight="fals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</row>
  </sheetData>
  <mergeCells count="96">
    <mergeCell ref="A2:L2"/>
    <mergeCell ref="A3:L3"/>
    <mergeCell ref="B5:C5"/>
    <mergeCell ref="D5:E5"/>
    <mergeCell ref="F5:H5"/>
    <mergeCell ref="I5:L5"/>
    <mergeCell ref="A7:A8"/>
    <mergeCell ref="I7:I8"/>
    <mergeCell ref="J7:J8"/>
    <mergeCell ref="K7:K8"/>
    <mergeCell ref="L7:L8"/>
    <mergeCell ref="A9:A10"/>
    <mergeCell ref="I9:I10"/>
    <mergeCell ref="J9:J10"/>
    <mergeCell ref="K9:K10"/>
    <mergeCell ref="L9:L10"/>
    <mergeCell ref="A11:A12"/>
    <mergeCell ref="I11:I12"/>
    <mergeCell ref="J11:J12"/>
    <mergeCell ref="K11:K12"/>
    <mergeCell ref="L11:L12"/>
    <mergeCell ref="A13:A14"/>
    <mergeCell ref="I13:I14"/>
    <mergeCell ref="J13:J14"/>
    <mergeCell ref="K13:K14"/>
    <mergeCell ref="L13:L14"/>
    <mergeCell ref="A15:A16"/>
    <mergeCell ref="I15:I16"/>
    <mergeCell ref="J15:J16"/>
    <mergeCell ref="K15:K16"/>
    <mergeCell ref="L15:L16"/>
    <mergeCell ref="A17:A18"/>
    <mergeCell ref="I17:I18"/>
    <mergeCell ref="J17:J18"/>
    <mergeCell ref="K17:K18"/>
    <mergeCell ref="L17:L18"/>
    <mergeCell ref="A19:A20"/>
    <mergeCell ref="I19:I20"/>
    <mergeCell ref="J19:J20"/>
    <mergeCell ref="K19:K20"/>
    <mergeCell ref="L19:L20"/>
    <mergeCell ref="A21:A22"/>
    <mergeCell ref="I21:I22"/>
    <mergeCell ref="J21:J22"/>
    <mergeCell ref="K21:K22"/>
    <mergeCell ref="L21:L22"/>
    <mergeCell ref="A23:A24"/>
    <mergeCell ref="I23:I24"/>
    <mergeCell ref="J23:J24"/>
    <mergeCell ref="K23:K24"/>
    <mergeCell ref="L23:L24"/>
    <mergeCell ref="A25:A26"/>
    <mergeCell ref="I25:I26"/>
    <mergeCell ref="J25:J26"/>
    <mergeCell ref="K25:K26"/>
    <mergeCell ref="L25:L26"/>
    <mergeCell ref="A27:A28"/>
    <mergeCell ref="I27:I28"/>
    <mergeCell ref="J27:J28"/>
    <mergeCell ref="K27:K28"/>
    <mergeCell ref="L27:L28"/>
    <mergeCell ref="A29:A30"/>
    <mergeCell ref="I29:I30"/>
    <mergeCell ref="J29:J30"/>
    <mergeCell ref="K29:K30"/>
    <mergeCell ref="L29:L30"/>
    <mergeCell ref="A31:A32"/>
    <mergeCell ref="I31:I32"/>
    <mergeCell ref="J31:J32"/>
    <mergeCell ref="K31:K32"/>
    <mergeCell ref="L31:L32"/>
    <mergeCell ref="A33:A34"/>
    <mergeCell ref="I33:I34"/>
    <mergeCell ref="J33:J34"/>
    <mergeCell ref="K33:K34"/>
    <mergeCell ref="L33:L34"/>
    <mergeCell ref="A35:A36"/>
    <mergeCell ref="I35:I36"/>
    <mergeCell ref="J35:J36"/>
    <mergeCell ref="K35:K36"/>
    <mergeCell ref="L35:L36"/>
    <mergeCell ref="A37:A38"/>
    <mergeCell ref="I37:I38"/>
    <mergeCell ref="J37:J38"/>
    <mergeCell ref="K37:K38"/>
    <mergeCell ref="L37:L38"/>
    <mergeCell ref="A39:H39"/>
    <mergeCell ref="B40:C40"/>
    <mergeCell ref="D40:E40"/>
    <mergeCell ref="F40:H40"/>
    <mergeCell ref="I40:L40"/>
    <mergeCell ref="A41:A43"/>
    <mergeCell ref="I42:I43"/>
    <mergeCell ref="J42:J43"/>
    <mergeCell ref="K42:K43"/>
    <mergeCell ref="L42:L43"/>
  </mergeCells>
  <printOptions headings="false" gridLines="false" gridLinesSet="true" horizontalCentered="false" verticalCentered="false"/>
  <pageMargins left="0.275694444444444" right="0.315277777777778" top="0.196527777777778" bottom="0.157638888888889" header="0.511811023622047" footer="0.511811023622047"/>
  <pageSetup paperSize="5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25" colorId="64" zoomScale="80" zoomScaleNormal="80" zoomScalePageLayoutView="100" workbookViewId="0">
      <selection pane="topLeft" activeCell="F45" activeCellId="0" sqref="F45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27.55"/>
    <col collapsed="false" customWidth="true" hidden="false" outlineLevel="0" max="2" min="2" style="428" width="6.87"/>
    <col collapsed="false" customWidth="true" hidden="false" outlineLevel="0" max="3" min="3" style="428" width="6.99"/>
    <col collapsed="false" customWidth="true" hidden="false" outlineLevel="0" max="4" min="4" style="428" width="9.99"/>
    <col collapsed="false" customWidth="true" hidden="false" outlineLevel="0" max="5" min="5" style="428" width="10.32"/>
    <col collapsed="false" customWidth="true" hidden="false" outlineLevel="0" max="6" min="6" style="428" width="19.99"/>
    <col collapsed="false" customWidth="true" hidden="false" outlineLevel="0" max="7" min="7" style="498" width="11.87"/>
    <col collapsed="false" customWidth="true" hidden="false" outlineLevel="0" max="8" min="8" style="428" width="13.99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3.99"/>
    <col collapsed="false" customWidth="false" hidden="false" outlineLevel="0" max="13" min="13" style="428" width="11.43"/>
    <col collapsed="false" customWidth="true" hidden="false" outlineLevel="0" max="14" min="14" style="428" width="15.55"/>
    <col collapsed="false" customWidth="false" hidden="false" outlineLevel="0" max="257" min="15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10"/>
      <c r="H1" s="46"/>
      <c r="I1" s="46"/>
      <c r="J1" s="46"/>
      <c r="K1" s="46"/>
      <c r="L1" s="46"/>
      <c r="M1" s="46"/>
    </row>
    <row r="2" customFormat="false" ht="15.6" hidden="false" customHeight="false" outlineLevel="0" collapsed="false">
      <c r="A2" s="45" t="s">
        <v>330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6"/>
    </row>
    <row r="4" customFormat="false" ht="13.8" hidden="false" customHeight="false" outlineLevel="0" collapsed="false">
      <c r="A4" s="439"/>
      <c r="B4" s="142"/>
      <c r="C4" s="142"/>
      <c r="D4" s="142"/>
      <c r="E4" s="440"/>
      <c r="F4" s="441"/>
      <c r="G4" s="499"/>
      <c r="H4" s="441"/>
      <c r="I4" s="269"/>
      <c r="J4" s="269"/>
      <c r="K4" s="269"/>
      <c r="L4" s="269"/>
      <c r="M4" s="46"/>
    </row>
    <row r="5" customFormat="false" ht="15.6" hidden="false" customHeight="true" outlineLevel="0" collapsed="false">
      <c r="A5" s="98" t="s">
        <v>331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  <c r="M5" s="46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00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  <c r="M6" s="46"/>
    </row>
    <row r="7" customFormat="false" ht="24.9" hidden="false" customHeight="true" outlineLevel="0" collapsed="false">
      <c r="A7" s="316" t="s">
        <v>332</v>
      </c>
      <c r="B7" s="275" t="n">
        <v>39083</v>
      </c>
      <c r="C7" s="275" t="n">
        <v>39172</v>
      </c>
      <c r="D7" s="277" t="n">
        <v>3122.009</v>
      </c>
      <c r="E7" s="277" t="n">
        <f aca="false">+D7</f>
        <v>3122.009</v>
      </c>
      <c r="F7" s="277" t="n">
        <v>1295.957</v>
      </c>
      <c r="G7" s="292" t="n">
        <f aca="false">+E7-F7</f>
        <v>1826.052</v>
      </c>
      <c r="H7" s="279" t="n">
        <f aca="false">+F7/E7</f>
        <v>0.415103543903941</v>
      </c>
      <c r="I7" s="337" t="n">
        <f aca="false">SUM(D7:D8)</f>
        <v>7805.022</v>
      </c>
      <c r="J7" s="337" t="n">
        <f aca="false">SUM(F7:F8)</f>
        <v>6259.418</v>
      </c>
      <c r="K7" s="337" t="n">
        <f aca="false">+I7-J7</f>
        <v>1545.604</v>
      </c>
      <c r="L7" s="282" t="n">
        <f aca="false">+J7/I7</f>
        <v>0.801973139857902</v>
      </c>
      <c r="M7" s="46"/>
      <c r="N7" s="283"/>
    </row>
    <row r="8" customFormat="false" ht="24.9" hidden="false" customHeight="true" outlineLevel="0" collapsed="false">
      <c r="A8" s="316"/>
      <c r="B8" s="285" t="n">
        <v>39173</v>
      </c>
      <c r="C8" s="285" t="n">
        <v>39447</v>
      </c>
      <c r="D8" s="317" t="n">
        <v>4683.013</v>
      </c>
      <c r="E8" s="317" t="n">
        <f aca="false">+D8+G7</f>
        <v>6509.065</v>
      </c>
      <c r="F8" s="317" t="n">
        <v>4963.461</v>
      </c>
      <c r="G8" s="318" t="n">
        <f aca="false">+E8-F8</f>
        <v>1545.604</v>
      </c>
      <c r="H8" s="288" t="n">
        <f aca="false">+F8/E8</f>
        <v>0.762545926335042</v>
      </c>
      <c r="I8" s="337"/>
      <c r="J8" s="337"/>
      <c r="K8" s="337"/>
      <c r="L8" s="282"/>
      <c r="M8" s="149"/>
    </row>
    <row r="9" customFormat="false" ht="29.25" hidden="false" customHeight="true" outlineLevel="0" collapsed="false">
      <c r="A9" s="316" t="s">
        <v>333</v>
      </c>
      <c r="B9" s="275" t="n">
        <v>39083</v>
      </c>
      <c r="C9" s="275" t="n">
        <v>39172</v>
      </c>
      <c r="D9" s="277" t="n">
        <v>1094.537</v>
      </c>
      <c r="E9" s="277" t="n">
        <f aca="false">+D9</f>
        <v>1094.537</v>
      </c>
      <c r="F9" s="277"/>
      <c r="G9" s="292" t="n">
        <f aca="false">+E9-F9</f>
        <v>1094.537</v>
      </c>
      <c r="H9" s="279" t="n">
        <f aca="false">+F9/E9</f>
        <v>0</v>
      </c>
      <c r="I9" s="337" t="n">
        <f aca="false">SUM(D9:D10)</f>
        <v>2736.341</v>
      </c>
      <c r="J9" s="337" t="n">
        <f aca="false">SUM(F9:F10)</f>
        <v>0</v>
      </c>
      <c r="K9" s="337" t="n">
        <f aca="false">+I9-J9</f>
        <v>2736.341</v>
      </c>
      <c r="L9" s="282" t="n">
        <f aca="false">+J9/I9</f>
        <v>0</v>
      </c>
      <c r="M9" s="46"/>
    </row>
    <row r="10" customFormat="false" ht="27.75" hidden="false" customHeight="true" outlineLevel="0" collapsed="false">
      <c r="A10" s="316"/>
      <c r="B10" s="285" t="n">
        <v>39173</v>
      </c>
      <c r="C10" s="285" t="n">
        <v>39447</v>
      </c>
      <c r="D10" s="317" t="n">
        <v>1641.804</v>
      </c>
      <c r="E10" s="317" t="n">
        <f aca="false">+D10+G9</f>
        <v>2736.341</v>
      </c>
      <c r="F10" s="317"/>
      <c r="G10" s="318" t="n">
        <f aca="false">+E10-F10</f>
        <v>2736.341</v>
      </c>
      <c r="H10" s="288" t="n">
        <f aca="false">+F10/E10</f>
        <v>0</v>
      </c>
      <c r="I10" s="337"/>
      <c r="J10" s="337"/>
      <c r="K10" s="337"/>
      <c r="L10" s="282"/>
      <c r="M10" s="46"/>
      <c r="O10" s="434"/>
    </row>
    <row r="11" customFormat="false" ht="24.9" hidden="false" customHeight="true" outlineLevel="0" collapsed="false">
      <c r="A11" s="319" t="s">
        <v>334</v>
      </c>
      <c r="B11" s="275" t="n">
        <v>39083</v>
      </c>
      <c r="C11" s="275" t="n">
        <v>39172</v>
      </c>
      <c r="D11" s="277" t="n">
        <v>3950.992</v>
      </c>
      <c r="E11" s="277" t="n">
        <f aca="false">+D11</f>
        <v>3950.992</v>
      </c>
      <c r="F11" s="277" t="n">
        <v>1198.938</v>
      </c>
      <c r="G11" s="292" t="n">
        <f aca="false">+E11-F11</f>
        <v>2752.054</v>
      </c>
      <c r="H11" s="279" t="n">
        <f aca="false">+F11/E11</f>
        <v>0.303452398789975</v>
      </c>
      <c r="I11" s="343" t="n">
        <f aca="false">SUM(D11:D12)</f>
        <v>9877.48</v>
      </c>
      <c r="J11" s="343" t="n">
        <f aca="false">SUM(F11:F12)</f>
        <v>9616.343</v>
      </c>
      <c r="K11" s="343" t="n">
        <f aca="false">+I11-J11</f>
        <v>261.136999999999</v>
      </c>
      <c r="L11" s="321" t="n">
        <f aca="false">+J11/I11</f>
        <v>0.973562386357654</v>
      </c>
      <c r="M11" s="46"/>
      <c r="N11" s="283"/>
    </row>
    <row r="12" customFormat="false" ht="24.9" hidden="false" customHeight="true" outlineLevel="0" collapsed="false">
      <c r="A12" s="319"/>
      <c r="B12" s="300" t="n">
        <v>39173</v>
      </c>
      <c r="C12" s="300" t="n">
        <v>39447</v>
      </c>
      <c r="D12" s="322" t="n">
        <v>5926.488</v>
      </c>
      <c r="E12" s="322" t="n">
        <f aca="false">+D12+G11</f>
        <v>8678.542</v>
      </c>
      <c r="F12" s="322" t="n">
        <v>8417.405</v>
      </c>
      <c r="G12" s="323" t="n">
        <f aca="false">+E12-F12</f>
        <v>261.137000000001</v>
      </c>
      <c r="H12" s="303" t="n">
        <f aca="false">+F12/E12</f>
        <v>0.969910037884244</v>
      </c>
      <c r="I12" s="343"/>
      <c r="J12" s="343"/>
      <c r="K12" s="343"/>
      <c r="L12" s="321"/>
      <c r="M12" s="149"/>
    </row>
    <row r="13" customFormat="false" ht="24.9" hidden="false" customHeight="true" outlineLevel="0" collapsed="false">
      <c r="A13" s="324" t="s">
        <v>335</v>
      </c>
      <c r="B13" s="325" t="n">
        <v>39083</v>
      </c>
      <c r="C13" s="325" t="n">
        <v>39172</v>
      </c>
      <c r="D13" s="326" t="n">
        <v>795.182</v>
      </c>
      <c r="E13" s="326" t="n">
        <f aca="false">+D13</f>
        <v>795.182</v>
      </c>
      <c r="F13" s="326"/>
      <c r="G13" s="327" t="n">
        <f aca="false">+E13-F13</f>
        <v>795.182</v>
      </c>
      <c r="H13" s="328" t="n">
        <f aca="false">+F13/E13</f>
        <v>0</v>
      </c>
      <c r="I13" s="394" t="n">
        <f aca="false">SUM(D13:D14)</f>
        <v>1987.956</v>
      </c>
      <c r="J13" s="394" t="n">
        <f aca="false">SUM(F13:F14)</f>
        <v>0</v>
      </c>
      <c r="K13" s="394" t="n">
        <f aca="false">+I13-J13</f>
        <v>1987.956</v>
      </c>
      <c r="L13" s="332" t="n">
        <f aca="false">+J13/I13</f>
        <v>0</v>
      </c>
      <c r="M13" s="46"/>
    </row>
    <row r="14" customFormat="false" ht="24.9" hidden="false" customHeight="true" outlineLevel="0" collapsed="false">
      <c r="A14" s="324"/>
      <c r="B14" s="300" t="n">
        <v>39173</v>
      </c>
      <c r="C14" s="300" t="n">
        <v>39447</v>
      </c>
      <c r="D14" s="322" t="n">
        <v>1192.774</v>
      </c>
      <c r="E14" s="322" t="n">
        <f aca="false">+D14+G13</f>
        <v>1987.956</v>
      </c>
      <c r="F14" s="322"/>
      <c r="G14" s="323" t="n">
        <f aca="false">+E14-F14</f>
        <v>1987.956</v>
      </c>
      <c r="H14" s="303" t="n">
        <f aca="false">+F14/E14</f>
        <v>0</v>
      </c>
      <c r="I14" s="394"/>
      <c r="J14" s="394"/>
      <c r="K14" s="394"/>
      <c r="L14" s="332"/>
      <c r="M14" s="46"/>
    </row>
    <row r="15" customFormat="false" ht="24.9" hidden="false" customHeight="true" outlineLevel="0" collapsed="false">
      <c r="A15" s="324" t="s">
        <v>221</v>
      </c>
      <c r="B15" s="325" t="n">
        <v>39083</v>
      </c>
      <c r="C15" s="325" t="n">
        <v>39172</v>
      </c>
      <c r="D15" s="326" t="n">
        <v>5976.998</v>
      </c>
      <c r="E15" s="326" t="n">
        <f aca="false">+D15</f>
        <v>5976.998</v>
      </c>
      <c r="F15" s="326" t="n">
        <v>3621.303</v>
      </c>
      <c r="G15" s="327" t="n">
        <f aca="false">+E15-F15</f>
        <v>2355.695</v>
      </c>
      <c r="H15" s="328" t="n">
        <f aca="false">+F15/E15</f>
        <v>0.605873215952222</v>
      </c>
      <c r="I15" s="394" t="n">
        <f aca="false">SUM(D15:D16)</f>
        <v>14942.494</v>
      </c>
      <c r="J15" s="394" t="n">
        <f aca="false">SUM(F15:F16)</f>
        <v>10038.785</v>
      </c>
      <c r="K15" s="394" t="n">
        <f aca="false">+I15-J15</f>
        <v>4903.709</v>
      </c>
      <c r="L15" s="332" t="n">
        <f aca="false">+J15/I15</f>
        <v>0.671827942510802</v>
      </c>
      <c r="M15" s="46"/>
      <c r="N15" s="283"/>
    </row>
    <row r="16" customFormat="false" ht="24.9" hidden="false" customHeight="true" outlineLevel="0" collapsed="false">
      <c r="A16" s="324"/>
      <c r="B16" s="300" t="n">
        <v>39173</v>
      </c>
      <c r="C16" s="300" t="n">
        <v>39447</v>
      </c>
      <c r="D16" s="322" t="n">
        <v>8965.496</v>
      </c>
      <c r="E16" s="322" t="n">
        <f aca="false">+D16+G15</f>
        <v>11321.191</v>
      </c>
      <c r="F16" s="326" t="n">
        <v>6417.482</v>
      </c>
      <c r="G16" s="323" t="n">
        <f aca="false">+E16-F16</f>
        <v>4903.709</v>
      </c>
      <c r="H16" s="303" t="n">
        <f aca="false">+F16/E16</f>
        <v>0.566855730991554</v>
      </c>
      <c r="I16" s="394"/>
      <c r="J16" s="394"/>
      <c r="K16" s="394"/>
      <c r="L16" s="332"/>
      <c r="M16" s="149"/>
    </row>
    <row r="17" customFormat="false" ht="24.9" hidden="false" customHeight="true" outlineLevel="0" collapsed="false">
      <c r="A17" s="319" t="s">
        <v>336</v>
      </c>
      <c r="B17" s="275" t="n">
        <v>39083</v>
      </c>
      <c r="C17" s="275" t="n">
        <v>39172</v>
      </c>
      <c r="D17" s="277" t="n">
        <v>4720.225</v>
      </c>
      <c r="E17" s="277" t="n">
        <f aca="false">+D17</f>
        <v>4720.225</v>
      </c>
      <c r="F17" s="277" t="n">
        <v>1484.208</v>
      </c>
      <c r="G17" s="292" t="n">
        <f aca="false">+E17-F17</f>
        <v>3236.017</v>
      </c>
      <c r="H17" s="279" t="n">
        <f aca="false">+F17/E17</f>
        <v>0.314435858460137</v>
      </c>
      <c r="I17" s="343" t="n">
        <f aca="false">SUM(D17:D18)</f>
        <v>11800.562</v>
      </c>
      <c r="J17" s="343" t="n">
        <f aca="false">SUM(F17:F18)</f>
        <v>4522.513</v>
      </c>
      <c r="K17" s="343" t="n">
        <f aca="false">+I17-J17</f>
        <v>7278.049</v>
      </c>
      <c r="L17" s="321" t="n">
        <f aca="false">+J17/I17</f>
        <v>0.383245560677534</v>
      </c>
      <c r="M17" s="46"/>
    </row>
    <row r="18" customFormat="false" ht="24.9" hidden="false" customHeight="true" outlineLevel="0" collapsed="false">
      <c r="A18" s="319"/>
      <c r="B18" s="300" t="n">
        <v>39173</v>
      </c>
      <c r="C18" s="300" t="n">
        <v>39447</v>
      </c>
      <c r="D18" s="322" t="n">
        <v>7080.337</v>
      </c>
      <c r="E18" s="322" t="n">
        <f aca="false">+D18+G17</f>
        <v>10316.354</v>
      </c>
      <c r="F18" s="322" t="n">
        <v>3038.305</v>
      </c>
      <c r="G18" s="323" t="n">
        <f aca="false">+E18-F18</f>
        <v>7278.049</v>
      </c>
      <c r="H18" s="303" t="n">
        <f aca="false">+F18/E18</f>
        <v>0.294513449228284</v>
      </c>
      <c r="I18" s="343"/>
      <c r="J18" s="343"/>
      <c r="K18" s="343"/>
      <c r="L18" s="321"/>
      <c r="M18" s="46"/>
    </row>
    <row r="19" customFormat="false" ht="24.9" hidden="false" customHeight="true" outlineLevel="0" collapsed="false">
      <c r="A19" s="319" t="s">
        <v>337</v>
      </c>
      <c r="B19" s="275" t="n">
        <v>39083</v>
      </c>
      <c r="C19" s="275" t="n">
        <v>39172</v>
      </c>
      <c r="D19" s="277" t="n">
        <v>0.334</v>
      </c>
      <c r="E19" s="277" t="n">
        <f aca="false">+D19</f>
        <v>0.334</v>
      </c>
      <c r="F19" s="277" t="n">
        <v>0.146</v>
      </c>
      <c r="G19" s="292" t="n">
        <f aca="false">+E19-F19</f>
        <v>0.188</v>
      </c>
      <c r="H19" s="279" t="n">
        <f aca="false">+F19/E19</f>
        <v>0.437125748502994</v>
      </c>
      <c r="I19" s="343" t="n">
        <f aca="false">SUM(D19:D20)</f>
        <v>0.835</v>
      </c>
      <c r="J19" s="343" t="n">
        <f aca="false">SUM(F19:F20)</f>
        <v>0.206</v>
      </c>
      <c r="K19" s="343" t="n">
        <f aca="false">+I19-J19</f>
        <v>0.629</v>
      </c>
      <c r="L19" s="321" t="n">
        <f aca="false">+J19/I19</f>
        <v>0.246706586826347</v>
      </c>
      <c r="M19" s="46"/>
      <c r="N19" s="283"/>
    </row>
    <row r="20" customFormat="false" ht="24.9" hidden="false" customHeight="true" outlineLevel="0" collapsed="false">
      <c r="A20" s="319"/>
      <c r="B20" s="300" t="n">
        <v>39173</v>
      </c>
      <c r="C20" s="300" t="n">
        <v>39447</v>
      </c>
      <c r="D20" s="322" t="n">
        <v>0.501</v>
      </c>
      <c r="E20" s="322" t="n">
        <f aca="false">+D20+G19</f>
        <v>0.689</v>
      </c>
      <c r="F20" s="322" t="n">
        <v>0.06</v>
      </c>
      <c r="G20" s="323" t="n">
        <f aca="false">+E20-F20</f>
        <v>0.629</v>
      </c>
      <c r="H20" s="303" t="n">
        <f aca="false">+F20/E20</f>
        <v>0.0870827285921625</v>
      </c>
      <c r="I20" s="343"/>
      <c r="J20" s="343"/>
      <c r="K20" s="343"/>
      <c r="L20" s="321"/>
      <c r="M20" s="46"/>
    </row>
    <row r="21" customFormat="false" ht="24.9" hidden="false" customHeight="true" outlineLevel="0" collapsed="false">
      <c r="A21" s="319" t="s">
        <v>338</v>
      </c>
      <c r="B21" s="275" t="n">
        <v>39083</v>
      </c>
      <c r="C21" s="275" t="n">
        <v>39172</v>
      </c>
      <c r="D21" s="277" t="n">
        <v>4008.956</v>
      </c>
      <c r="E21" s="277" t="n">
        <f aca="false">+D21</f>
        <v>4008.956</v>
      </c>
      <c r="F21" s="277"/>
      <c r="G21" s="292" t="n">
        <f aca="false">+E21-F21</f>
        <v>4008.956</v>
      </c>
      <c r="H21" s="279" t="n">
        <f aca="false">+F21/E21</f>
        <v>0</v>
      </c>
      <c r="I21" s="343" t="n">
        <f aca="false">SUM(D21:D22)</f>
        <v>10022.39</v>
      </c>
      <c r="J21" s="343" t="n">
        <f aca="false">SUM(F21:F22)</f>
        <v>0</v>
      </c>
      <c r="K21" s="343" t="n">
        <f aca="false">+I21-J21</f>
        <v>10022.39</v>
      </c>
      <c r="L21" s="321" t="n">
        <f aca="false">+J21/I21</f>
        <v>0</v>
      </c>
      <c r="M21" s="46"/>
    </row>
    <row r="22" customFormat="false" ht="24.9" hidden="false" customHeight="true" outlineLevel="0" collapsed="false">
      <c r="A22" s="319"/>
      <c r="B22" s="300" t="n">
        <v>39173</v>
      </c>
      <c r="C22" s="300" t="n">
        <v>39447</v>
      </c>
      <c r="D22" s="322" t="n">
        <v>6013.434</v>
      </c>
      <c r="E22" s="322" t="n">
        <f aca="false">+D22+G21</f>
        <v>10022.39</v>
      </c>
      <c r="F22" s="322"/>
      <c r="G22" s="323" t="n">
        <f aca="false">+E22-F22</f>
        <v>10022.39</v>
      </c>
      <c r="H22" s="303" t="n">
        <f aca="false">+F22/E22</f>
        <v>0</v>
      </c>
      <c r="I22" s="343"/>
      <c r="J22" s="343"/>
      <c r="K22" s="343"/>
      <c r="L22" s="321"/>
      <c r="M22" s="46"/>
    </row>
    <row r="23" customFormat="false" ht="24.9" hidden="false" customHeight="true" outlineLevel="0" collapsed="false">
      <c r="A23" s="319" t="s">
        <v>339</v>
      </c>
      <c r="B23" s="275" t="n">
        <v>39083</v>
      </c>
      <c r="C23" s="275" t="n">
        <v>39172</v>
      </c>
      <c r="D23" s="277" t="n">
        <v>1255.852</v>
      </c>
      <c r="E23" s="277" t="n">
        <f aca="false">+D23</f>
        <v>1255.852</v>
      </c>
      <c r="F23" s="277"/>
      <c r="G23" s="292" t="n">
        <f aca="false">+E23-F23</f>
        <v>1255.852</v>
      </c>
      <c r="H23" s="279" t="n">
        <f aca="false">+F23/E23</f>
        <v>0</v>
      </c>
      <c r="I23" s="343" t="n">
        <f aca="false">SUM(D23:D24)</f>
        <v>3139.63</v>
      </c>
      <c r="J23" s="343" t="n">
        <f aca="false">SUM(F23:F24)</f>
        <v>0</v>
      </c>
      <c r="K23" s="343" t="n">
        <f aca="false">+I23-J23</f>
        <v>3139.63</v>
      </c>
      <c r="L23" s="321" t="n">
        <f aca="false">+J23/I23</f>
        <v>0</v>
      </c>
      <c r="M23" s="46"/>
    </row>
    <row r="24" customFormat="false" ht="24.9" hidden="false" customHeight="true" outlineLevel="0" collapsed="false">
      <c r="A24" s="319"/>
      <c r="B24" s="300" t="n">
        <v>39173</v>
      </c>
      <c r="C24" s="300" t="n">
        <v>39447</v>
      </c>
      <c r="D24" s="322" t="n">
        <v>1883.778</v>
      </c>
      <c r="E24" s="322" t="n">
        <f aca="false">+D24+G23</f>
        <v>3139.63</v>
      </c>
      <c r="F24" s="322"/>
      <c r="G24" s="323" t="n">
        <f aca="false">+E24-F24</f>
        <v>3139.63</v>
      </c>
      <c r="H24" s="303" t="n">
        <f aca="false">+F24/E24</f>
        <v>0</v>
      </c>
      <c r="I24" s="343"/>
      <c r="J24" s="343"/>
      <c r="K24" s="343"/>
      <c r="L24" s="321"/>
      <c r="M24" s="46"/>
    </row>
    <row r="25" customFormat="false" ht="13.8" hidden="false" customHeight="false" outlineLevel="0" collapsed="false">
      <c r="A25" s="307"/>
      <c r="B25" s="307"/>
      <c r="C25" s="307"/>
      <c r="D25" s="307"/>
      <c r="E25" s="307"/>
      <c r="F25" s="307"/>
      <c r="G25" s="307"/>
      <c r="H25" s="307"/>
      <c r="I25" s="334"/>
      <c r="J25" s="334"/>
      <c r="K25" s="406"/>
      <c r="L25" s="310"/>
      <c r="M25" s="46"/>
    </row>
    <row r="26" customFormat="false" ht="15.6" hidden="false" customHeight="false" outlineLevel="0" collapsed="false">
      <c r="A26" s="98" t="s">
        <v>173</v>
      </c>
      <c r="B26" s="98" t="s">
        <v>192</v>
      </c>
      <c r="C26" s="98"/>
      <c r="D26" s="98" t="s">
        <v>193</v>
      </c>
      <c r="E26" s="98"/>
      <c r="F26" s="98" t="s">
        <v>156</v>
      </c>
      <c r="G26" s="98"/>
      <c r="H26" s="98"/>
      <c r="I26" s="98" t="s">
        <v>194</v>
      </c>
      <c r="J26" s="98"/>
      <c r="K26" s="98"/>
      <c r="L26" s="98"/>
      <c r="M26" s="46"/>
    </row>
    <row r="27" customFormat="false" ht="15.6" hidden="false" customHeight="false" outlineLevel="0" collapsed="false">
      <c r="A27" s="97" t="s">
        <v>340</v>
      </c>
      <c r="B27" s="98" t="s">
        <v>199</v>
      </c>
      <c r="C27" s="98" t="s">
        <v>200</v>
      </c>
      <c r="D27" s="97" t="s">
        <v>201</v>
      </c>
      <c r="E27" s="97" t="s">
        <v>202</v>
      </c>
      <c r="F27" s="97" t="s">
        <v>43</v>
      </c>
      <c r="G27" s="501" t="s">
        <v>44</v>
      </c>
      <c r="H27" s="97" t="s">
        <v>159</v>
      </c>
      <c r="I27" s="97" t="s">
        <v>193</v>
      </c>
      <c r="J27" s="97" t="s">
        <v>43</v>
      </c>
      <c r="K27" s="97" t="s">
        <v>44</v>
      </c>
      <c r="L27" s="97" t="s">
        <v>159</v>
      </c>
      <c r="M27" s="46"/>
    </row>
    <row r="28" customFormat="false" ht="13.8" hidden="false" customHeight="false" outlineLevel="0" collapsed="false">
      <c r="A28" s="97"/>
      <c r="B28" s="364" t="n">
        <v>39083</v>
      </c>
      <c r="C28" s="364" t="n">
        <v>39172</v>
      </c>
      <c r="D28" s="152" t="n">
        <f aca="false">+D7+D15+D11+D13+D9+D23+D17+D19+D21</f>
        <v>24925.085</v>
      </c>
      <c r="E28" s="152" t="n">
        <f aca="false">+D28</f>
        <v>24925.085</v>
      </c>
      <c r="F28" s="148" t="n">
        <f aca="false">+F7+F15+F11+F13+F9+F23+F17+F19+F21</f>
        <v>7600.552</v>
      </c>
      <c r="G28" s="365" t="n">
        <f aca="false">+E28-F28</f>
        <v>17324.533</v>
      </c>
      <c r="H28" s="120" t="n">
        <f aca="false">+F28/E28</f>
        <v>0.304935850770419</v>
      </c>
      <c r="I28" s="108" t="n">
        <f aca="false">SUM(D28:D29)</f>
        <v>62312.71</v>
      </c>
      <c r="J28" s="108" t="n">
        <f aca="false">SUM(F28:F29)</f>
        <v>30437.265</v>
      </c>
      <c r="K28" s="108" t="n">
        <f aca="false">+I28-J28</f>
        <v>31875.445</v>
      </c>
      <c r="L28" s="315" t="n">
        <f aca="false">+J28/I28</f>
        <v>0.488459978710603</v>
      </c>
      <c r="M28" s="46"/>
    </row>
    <row r="29" customFormat="false" ht="13.8" hidden="false" customHeight="false" outlineLevel="0" collapsed="false">
      <c r="A29" s="97"/>
      <c r="B29" s="364" t="n">
        <v>39173</v>
      </c>
      <c r="C29" s="364" t="n">
        <v>39447</v>
      </c>
      <c r="D29" s="152" t="n">
        <f aca="false">+D8+D16+D12+D14+D10+D24+D18+D20+D22</f>
        <v>37387.625</v>
      </c>
      <c r="E29" s="152" t="n">
        <f aca="false">+D29+G28</f>
        <v>54712.158</v>
      </c>
      <c r="F29" s="148" t="n">
        <f aca="false">+F8+F16+F12+F14+F10+F24+F18+F20+F22</f>
        <v>22836.713</v>
      </c>
      <c r="G29" s="365" t="n">
        <f aca="false">+E29-F29</f>
        <v>31875.445</v>
      </c>
      <c r="H29" s="120" t="n">
        <f aca="false">+F29/E29</f>
        <v>0.4173974091828</v>
      </c>
      <c r="I29" s="108"/>
      <c r="J29" s="108"/>
      <c r="K29" s="108"/>
      <c r="L29" s="315"/>
      <c r="M29" s="46"/>
    </row>
    <row r="30" customFormat="false" ht="13.8" hidden="false" customHeight="false" outlineLevel="0" collapsed="false">
      <c r="A30" s="46"/>
      <c r="B30" s="244"/>
      <c r="C30" s="244"/>
      <c r="D30" s="46"/>
      <c r="E30" s="46"/>
      <c r="F30" s="46"/>
      <c r="G30" s="410"/>
      <c r="H30" s="46"/>
      <c r="I30" s="46"/>
      <c r="J30" s="46"/>
      <c r="K30" s="46"/>
      <c r="L30" s="46"/>
      <c r="M30" s="46"/>
    </row>
    <row r="31" customFormat="false" ht="15.6" hidden="false" customHeight="false" outlineLevel="0" collapsed="false">
      <c r="A31" s="98" t="s">
        <v>341</v>
      </c>
      <c r="B31" s="98" t="s">
        <v>192</v>
      </c>
      <c r="C31" s="98"/>
      <c r="D31" s="98" t="s">
        <v>193</v>
      </c>
      <c r="E31" s="98"/>
      <c r="F31" s="98" t="s">
        <v>156</v>
      </c>
      <c r="G31" s="98"/>
      <c r="H31" s="98"/>
      <c r="I31" s="98" t="s">
        <v>194</v>
      </c>
      <c r="J31" s="98"/>
      <c r="K31" s="98"/>
      <c r="L31" s="98"/>
      <c r="M31" s="46"/>
    </row>
    <row r="32" customFormat="false" ht="15.6" hidden="false" customHeight="false" outlineLevel="0" collapsed="false">
      <c r="A32" s="357" t="s">
        <v>150</v>
      </c>
      <c r="B32" s="53" t="s">
        <v>199</v>
      </c>
      <c r="C32" s="53" t="s">
        <v>200</v>
      </c>
      <c r="D32" s="51" t="s">
        <v>201</v>
      </c>
      <c r="E32" s="51" t="s">
        <v>202</v>
      </c>
      <c r="F32" s="51" t="s">
        <v>43</v>
      </c>
      <c r="G32" s="500" t="s">
        <v>44</v>
      </c>
      <c r="H32" s="51" t="s">
        <v>159</v>
      </c>
      <c r="I32" s="51" t="s">
        <v>193</v>
      </c>
      <c r="J32" s="51" t="s">
        <v>43</v>
      </c>
      <c r="K32" s="51" t="s">
        <v>44</v>
      </c>
      <c r="L32" s="51" t="s">
        <v>159</v>
      </c>
      <c r="M32" s="46"/>
    </row>
    <row r="33" customFormat="false" ht="24.9" hidden="false" customHeight="true" outlineLevel="0" collapsed="false">
      <c r="A33" s="319" t="s">
        <v>342</v>
      </c>
      <c r="B33" s="275" t="n">
        <v>39083</v>
      </c>
      <c r="C33" s="275" t="n">
        <v>39172</v>
      </c>
      <c r="D33" s="277" t="n">
        <v>13071.561</v>
      </c>
      <c r="E33" s="277" t="n">
        <f aca="false">+D33</f>
        <v>13071.561</v>
      </c>
      <c r="F33" s="277" t="n">
        <v>0.101</v>
      </c>
      <c r="G33" s="292" t="n">
        <f aca="false">+E33-F33</f>
        <v>13071.46</v>
      </c>
      <c r="H33" s="279" t="n">
        <f aca="false">+F33/E33</f>
        <v>7.72669767596999E-006</v>
      </c>
      <c r="I33" s="337" t="n">
        <f aca="false">SUM(D33:D34)</f>
        <v>32678.903</v>
      </c>
      <c r="J33" s="337" t="n">
        <f aca="false">SUM(F33:F34)</f>
        <v>31487.829</v>
      </c>
      <c r="K33" s="337" t="n">
        <f aca="false">+I33-J33</f>
        <v>1191.074</v>
      </c>
      <c r="L33" s="282" t="n">
        <f aca="false">+J33/I33</f>
        <v>0.963552203695455</v>
      </c>
      <c r="M33" s="283"/>
      <c r="N33" s="437"/>
    </row>
    <row r="34" customFormat="false" ht="24.9" hidden="false" customHeight="true" outlineLevel="0" collapsed="false">
      <c r="A34" s="319"/>
      <c r="B34" s="285" t="n">
        <v>39173</v>
      </c>
      <c r="C34" s="285" t="n">
        <v>39447</v>
      </c>
      <c r="D34" s="317" t="n">
        <v>19607.342</v>
      </c>
      <c r="E34" s="317" t="n">
        <f aca="false">+D34+G33</f>
        <v>32678.802</v>
      </c>
      <c r="F34" s="317" t="n">
        <v>31487.728</v>
      </c>
      <c r="G34" s="318" t="n">
        <f aca="false">+E34-F34</f>
        <v>1191.074</v>
      </c>
      <c r="H34" s="288" t="n">
        <f aca="false">+F34/E34</f>
        <v>0.963552091046667</v>
      </c>
      <c r="I34" s="337"/>
      <c r="J34" s="337"/>
      <c r="K34" s="337"/>
      <c r="L34" s="282"/>
      <c r="M34" s="149"/>
    </row>
    <row r="35" customFormat="false" ht="24.9" hidden="false" customHeight="true" outlineLevel="0" collapsed="false">
      <c r="A35" s="319" t="s">
        <v>221</v>
      </c>
      <c r="B35" s="275" t="n">
        <v>39083</v>
      </c>
      <c r="C35" s="275" t="n">
        <v>39172</v>
      </c>
      <c r="D35" s="277" t="n">
        <v>4.306</v>
      </c>
      <c r="E35" s="277" t="n">
        <f aca="false">+D35</f>
        <v>4.306</v>
      </c>
      <c r="F35" s="277"/>
      <c r="G35" s="292" t="n">
        <f aca="false">+E35-F35</f>
        <v>4.306</v>
      </c>
      <c r="H35" s="279" t="n">
        <f aca="false">+F35/E35</f>
        <v>0</v>
      </c>
      <c r="I35" s="343" t="n">
        <f aca="false">SUM(D35:D36)</f>
        <v>10.855</v>
      </c>
      <c r="J35" s="343" t="n">
        <f aca="false">SUM(F35:F36)</f>
        <v>0</v>
      </c>
      <c r="K35" s="343" t="n">
        <f aca="false">+I35-J35</f>
        <v>10.855</v>
      </c>
      <c r="L35" s="321" t="n">
        <f aca="false">+J35/I35</f>
        <v>0</v>
      </c>
      <c r="M35" s="46"/>
    </row>
    <row r="36" customFormat="false" ht="24.9" hidden="false" customHeight="true" outlineLevel="0" collapsed="false">
      <c r="A36" s="319"/>
      <c r="B36" s="300" t="n">
        <v>39173</v>
      </c>
      <c r="C36" s="300" t="n">
        <v>39447</v>
      </c>
      <c r="D36" s="322" t="n">
        <v>6.549</v>
      </c>
      <c r="E36" s="322" t="n">
        <f aca="false">+D36+G35</f>
        <v>10.855</v>
      </c>
      <c r="F36" s="322"/>
      <c r="G36" s="323" t="n">
        <f aca="false">+E36-F36</f>
        <v>10.855</v>
      </c>
      <c r="H36" s="303" t="n">
        <f aca="false">+F36/E36</f>
        <v>0</v>
      </c>
      <c r="I36" s="343"/>
      <c r="J36" s="343"/>
      <c r="K36" s="343"/>
      <c r="L36" s="321"/>
      <c r="M36" s="46"/>
    </row>
    <row r="37" customFormat="false" ht="13.8" hidden="false" customHeight="false" outlineLevel="0" collapsed="false">
      <c r="A37" s="131"/>
      <c r="B37" s="131"/>
      <c r="C37" s="131"/>
      <c r="D37" s="131"/>
      <c r="E37" s="131"/>
      <c r="F37" s="131"/>
      <c r="G37" s="131"/>
      <c r="H37" s="131"/>
      <c r="I37" s="308"/>
      <c r="J37" s="308"/>
      <c r="K37" s="362"/>
      <c r="L37" s="310"/>
      <c r="M37" s="46"/>
    </row>
    <row r="38" customFormat="false" ht="15.6" hidden="false" customHeight="false" outlineLevel="0" collapsed="false">
      <c r="A38" s="98" t="s">
        <v>173</v>
      </c>
      <c r="B38" s="98" t="s">
        <v>192</v>
      </c>
      <c r="C38" s="98"/>
      <c r="D38" s="98" t="s">
        <v>193</v>
      </c>
      <c r="E38" s="98"/>
      <c r="F38" s="98" t="s">
        <v>156</v>
      </c>
      <c r="G38" s="98"/>
      <c r="H38" s="98"/>
      <c r="I38" s="98" t="s">
        <v>194</v>
      </c>
      <c r="J38" s="98"/>
      <c r="K38" s="98"/>
      <c r="L38" s="98"/>
      <c r="M38" s="46"/>
    </row>
    <row r="39" customFormat="false" ht="15.6" hidden="false" customHeight="false" outlineLevel="0" collapsed="false">
      <c r="A39" s="97" t="s">
        <v>343</v>
      </c>
      <c r="B39" s="98" t="s">
        <v>199</v>
      </c>
      <c r="C39" s="98" t="s">
        <v>200</v>
      </c>
      <c r="D39" s="97" t="s">
        <v>201</v>
      </c>
      <c r="E39" s="97" t="s">
        <v>202</v>
      </c>
      <c r="F39" s="97" t="s">
        <v>43</v>
      </c>
      <c r="G39" s="501" t="s">
        <v>44</v>
      </c>
      <c r="H39" s="97" t="s">
        <v>159</v>
      </c>
      <c r="I39" s="97" t="s">
        <v>193</v>
      </c>
      <c r="J39" s="97" t="s">
        <v>43</v>
      </c>
      <c r="K39" s="97" t="s">
        <v>44</v>
      </c>
      <c r="L39" s="97" t="s">
        <v>159</v>
      </c>
      <c r="M39" s="46"/>
    </row>
    <row r="40" customFormat="false" ht="13.8" hidden="false" customHeight="false" outlineLevel="0" collapsed="false">
      <c r="A40" s="97"/>
      <c r="B40" s="364" t="n">
        <v>39083</v>
      </c>
      <c r="C40" s="364" t="n">
        <v>39172</v>
      </c>
      <c r="D40" s="152" t="n">
        <f aca="false">+D33+D35</f>
        <v>13075.867</v>
      </c>
      <c r="E40" s="152" t="n">
        <f aca="false">+D40</f>
        <v>13075.867</v>
      </c>
      <c r="F40" s="148" t="n">
        <f aca="false">+F33+F35</f>
        <v>0.101</v>
      </c>
      <c r="G40" s="365" t="n">
        <f aca="false">+E40-F40</f>
        <v>13075.766</v>
      </c>
      <c r="H40" s="120" t="n">
        <f aca="false">+F40/E40</f>
        <v>7.72415320529033E-006</v>
      </c>
      <c r="I40" s="108" t="n">
        <f aca="false">SUM(D40:D41)</f>
        <v>32689.758</v>
      </c>
      <c r="J40" s="108" t="n">
        <f aca="false">SUM(F40:F41)</f>
        <v>31487.829</v>
      </c>
      <c r="K40" s="108" t="n">
        <f aca="false">+I40-J40</f>
        <v>1201.929</v>
      </c>
      <c r="L40" s="315" t="n">
        <f aca="false">+J40/I40</f>
        <v>0.963232245402367</v>
      </c>
      <c r="M40" s="46"/>
    </row>
    <row r="41" customFormat="false" ht="13.8" hidden="false" customHeight="false" outlineLevel="0" collapsed="false">
      <c r="A41" s="97"/>
      <c r="B41" s="364" t="n">
        <v>39173</v>
      </c>
      <c r="C41" s="364" t="n">
        <v>39447</v>
      </c>
      <c r="D41" s="152" t="n">
        <f aca="false">+D34+D36</f>
        <v>19613.891</v>
      </c>
      <c r="E41" s="152" t="n">
        <f aca="false">+D41+G40</f>
        <v>32689.657</v>
      </c>
      <c r="F41" s="148" t="n">
        <f aca="false">+F34+F36</f>
        <v>31487.728</v>
      </c>
      <c r="G41" s="365" t="n">
        <f aca="false">+E41-F41</f>
        <v>1201.929</v>
      </c>
      <c r="H41" s="120" t="n">
        <f aca="false">+F41/E41</f>
        <v>0.963232131802423</v>
      </c>
      <c r="I41" s="108"/>
      <c r="J41" s="108"/>
      <c r="K41" s="108"/>
      <c r="L41" s="315"/>
      <c r="M41" s="46"/>
    </row>
    <row r="42" customFormat="false" ht="13.8" hidden="false" customHeight="false" outlineLevel="0" collapsed="false">
      <c r="A42" s="46"/>
      <c r="B42" s="46"/>
      <c r="C42" s="46"/>
      <c r="D42" s="46"/>
      <c r="E42" s="46"/>
      <c r="F42" s="46"/>
      <c r="G42" s="410"/>
      <c r="H42" s="46"/>
      <c r="I42" s="46"/>
      <c r="J42" s="46"/>
      <c r="K42" s="46"/>
      <c r="L42" s="46"/>
      <c r="M42" s="46"/>
    </row>
    <row r="43" customFormat="false" ht="13.8" hidden="false" customHeight="false" outlineLevel="0" collapsed="false">
      <c r="A43" s="46"/>
      <c r="B43" s="46"/>
      <c r="C43" s="46"/>
      <c r="D43" s="46"/>
      <c r="E43" s="46"/>
      <c r="F43" s="46"/>
      <c r="G43" s="410"/>
      <c r="H43" s="46"/>
      <c r="I43" s="46"/>
      <c r="J43" s="46"/>
      <c r="K43" s="46"/>
      <c r="L43" s="46"/>
      <c r="M43" s="46"/>
    </row>
    <row r="44" customFormat="false" ht="13.8" hidden="false" customHeight="false" outlineLevel="0" collapsed="false">
      <c r="A44" s="46"/>
      <c r="B44" s="46"/>
      <c r="C44" s="46"/>
      <c r="D44" s="46"/>
      <c r="E44" s="46"/>
      <c r="F44" s="46"/>
      <c r="G44" s="410"/>
      <c r="H44" s="46"/>
      <c r="I44" s="46"/>
      <c r="J44" s="46"/>
      <c r="K44" s="46"/>
      <c r="L44" s="46"/>
      <c r="M44" s="46"/>
    </row>
    <row r="45" customFormat="false" ht="13.8" hidden="false" customHeight="false" outlineLevel="0" collapsed="false">
      <c r="A45" s="46"/>
      <c r="B45" s="46"/>
      <c r="C45" s="46"/>
      <c r="D45" s="46"/>
      <c r="E45" s="46"/>
      <c r="F45" s="46"/>
      <c r="G45" s="410"/>
      <c r="H45" s="46"/>
      <c r="I45" s="46"/>
      <c r="J45" s="46"/>
      <c r="K45" s="46"/>
      <c r="L45" s="46"/>
      <c r="M45" s="46"/>
    </row>
    <row r="46" customFormat="false" ht="13.8" hidden="false" customHeight="false" outlineLevel="0" collapsed="false">
      <c r="A46" s="46"/>
      <c r="B46" s="46"/>
      <c r="C46" s="46"/>
      <c r="D46" s="46"/>
      <c r="E46" s="46"/>
      <c r="F46" s="46"/>
      <c r="G46" s="410"/>
      <c r="H46" s="46"/>
      <c r="I46" s="46"/>
      <c r="J46" s="46"/>
      <c r="K46" s="46"/>
      <c r="L46" s="46"/>
      <c r="M46" s="46"/>
    </row>
    <row r="47" customFormat="false" ht="13.8" hidden="false" customHeight="false" outlineLevel="0" collapsed="false">
      <c r="A47" s="46"/>
      <c r="B47" s="46"/>
      <c r="C47" s="46"/>
      <c r="D47" s="46"/>
      <c r="E47" s="46"/>
      <c r="F47" s="46"/>
      <c r="G47" s="410"/>
      <c r="H47" s="46"/>
      <c r="I47" s="46"/>
      <c r="J47" s="46"/>
      <c r="K47" s="46"/>
      <c r="L47" s="46"/>
      <c r="M47" s="46"/>
    </row>
    <row r="48" customFormat="false" ht="13.8" hidden="false" customHeight="false" outlineLevel="0" collapsed="false">
      <c r="A48" s="46"/>
      <c r="B48" s="46"/>
      <c r="C48" s="46"/>
      <c r="D48" s="46"/>
      <c r="E48" s="46"/>
      <c r="F48" s="46"/>
      <c r="G48" s="410"/>
      <c r="H48" s="46"/>
      <c r="I48" s="46"/>
      <c r="J48" s="46"/>
      <c r="K48" s="46"/>
      <c r="L48" s="46"/>
      <c r="M48" s="46"/>
    </row>
  </sheetData>
  <mergeCells count="85">
    <mergeCell ref="A2:L2"/>
    <mergeCell ref="A3:L3"/>
    <mergeCell ref="B5:C5"/>
    <mergeCell ref="D5:E5"/>
    <mergeCell ref="F5:H5"/>
    <mergeCell ref="I5:L5"/>
    <mergeCell ref="A7:A8"/>
    <mergeCell ref="I7:I8"/>
    <mergeCell ref="J7:J8"/>
    <mergeCell ref="K7:K8"/>
    <mergeCell ref="L7:L8"/>
    <mergeCell ref="A9:A10"/>
    <mergeCell ref="I9:I10"/>
    <mergeCell ref="J9:J10"/>
    <mergeCell ref="K9:K10"/>
    <mergeCell ref="L9:L10"/>
    <mergeCell ref="A11:A12"/>
    <mergeCell ref="I11:I12"/>
    <mergeCell ref="J11:J12"/>
    <mergeCell ref="K11:K12"/>
    <mergeCell ref="L11:L12"/>
    <mergeCell ref="A13:A14"/>
    <mergeCell ref="I13:I14"/>
    <mergeCell ref="J13:J14"/>
    <mergeCell ref="K13:K14"/>
    <mergeCell ref="L13:L14"/>
    <mergeCell ref="A15:A16"/>
    <mergeCell ref="I15:I16"/>
    <mergeCell ref="J15:J16"/>
    <mergeCell ref="K15:K16"/>
    <mergeCell ref="L15:L16"/>
    <mergeCell ref="A17:A18"/>
    <mergeCell ref="I17:I18"/>
    <mergeCell ref="J17:J18"/>
    <mergeCell ref="K17:K18"/>
    <mergeCell ref="L17:L18"/>
    <mergeCell ref="A19:A20"/>
    <mergeCell ref="I19:I20"/>
    <mergeCell ref="J19:J20"/>
    <mergeCell ref="K19:K20"/>
    <mergeCell ref="L19:L20"/>
    <mergeCell ref="A21:A22"/>
    <mergeCell ref="I21:I22"/>
    <mergeCell ref="J21:J22"/>
    <mergeCell ref="K21:K22"/>
    <mergeCell ref="L21:L22"/>
    <mergeCell ref="A23:A24"/>
    <mergeCell ref="I23:I24"/>
    <mergeCell ref="J23:J24"/>
    <mergeCell ref="K23:K24"/>
    <mergeCell ref="L23:L24"/>
    <mergeCell ref="A25:H25"/>
    <mergeCell ref="B26:C26"/>
    <mergeCell ref="D26:E26"/>
    <mergeCell ref="F26:H26"/>
    <mergeCell ref="I26:L26"/>
    <mergeCell ref="A27:A29"/>
    <mergeCell ref="I28:I29"/>
    <mergeCell ref="J28:J29"/>
    <mergeCell ref="K28:K29"/>
    <mergeCell ref="L28:L29"/>
    <mergeCell ref="B31:C31"/>
    <mergeCell ref="D31:E31"/>
    <mergeCell ref="F31:H31"/>
    <mergeCell ref="I31:L31"/>
    <mergeCell ref="A33:A34"/>
    <mergeCell ref="I33:I34"/>
    <mergeCell ref="J33:J34"/>
    <mergeCell ref="K33:K34"/>
    <mergeCell ref="L33:L34"/>
    <mergeCell ref="A35:A36"/>
    <mergeCell ref="I35:I36"/>
    <mergeCell ref="J35:J36"/>
    <mergeCell ref="K35:K36"/>
    <mergeCell ref="L35:L36"/>
    <mergeCell ref="A37:H37"/>
    <mergeCell ref="B38:C38"/>
    <mergeCell ref="D38:E38"/>
    <mergeCell ref="F38:H38"/>
    <mergeCell ref="I38:L38"/>
    <mergeCell ref="A39:A41"/>
    <mergeCell ref="I40:I41"/>
    <mergeCell ref="J40:J41"/>
    <mergeCell ref="K40:K41"/>
    <mergeCell ref="L40: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O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34" activeCellId="0" sqref="F34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35.32"/>
    <col collapsed="false" customWidth="true" hidden="false" outlineLevel="0" max="2" min="2" style="428" width="6.87"/>
    <col collapsed="false" customWidth="true" hidden="false" outlineLevel="0" max="3" min="3" style="428" width="6.99"/>
    <col collapsed="false" customWidth="true" hidden="false" outlineLevel="0" max="4" min="4" style="428" width="9.99"/>
    <col collapsed="false" customWidth="true" hidden="false" outlineLevel="0" max="5" min="5" style="428" width="10.55"/>
    <col collapsed="false" customWidth="true" hidden="false" outlineLevel="0" max="6" min="6" style="428" width="19.99"/>
    <col collapsed="false" customWidth="true" hidden="false" outlineLevel="0" max="7" min="7" style="428" width="11.87"/>
    <col collapsed="false" customWidth="true" hidden="false" outlineLevel="0" max="8" min="8" style="428" width="13.99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3.99"/>
    <col collapsed="false" customWidth="true" hidden="false" outlineLevel="0" max="13" min="13" style="428" width="5.66"/>
    <col collapsed="false" customWidth="true" hidden="false" outlineLevel="0" max="14" min="14" style="428" width="15.87"/>
    <col collapsed="false" customWidth="true" hidden="false" outlineLevel="0" max="15" min="15" style="428" width="45.32"/>
    <col collapsed="false" customWidth="true" hidden="false" outlineLevel="0" max="16" min="16" style="428" width="115.43"/>
    <col collapsed="false" customWidth="false" hidden="false" outlineLevel="0" max="22" min="17" style="428" width="11.43"/>
    <col collapsed="false" customWidth="true" hidden="false" outlineLevel="0" max="23" min="23" style="428" width="34.87"/>
    <col collapsed="false" customWidth="false" hidden="false" outlineLevel="0" max="257" min="24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customFormat="false" ht="15.6" hidden="false" customHeight="false" outlineLevel="0" collapsed="false">
      <c r="A2" s="45" t="s">
        <v>344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  <c r="N2" s="46"/>
      <c r="O2" s="428" t="s">
        <v>345</v>
      </c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6"/>
      <c r="N3" s="46"/>
      <c r="O3" s="502" t="s">
        <v>346</v>
      </c>
    </row>
    <row r="4" customFormat="false" ht="13.8" hidden="false" customHeight="false" outlineLevel="0" collapsed="false">
      <c r="A4" s="439"/>
      <c r="B4" s="142"/>
      <c r="C4" s="142"/>
      <c r="D4" s="142"/>
      <c r="E4" s="440"/>
      <c r="F4" s="441"/>
      <c r="G4" s="440"/>
      <c r="H4" s="441"/>
      <c r="I4" s="269"/>
      <c r="J4" s="269"/>
      <c r="K4" s="269"/>
      <c r="L4" s="269"/>
      <c r="M4" s="46"/>
      <c r="N4" s="46"/>
      <c r="O4" s="428" t="s">
        <v>347</v>
      </c>
    </row>
    <row r="5" customFormat="false" ht="15.6" hidden="false" customHeight="true" outlineLevel="0" collapsed="false">
      <c r="A5" s="98" t="s">
        <v>348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  <c r="M5" s="46"/>
      <c r="N5" s="46"/>
      <c r="O5" s="428" t="s">
        <v>349</v>
      </c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  <c r="M6" s="46"/>
      <c r="N6" s="46"/>
      <c r="O6" s="428" t="s">
        <v>350</v>
      </c>
    </row>
    <row r="7" customFormat="false" ht="21.9" hidden="false" customHeight="true" outlineLevel="0" collapsed="false">
      <c r="A7" s="316" t="s">
        <v>351</v>
      </c>
      <c r="B7" s="275" t="n">
        <v>39083</v>
      </c>
      <c r="C7" s="275" t="n">
        <v>39113</v>
      </c>
      <c r="D7" s="277" t="n">
        <v>3475.532</v>
      </c>
      <c r="E7" s="277" t="n">
        <f aca="false">+D7</f>
        <v>3475.532</v>
      </c>
      <c r="F7" s="277" t="n">
        <v>103.508</v>
      </c>
      <c r="G7" s="278" t="n">
        <f aca="false">+E7-F7</f>
        <v>3372.024</v>
      </c>
      <c r="H7" s="279" t="n">
        <f aca="false">+F7/E7</f>
        <v>0.0297819154017284</v>
      </c>
      <c r="I7" s="337" t="n">
        <f aca="false">SUM(D7:D8)</f>
        <v>9928.502</v>
      </c>
      <c r="J7" s="337" t="n">
        <f aca="false">SUM(F7:F8)</f>
        <v>9819.313</v>
      </c>
      <c r="K7" s="337" t="n">
        <f aca="false">+I7-J7</f>
        <v>109.189</v>
      </c>
      <c r="L7" s="282" t="n">
        <f aca="false">+J7/I7</f>
        <v>0.989002469858998</v>
      </c>
      <c r="M7" s="149"/>
      <c r="N7" s="283"/>
    </row>
    <row r="8" customFormat="false" ht="21.9" hidden="false" customHeight="true" outlineLevel="0" collapsed="false">
      <c r="A8" s="316"/>
      <c r="B8" s="285" t="n">
        <v>39114</v>
      </c>
      <c r="C8" s="285" t="n">
        <v>39447</v>
      </c>
      <c r="D8" s="317" t="n">
        <v>6452.97</v>
      </c>
      <c r="E8" s="317" t="n">
        <f aca="false">+D8+G7</f>
        <v>9824.994</v>
      </c>
      <c r="F8" s="317" t="n">
        <v>9715.805</v>
      </c>
      <c r="G8" s="287" t="n">
        <f aca="false">+E8-F8</f>
        <v>109.189</v>
      </c>
      <c r="H8" s="288" t="n">
        <f aca="false">+F8/E8</f>
        <v>0.988886608989278</v>
      </c>
      <c r="I8" s="337"/>
      <c r="J8" s="337"/>
      <c r="K8" s="337"/>
      <c r="L8" s="282"/>
      <c r="M8" s="149" t="s">
        <v>269</v>
      </c>
      <c r="N8" s="283"/>
    </row>
    <row r="9" customFormat="false" ht="21.9" hidden="false" customHeight="true" outlineLevel="0" collapsed="false">
      <c r="A9" s="319" t="s">
        <v>288</v>
      </c>
      <c r="B9" s="275" t="n">
        <v>39083</v>
      </c>
      <c r="C9" s="275" t="n">
        <v>39113</v>
      </c>
      <c r="D9" s="277" t="n">
        <v>71.832</v>
      </c>
      <c r="E9" s="277" t="n">
        <f aca="false">+D9</f>
        <v>71.832</v>
      </c>
      <c r="F9" s="277"/>
      <c r="G9" s="278" t="n">
        <f aca="false">+E9-F9</f>
        <v>71.832</v>
      </c>
      <c r="H9" s="279" t="n">
        <f aca="false">+F9/E9</f>
        <v>0</v>
      </c>
      <c r="I9" s="343" t="n">
        <f aca="false">SUM(D9:D10)</f>
        <v>205.145</v>
      </c>
      <c r="J9" s="343" t="n">
        <f aca="false">SUM(F9:F10)</f>
        <v>92.025</v>
      </c>
      <c r="K9" s="343" t="n">
        <f aca="false">+I9-J9</f>
        <v>113.12</v>
      </c>
      <c r="L9" s="321" t="n">
        <f aca="false">+J9/I9</f>
        <v>0.448585147091082</v>
      </c>
      <c r="M9" s="46"/>
      <c r="N9" s="283"/>
      <c r="O9" s="434"/>
    </row>
    <row r="10" customFormat="false" ht="21.9" hidden="false" customHeight="true" outlineLevel="0" collapsed="false">
      <c r="A10" s="319"/>
      <c r="B10" s="300" t="n">
        <v>39114</v>
      </c>
      <c r="C10" s="300" t="n">
        <v>39447</v>
      </c>
      <c r="D10" s="322" t="n">
        <v>133.313</v>
      </c>
      <c r="E10" s="322" t="n">
        <f aca="false">+D10+G9</f>
        <v>205.145</v>
      </c>
      <c r="F10" s="322" t="n">
        <v>92.025</v>
      </c>
      <c r="G10" s="302" t="n">
        <f aca="false">+E10-F10</f>
        <v>113.12</v>
      </c>
      <c r="H10" s="303" t="n">
        <f aca="false">+F10/E10</f>
        <v>0.448585147091082</v>
      </c>
      <c r="I10" s="343"/>
      <c r="J10" s="343"/>
      <c r="K10" s="343"/>
      <c r="L10" s="321"/>
      <c r="M10" s="46"/>
      <c r="N10" s="46"/>
    </row>
    <row r="11" customFormat="false" ht="13.8" hidden="false" customHeight="false" outlineLevel="0" collapsed="false">
      <c r="A11" s="307"/>
      <c r="B11" s="307"/>
      <c r="C11" s="307"/>
      <c r="D11" s="307"/>
      <c r="E11" s="307"/>
      <c r="F11" s="307"/>
      <c r="G11" s="307"/>
      <c r="H11" s="307"/>
      <c r="I11" s="334"/>
      <c r="J11" s="334"/>
      <c r="K11" s="406"/>
      <c r="L11" s="310"/>
      <c r="M11" s="46"/>
      <c r="N11" s="46"/>
    </row>
    <row r="12" customFormat="false" ht="15.6" hidden="false" customHeight="false" outlineLevel="0" collapsed="false">
      <c r="A12" s="98" t="s">
        <v>173</v>
      </c>
      <c r="B12" s="98" t="s">
        <v>192</v>
      </c>
      <c r="C12" s="98"/>
      <c r="D12" s="98" t="s">
        <v>193</v>
      </c>
      <c r="E12" s="98"/>
      <c r="F12" s="98" t="s">
        <v>156</v>
      </c>
      <c r="G12" s="98"/>
      <c r="H12" s="98"/>
      <c r="I12" s="98" t="s">
        <v>194</v>
      </c>
      <c r="J12" s="98"/>
      <c r="K12" s="98"/>
      <c r="L12" s="98"/>
      <c r="M12" s="46"/>
      <c r="N12" s="46"/>
    </row>
    <row r="13" customFormat="false" ht="15.6" hidden="false" customHeight="false" outlineLevel="0" collapsed="false">
      <c r="A13" s="97" t="s">
        <v>352</v>
      </c>
      <c r="B13" s="98" t="s">
        <v>199</v>
      </c>
      <c r="C13" s="98" t="s">
        <v>200</v>
      </c>
      <c r="D13" s="97" t="s">
        <v>201</v>
      </c>
      <c r="E13" s="97" t="s">
        <v>202</v>
      </c>
      <c r="F13" s="97" t="s">
        <v>43</v>
      </c>
      <c r="G13" s="97" t="s">
        <v>44</v>
      </c>
      <c r="H13" s="97" t="s">
        <v>159</v>
      </c>
      <c r="I13" s="97" t="s">
        <v>193</v>
      </c>
      <c r="J13" s="97" t="s">
        <v>43</v>
      </c>
      <c r="K13" s="97" t="s">
        <v>44</v>
      </c>
      <c r="L13" s="97" t="s">
        <v>159</v>
      </c>
      <c r="M13" s="46"/>
      <c r="N13" s="46"/>
    </row>
    <row r="14" customFormat="false" ht="13.8" hidden="false" customHeight="false" outlineLevel="0" collapsed="false">
      <c r="A14" s="97"/>
      <c r="B14" s="436" t="n">
        <v>39083</v>
      </c>
      <c r="C14" s="436" t="n">
        <v>39113</v>
      </c>
      <c r="D14" s="147" t="n">
        <f aca="false">SUM(D7,D9)</f>
        <v>3547.364</v>
      </c>
      <c r="E14" s="147" t="n">
        <f aca="false">+D14</f>
        <v>3547.364</v>
      </c>
      <c r="F14" s="108" t="n">
        <f aca="false">+F7+F9</f>
        <v>103.508</v>
      </c>
      <c r="G14" s="104" t="n">
        <f aca="false">+E14-F14</f>
        <v>3443.856</v>
      </c>
      <c r="H14" s="120" t="n">
        <f aca="false">+F14/E14</f>
        <v>0.0291788494217114</v>
      </c>
      <c r="I14" s="108" t="n">
        <f aca="false">SUM(D14:D15)</f>
        <v>10133.647</v>
      </c>
      <c r="J14" s="108" t="n">
        <f aca="false">SUM(F14:F15)</f>
        <v>9911.338</v>
      </c>
      <c r="K14" s="108" t="n">
        <f aca="false">+I14-J14</f>
        <v>222.309000000001</v>
      </c>
      <c r="L14" s="315" t="n">
        <f aca="false">+J14/I14</f>
        <v>0.978062290900798</v>
      </c>
      <c r="M14" s="46"/>
      <c r="N14" s="46"/>
    </row>
    <row r="15" customFormat="false" ht="13.8" hidden="false" customHeight="false" outlineLevel="0" collapsed="false">
      <c r="A15" s="97"/>
      <c r="B15" s="436" t="n">
        <v>39114</v>
      </c>
      <c r="C15" s="436" t="n">
        <v>39447</v>
      </c>
      <c r="D15" s="147" t="n">
        <f aca="false">SUM(D8,D10)</f>
        <v>6586.283</v>
      </c>
      <c r="E15" s="147" t="n">
        <f aca="false">+D15+G14</f>
        <v>10030.139</v>
      </c>
      <c r="F15" s="108" t="n">
        <f aca="false">+F8+F10</f>
        <v>9807.83</v>
      </c>
      <c r="G15" s="104" t="n">
        <f aca="false">+E15-F15</f>
        <v>222.309000000001</v>
      </c>
      <c r="H15" s="120" t="n">
        <f aca="false">+F15/E15</f>
        <v>0.977835900379845</v>
      </c>
      <c r="I15" s="108"/>
      <c r="J15" s="108"/>
      <c r="K15" s="108"/>
      <c r="L15" s="315"/>
      <c r="M15" s="46"/>
      <c r="N15" s="46"/>
    </row>
    <row r="16" customFormat="false" ht="13.8" hidden="false" customHeight="false" outlineLevel="0" collapsed="false">
      <c r="A16" s="254"/>
      <c r="B16" s="307"/>
      <c r="C16" s="307"/>
      <c r="D16" s="254"/>
      <c r="E16" s="254"/>
      <c r="F16" s="254"/>
      <c r="G16" s="254"/>
      <c r="H16" s="254"/>
      <c r="I16" s="254"/>
      <c r="J16" s="254"/>
      <c r="K16" s="254"/>
      <c r="L16" s="254"/>
      <c r="M16" s="46"/>
      <c r="N16" s="46"/>
    </row>
    <row r="17" customFormat="false" ht="15.6" hidden="false" customHeight="false" outlineLevel="0" collapsed="false">
      <c r="A17" s="503" t="s">
        <v>353</v>
      </c>
      <c r="B17" s="98" t="s">
        <v>192</v>
      </c>
      <c r="C17" s="98"/>
      <c r="D17" s="98" t="s">
        <v>193</v>
      </c>
      <c r="E17" s="98"/>
      <c r="F17" s="98" t="s">
        <v>156</v>
      </c>
      <c r="G17" s="98"/>
      <c r="H17" s="98"/>
      <c r="I17" s="98" t="s">
        <v>194</v>
      </c>
      <c r="J17" s="98"/>
      <c r="K17" s="98"/>
      <c r="L17" s="98"/>
      <c r="M17" s="46"/>
      <c r="N17" s="46"/>
    </row>
    <row r="18" customFormat="false" ht="15.6" hidden="false" customHeight="false" outlineLevel="0" collapsed="false">
      <c r="A18" s="357" t="s">
        <v>150</v>
      </c>
      <c r="B18" s="53" t="s">
        <v>199</v>
      </c>
      <c r="C18" s="53" t="s">
        <v>200</v>
      </c>
      <c r="D18" s="51" t="s">
        <v>201</v>
      </c>
      <c r="E18" s="51" t="s">
        <v>202</v>
      </c>
      <c r="F18" s="51" t="s">
        <v>43</v>
      </c>
      <c r="G18" s="51" t="s">
        <v>44</v>
      </c>
      <c r="H18" s="51" t="s">
        <v>159</v>
      </c>
      <c r="I18" s="51" t="s">
        <v>193</v>
      </c>
      <c r="J18" s="51" t="s">
        <v>43</v>
      </c>
      <c r="K18" s="51" t="s">
        <v>44</v>
      </c>
      <c r="L18" s="51" t="s">
        <v>159</v>
      </c>
      <c r="M18" s="46"/>
      <c r="N18" s="46"/>
    </row>
    <row r="19" customFormat="false" ht="21.9" hidden="false" customHeight="true" outlineLevel="0" collapsed="false">
      <c r="A19" s="316" t="s">
        <v>354</v>
      </c>
      <c r="B19" s="275" t="n">
        <v>39083</v>
      </c>
      <c r="C19" s="275" t="n">
        <v>39113</v>
      </c>
      <c r="D19" s="277" t="n">
        <v>1320.97</v>
      </c>
      <c r="E19" s="277" t="n">
        <f aca="false">+D19</f>
        <v>1320.97</v>
      </c>
      <c r="F19" s="277"/>
      <c r="G19" s="278" t="n">
        <f aca="false">+E19-F19</f>
        <v>1320.97</v>
      </c>
      <c r="H19" s="279" t="n">
        <f aca="false">+F19/E19</f>
        <v>0</v>
      </c>
      <c r="I19" s="337" t="n">
        <f aca="false">SUM(D19:D20)</f>
        <v>3903.395</v>
      </c>
      <c r="J19" s="337" t="n">
        <f aca="false">SUM(F19:F20)</f>
        <v>3585.428</v>
      </c>
      <c r="K19" s="337" t="n">
        <f aca="false">+I19-J19</f>
        <v>317.967000000001</v>
      </c>
      <c r="L19" s="282" t="n">
        <f aca="false">+J19/I19</f>
        <v>0.918540911181164</v>
      </c>
      <c r="M19" s="46"/>
      <c r="N19" s="283"/>
    </row>
    <row r="20" customFormat="false" ht="21.9" hidden="false" customHeight="true" outlineLevel="0" collapsed="false">
      <c r="A20" s="316"/>
      <c r="B20" s="285" t="n">
        <v>39114</v>
      </c>
      <c r="C20" s="285" t="n">
        <v>39447</v>
      </c>
      <c r="D20" s="317" t="n">
        <v>2582.425</v>
      </c>
      <c r="E20" s="317" t="n">
        <f aca="false">+D20+G19</f>
        <v>3903.395</v>
      </c>
      <c r="F20" s="317" t="n">
        <v>3585.428</v>
      </c>
      <c r="G20" s="287" t="n">
        <f aca="false">+E20-F20</f>
        <v>317.967000000001</v>
      </c>
      <c r="H20" s="288" t="n">
        <f aca="false">+F20/E20</f>
        <v>0.918540911181164</v>
      </c>
      <c r="I20" s="337"/>
      <c r="J20" s="337"/>
      <c r="K20" s="337"/>
      <c r="L20" s="282"/>
      <c r="M20" s="149"/>
      <c r="N20" s="46"/>
    </row>
    <row r="21" customFormat="false" ht="21.9" hidden="false" customHeight="true" outlineLevel="0" collapsed="false">
      <c r="A21" s="319" t="s">
        <v>288</v>
      </c>
      <c r="B21" s="275" t="n">
        <v>39083</v>
      </c>
      <c r="C21" s="275" t="n">
        <v>39113</v>
      </c>
      <c r="D21" s="277" t="n">
        <v>236.328</v>
      </c>
      <c r="E21" s="277" t="n">
        <f aca="false">+D21</f>
        <v>236.328</v>
      </c>
      <c r="F21" s="277"/>
      <c r="G21" s="278" t="n">
        <f aca="false">+E21-F21</f>
        <v>236.328</v>
      </c>
      <c r="H21" s="279" t="n">
        <f aca="false">+F21/E21</f>
        <v>0</v>
      </c>
      <c r="I21" s="343" t="n">
        <f aca="false">SUM(D21:D22)</f>
        <v>675.035</v>
      </c>
      <c r="J21" s="343" t="n">
        <f aca="false">SUM(F21:F22)</f>
        <v>601.184</v>
      </c>
      <c r="K21" s="343" t="n">
        <f aca="false">+I21-J21</f>
        <v>73.851</v>
      </c>
      <c r="L21" s="321" t="n">
        <f aca="false">+J21/I21</f>
        <v>0.890596783870466</v>
      </c>
      <c r="M21" s="46"/>
      <c r="N21" s="283"/>
    </row>
    <row r="22" customFormat="false" ht="21.9" hidden="false" customHeight="true" outlineLevel="0" collapsed="false">
      <c r="A22" s="319"/>
      <c r="B22" s="300" t="n">
        <v>39114</v>
      </c>
      <c r="C22" s="300" t="n">
        <v>39447</v>
      </c>
      <c r="D22" s="322" t="n">
        <v>438.707</v>
      </c>
      <c r="E22" s="322" t="n">
        <f aca="false">+D22+G21</f>
        <v>675.035</v>
      </c>
      <c r="F22" s="322" t="n">
        <v>601.184</v>
      </c>
      <c r="G22" s="302" t="n">
        <f aca="false">+E22-F22</f>
        <v>73.851</v>
      </c>
      <c r="H22" s="303" t="n">
        <f aca="false">+F22/E22</f>
        <v>0.890596783870466</v>
      </c>
      <c r="I22" s="343"/>
      <c r="J22" s="343"/>
      <c r="K22" s="343"/>
      <c r="L22" s="321"/>
      <c r="M22" s="46"/>
      <c r="N22" s="283"/>
    </row>
    <row r="23" customFormat="false" ht="13.8" hidden="false" customHeight="false" outlineLevel="0" collapsed="false">
      <c r="A23" s="307"/>
      <c r="B23" s="307"/>
      <c r="C23" s="307"/>
      <c r="D23" s="307"/>
      <c r="E23" s="307"/>
      <c r="F23" s="307"/>
      <c r="G23" s="307"/>
      <c r="H23" s="307"/>
      <c r="I23" s="334"/>
      <c r="J23" s="334"/>
      <c r="K23" s="406"/>
      <c r="L23" s="310"/>
      <c r="M23" s="46"/>
      <c r="N23" s="46"/>
    </row>
    <row r="24" customFormat="false" ht="15.6" hidden="false" customHeight="false" outlineLevel="0" collapsed="false">
      <c r="A24" s="98" t="s">
        <v>173</v>
      </c>
      <c r="B24" s="98" t="s">
        <v>192</v>
      </c>
      <c r="C24" s="98"/>
      <c r="D24" s="98" t="s">
        <v>193</v>
      </c>
      <c r="E24" s="98"/>
      <c r="F24" s="98" t="s">
        <v>156</v>
      </c>
      <c r="G24" s="98"/>
      <c r="H24" s="98"/>
      <c r="I24" s="98" t="s">
        <v>194</v>
      </c>
      <c r="J24" s="98"/>
      <c r="K24" s="98"/>
      <c r="L24" s="98"/>
      <c r="M24" s="46"/>
      <c r="N24" s="46"/>
    </row>
    <row r="25" customFormat="false" ht="15.6" hidden="false" customHeight="false" outlineLevel="0" collapsed="false">
      <c r="A25" s="97" t="s">
        <v>355</v>
      </c>
      <c r="B25" s="98" t="s">
        <v>199</v>
      </c>
      <c r="C25" s="98" t="s">
        <v>200</v>
      </c>
      <c r="D25" s="97" t="s">
        <v>201</v>
      </c>
      <c r="E25" s="97" t="s">
        <v>202</v>
      </c>
      <c r="F25" s="97" t="s">
        <v>43</v>
      </c>
      <c r="G25" s="97" t="s">
        <v>44</v>
      </c>
      <c r="H25" s="97" t="s">
        <v>159</v>
      </c>
      <c r="I25" s="97" t="s">
        <v>193</v>
      </c>
      <c r="J25" s="97" t="s">
        <v>43</v>
      </c>
      <c r="K25" s="97" t="s">
        <v>44</v>
      </c>
      <c r="L25" s="97" t="s">
        <v>159</v>
      </c>
      <c r="M25" s="46"/>
      <c r="N25" s="46"/>
    </row>
    <row r="26" customFormat="false" ht="13.8" hidden="false" customHeight="false" outlineLevel="0" collapsed="false">
      <c r="A26" s="97"/>
      <c r="B26" s="436" t="n">
        <v>39083</v>
      </c>
      <c r="C26" s="436" t="n">
        <v>39113</v>
      </c>
      <c r="D26" s="152" t="n">
        <f aca="false">+D19+D21</f>
        <v>1557.298</v>
      </c>
      <c r="E26" s="152" t="n">
        <f aca="false">+D26</f>
        <v>1557.298</v>
      </c>
      <c r="F26" s="148" t="n">
        <f aca="false">+F19+F21</f>
        <v>0</v>
      </c>
      <c r="G26" s="365" t="n">
        <f aca="false">+E26-F26</f>
        <v>1557.298</v>
      </c>
      <c r="H26" s="120" t="n">
        <f aca="false">+F26/E26</f>
        <v>0</v>
      </c>
      <c r="I26" s="108" t="n">
        <f aca="false">SUM(D26:D27)</f>
        <v>4578.43</v>
      </c>
      <c r="J26" s="108" t="n">
        <f aca="false">SUM(F26:F27)</f>
        <v>4186.612</v>
      </c>
      <c r="K26" s="108" t="n">
        <f aca="false">+I26-J26</f>
        <v>391.818</v>
      </c>
      <c r="L26" s="315" t="n">
        <f aca="false">+J26/I26</f>
        <v>0.914420882267502</v>
      </c>
      <c r="M26" s="46"/>
      <c r="N26" s="46"/>
    </row>
    <row r="27" customFormat="false" ht="13.8" hidden="false" customHeight="false" outlineLevel="0" collapsed="false">
      <c r="A27" s="97"/>
      <c r="B27" s="436" t="n">
        <v>39114</v>
      </c>
      <c r="C27" s="436" t="n">
        <v>39447</v>
      </c>
      <c r="D27" s="152" t="n">
        <f aca="false">+D20+D22</f>
        <v>3021.132</v>
      </c>
      <c r="E27" s="152" t="n">
        <f aca="false">+D27+G26</f>
        <v>4578.43</v>
      </c>
      <c r="F27" s="148" t="n">
        <f aca="false">+F20+F22</f>
        <v>4186.612</v>
      </c>
      <c r="G27" s="365" t="n">
        <f aca="false">+E27-F27</f>
        <v>391.818</v>
      </c>
      <c r="H27" s="120" t="n">
        <f aca="false">+F27/E27</f>
        <v>0.914420882267502</v>
      </c>
      <c r="I27" s="108"/>
      <c r="J27" s="108"/>
      <c r="K27" s="108"/>
      <c r="L27" s="315"/>
      <c r="M27" s="46"/>
      <c r="N27" s="46"/>
    </row>
    <row r="28" customFormat="false" ht="13.8" hidden="false" customHeight="fals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customFormat="false" ht="13.8" hidden="false" customHeight="fals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customFormat="false" ht="13.8" hidden="false" customHeight="fals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customFormat="false" ht="13.8" hidden="false" customHeight="false" outlineLevel="0" collapsed="false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customFormat="false" ht="13.8" hidden="false" customHeight="false" outlineLevel="0" collapsed="false">
      <c r="A32" s="46"/>
      <c r="B32" s="46"/>
      <c r="C32" s="46"/>
      <c r="D32" s="46"/>
      <c r="E32" s="46"/>
      <c r="F32" s="46"/>
      <c r="G32" s="46"/>
      <c r="H32" s="149"/>
      <c r="I32" s="46"/>
      <c r="J32" s="46"/>
      <c r="K32" s="46"/>
      <c r="L32" s="46"/>
      <c r="M32" s="46"/>
      <c r="N32" s="46"/>
    </row>
    <row r="33" customFormat="false" ht="13.8" hidden="false" customHeight="false" outlineLevel="0" collapsed="false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customFormat="false" ht="13.8" hidden="false" customHeight="fals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customFormat="false" ht="13.8" hidden="false" customHeight="fals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</sheetData>
  <mergeCells count="50">
    <mergeCell ref="A2:L2"/>
    <mergeCell ref="A3:L3"/>
    <mergeCell ref="B5:C5"/>
    <mergeCell ref="D5:E5"/>
    <mergeCell ref="F5:H5"/>
    <mergeCell ref="I5:L5"/>
    <mergeCell ref="A7:A8"/>
    <mergeCell ref="I7:I8"/>
    <mergeCell ref="J7:J8"/>
    <mergeCell ref="K7:K8"/>
    <mergeCell ref="L7:L8"/>
    <mergeCell ref="A9:A10"/>
    <mergeCell ref="I9:I10"/>
    <mergeCell ref="J9:J10"/>
    <mergeCell ref="K9:K10"/>
    <mergeCell ref="L9:L10"/>
    <mergeCell ref="A11:H11"/>
    <mergeCell ref="B12:C12"/>
    <mergeCell ref="D12:E12"/>
    <mergeCell ref="F12:H12"/>
    <mergeCell ref="I12:L12"/>
    <mergeCell ref="A13:A15"/>
    <mergeCell ref="I14:I15"/>
    <mergeCell ref="J14:J15"/>
    <mergeCell ref="K14:K15"/>
    <mergeCell ref="L14:L15"/>
    <mergeCell ref="B17:C17"/>
    <mergeCell ref="D17:E17"/>
    <mergeCell ref="F17:H17"/>
    <mergeCell ref="I17:L17"/>
    <mergeCell ref="A19:A20"/>
    <mergeCell ref="I19:I20"/>
    <mergeCell ref="J19:J20"/>
    <mergeCell ref="K19:K20"/>
    <mergeCell ref="L19:L20"/>
    <mergeCell ref="A21:A22"/>
    <mergeCell ref="I21:I22"/>
    <mergeCell ref="J21:J22"/>
    <mergeCell ref="K21:K22"/>
    <mergeCell ref="L21:L22"/>
    <mergeCell ref="A23:H23"/>
    <mergeCell ref="B24:C24"/>
    <mergeCell ref="D24:E24"/>
    <mergeCell ref="F24:H24"/>
    <mergeCell ref="I24:L24"/>
    <mergeCell ref="A25:A27"/>
    <mergeCell ref="I26:I27"/>
    <mergeCell ref="J26:J27"/>
    <mergeCell ref="K26:K27"/>
    <mergeCell ref="L26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27.55"/>
    <col collapsed="false" customWidth="true" hidden="false" outlineLevel="0" max="2" min="2" style="428" width="6.87"/>
    <col collapsed="false" customWidth="true" hidden="false" outlineLevel="0" max="3" min="3" style="428" width="6.99"/>
    <col collapsed="false" customWidth="true" hidden="false" outlineLevel="0" max="4" min="4" style="428" width="9.99"/>
    <col collapsed="false" customWidth="true" hidden="false" outlineLevel="0" max="5" min="5" style="428" width="10.43"/>
    <col collapsed="false" customWidth="true" hidden="false" outlineLevel="0" max="6" min="6" style="428" width="19.99"/>
    <col collapsed="false" customWidth="true" hidden="false" outlineLevel="0" max="7" min="7" style="428" width="11.87"/>
    <col collapsed="false" customWidth="true" hidden="false" outlineLevel="0" max="8" min="8" style="428" width="13.99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3.99"/>
    <col collapsed="false" customWidth="false" hidden="false" outlineLevel="0" max="257" min="13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customFormat="false" ht="15.6" hidden="false" customHeight="false" outlineLevel="0" collapsed="false">
      <c r="A2" s="45" t="s">
        <v>356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6"/>
    </row>
    <row r="4" customFormat="false" ht="13.8" hidden="false" customHeight="false" outlineLevel="0" collapsed="false">
      <c r="A4" s="439"/>
      <c r="B4" s="142"/>
      <c r="C4" s="142"/>
      <c r="D4" s="142"/>
      <c r="E4" s="440"/>
      <c r="F4" s="441"/>
      <c r="G4" s="440"/>
      <c r="H4" s="441"/>
      <c r="I4" s="269"/>
      <c r="J4" s="269"/>
      <c r="K4" s="269"/>
      <c r="L4" s="269"/>
      <c r="M4" s="46"/>
    </row>
    <row r="5" customFormat="false" ht="15.6" hidden="false" customHeight="true" outlineLevel="0" collapsed="false">
      <c r="A5" s="98" t="s">
        <v>357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  <c r="M5" s="46"/>
    </row>
    <row r="6" customFormat="false" ht="16.2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  <c r="M6" s="46"/>
    </row>
    <row r="7" customFormat="false" ht="15" hidden="false" customHeight="true" outlineLevel="0" collapsed="false">
      <c r="A7" s="319" t="s">
        <v>358</v>
      </c>
      <c r="B7" s="504" t="n">
        <v>39083</v>
      </c>
      <c r="C7" s="504" t="n">
        <v>39172</v>
      </c>
      <c r="D7" s="390" t="n">
        <v>7107.01</v>
      </c>
      <c r="E7" s="390" t="n">
        <f aca="false">+D7</f>
        <v>7107.01</v>
      </c>
      <c r="F7" s="411" t="n">
        <v>0.056</v>
      </c>
      <c r="G7" s="278" t="n">
        <f aca="false">+E7-F7</f>
        <v>7106.954</v>
      </c>
      <c r="H7" s="279" t="n">
        <f aca="false">+F7/E7</f>
        <v>7.87954428092827E-006</v>
      </c>
      <c r="I7" s="380" t="n">
        <f aca="false">SUM(D7:D8)</f>
        <v>19366.002</v>
      </c>
      <c r="J7" s="343" t="n">
        <f aca="false">SUM(F7:F8)</f>
        <v>16673.333</v>
      </c>
      <c r="K7" s="505" t="n">
        <f aca="false">+I7-J7</f>
        <v>2692.669</v>
      </c>
      <c r="L7" s="321" t="n">
        <f aca="false">+J7/I7</f>
        <v>0.860958963032225</v>
      </c>
      <c r="M7" s="46"/>
      <c r="N7" s="506"/>
    </row>
    <row r="8" customFormat="false" ht="13.8" hidden="false" customHeight="false" outlineLevel="0" collapsed="false">
      <c r="A8" s="319"/>
      <c r="B8" s="507" t="n">
        <v>39173</v>
      </c>
      <c r="C8" s="507" t="n">
        <v>39447</v>
      </c>
      <c r="D8" s="435" t="n">
        <v>12258.992</v>
      </c>
      <c r="E8" s="435" t="n">
        <f aca="false">+D8+G7</f>
        <v>19365.946</v>
      </c>
      <c r="F8" s="416" t="n">
        <v>16673.277</v>
      </c>
      <c r="G8" s="302" t="n">
        <f aca="false">+E8-F8</f>
        <v>2692.669</v>
      </c>
      <c r="H8" s="303" t="n">
        <f aca="false">+F8/E8</f>
        <v>0.860958560970892</v>
      </c>
      <c r="I8" s="380"/>
      <c r="J8" s="343"/>
      <c r="K8" s="505"/>
      <c r="L8" s="321"/>
      <c r="M8" s="46"/>
    </row>
    <row r="9" customFormat="false" ht="13.8" hidden="false" customHeight="false" outlineLevel="0" collapsed="false">
      <c r="A9" s="307"/>
      <c r="B9" s="307"/>
      <c r="C9" s="307"/>
      <c r="D9" s="307"/>
      <c r="E9" s="307"/>
      <c r="F9" s="307"/>
      <c r="G9" s="307"/>
      <c r="H9" s="307"/>
      <c r="I9" s="308"/>
      <c r="J9" s="308"/>
      <c r="K9" s="362"/>
      <c r="L9" s="310"/>
      <c r="M9" s="46"/>
    </row>
    <row r="10" customFormat="false" ht="15.6" hidden="false" customHeight="false" outlineLevel="0" collapsed="false">
      <c r="A10" s="98" t="s">
        <v>173</v>
      </c>
      <c r="B10" s="98" t="s">
        <v>192</v>
      </c>
      <c r="C10" s="98"/>
      <c r="D10" s="98" t="s">
        <v>193</v>
      </c>
      <c r="E10" s="98"/>
      <c r="F10" s="98" t="s">
        <v>156</v>
      </c>
      <c r="G10" s="98"/>
      <c r="H10" s="98"/>
      <c r="I10" s="98" t="s">
        <v>194</v>
      </c>
      <c r="J10" s="98"/>
      <c r="K10" s="98"/>
      <c r="L10" s="98"/>
      <c r="M10" s="46"/>
    </row>
    <row r="11" customFormat="false" ht="15.6" hidden="false" customHeight="false" outlineLevel="0" collapsed="false">
      <c r="A11" s="97" t="s">
        <v>357</v>
      </c>
      <c r="B11" s="98" t="s">
        <v>199</v>
      </c>
      <c r="C11" s="98" t="s">
        <v>200</v>
      </c>
      <c r="D11" s="97" t="s">
        <v>201</v>
      </c>
      <c r="E11" s="97" t="s">
        <v>202</v>
      </c>
      <c r="F11" s="97" t="s">
        <v>43</v>
      </c>
      <c r="G11" s="97" t="s">
        <v>44</v>
      </c>
      <c r="H11" s="97" t="s">
        <v>159</v>
      </c>
      <c r="I11" s="97" t="s">
        <v>193</v>
      </c>
      <c r="J11" s="97" t="s">
        <v>43</v>
      </c>
      <c r="K11" s="97" t="s">
        <v>44</v>
      </c>
      <c r="L11" s="97" t="s">
        <v>159</v>
      </c>
      <c r="M11" s="46"/>
    </row>
    <row r="12" customFormat="false" ht="13.8" hidden="false" customHeight="false" outlineLevel="0" collapsed="false">
      <c r="A12" s="97"/>
      <c r="B12" s="436" t="n">
        <v>39083</v>
      </c>
      <c r="C12" s="436" t="n">
        <v>39172</v>
      </c>
      <c r="D12" s="152" t="n">
        <f aca="false">SUM(D7)</f>
        <v>7107.01</v>
      </c>
      <c r="E12" s="152" t="n">
        <f aca="false">+D12</f>
        <v>7107.01</v>
      </c>
      <c r="F12" s="148" t="n">
        <f aca="false">+F7</f>
        <v>0.056</v>
      </c>
      <c r="G12" s="365" t="n">
        <f aca="false">+E12-F12</f>
        <v>7106.954</v>
      </c>
      <c r="H12" s="120" t="n">
        <f aca="false">+F12/E12</f>
        <v>7.87954428092827E-006</v>
      </c>
      <c r="I12" s="147" t="n">
        <f aca="false">SUM(D12:D13)</f>
        <v>19366.002</v>
      </c>
      <c r="J12" s="108" t="n">
        <f aca="false">SUM(F12:F13)</f>
        <v>16673.333</v>
      </c>
      <c r="K12" s="104" t="n">
        <f aca="false">+I12-J12</f>
        <v>2692.669</v>
      </c>
      <c r="L12" s="508" t="n">
        <f aca="false">+J12/I12</f>
        <v>0.860958963032225</v>
      </c>
      <c r="M12" s="46"/>
    </row>
    <row r="13" customFormat="false" ht="13.8" hidden="false" customHeight="false" outlineLevel="0" collapsed="false">
      <c r="A13" s="97"/>
      <c r="B13" s="436" t="n">
        <v>39173</v>
      </c>
      <c r="C13" s="436" t="n">
        <v>39447</v>
      </c>
      <c r="D13" s="152" t="n">
        <f aca="false">SUM(D8)</f>
        <v>12258.992</v>
      </c>
      <c r="E13" s="152" t="n">
        <f aca="false">+D13+G12</f>
        <v>19365.946</v>
      </c>
      <c r="F13" s="148" t="n">
        <f aca="false">+F8</f>
        <v>16673.277</v>
      </c>
      <c r="G13" s="365" t="n">
        <f aca="false">+E13-F13</f>
        <v>2692.669</v>
      </c>
      <c r="H13" s="120" t="n">
        <f aca="false">+F13/E13</f>
        <v>0.860958560970892</v>
      </c>
      <c r="I13" s="147"/>
      <c r="J13" s="108"/>
      <c r="K13" s="104"/>
      <c r="L13" s="508"/>
      <c r="M13" s="46"/>
    </row>
    <row r="14" customFormat="false" ht="13.8" hidden="false" customHeight="false" outlineLevel="0" collapsed="false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customFormat="false" ht="13.8" hidden="false" customHeight="fals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customFormat="false" ht="13.8" hidden="false" customHeight="false" outlineLevel="0" collapsed="false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customFormat="false" ht="13.8" hidden="false" customHeight="false" outlineLevel="0" collapsed="false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customFormat="false" ht="13.8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customFormat="false" ht="13.8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</sheetData>
  <mergeCells count="21">
    <mergeCell ref="A2:L2"/>
    <mergeCell ref="A3:L3"/>
    <mergeCell ref="B5:C5"/>
    <mergeCell ref="D5:E5"/>
    <mergeCell ref="F5:H5"/>
    <mergeCell ref="I5:L5"/>
    <mergeCell ref="A7:A8"/>
    <mergeCell ref="I7:I8"/>
    <mergeCell ref="J7:J8"/>
    <mergeCell ref="K7:K8"/>
    <mergeCell ref="L7:L8"/>
    <mergeCell ref="A9:H9"/>
    <mergeCell ref="B10:C10"/>
    <mergeCell ref="D10:E10"/>
    <mergeCell ref="F10:H10"/>
    <mergeCell ref="I10:L10"/>
    <mergeCell ref="A11:A13"/>
    <mergeCell ref="I12:I13"/>
    <mergeCell ref="J12:J13"/>
    <mergeCell ref="K12:K13"/>
    <mergeCell ref="L12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13" activeCellId="0" sqref="M13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27.55"/>
    <col collapsed="false" customWidth="true" hidden="false" outlineLevel="0" max="2" min="2" style="428" width="6.87"/>
    <col collapsed="false" customWidth="true" hidden="false" outlineLevel="0" max="3" min="3" style="428" width="6.99"/>
    <col collapsed="false" customWidth="true" hidden="false" outlineLevel="0" max="4" min="4" style="428" width="11.66"/>
    <col collapsed="false" customWidth="true" hidden="false" outlineLevel="0" max="5" min="5" style="428" width="12.43"/>
    <col collapsed="false" customWidth="true" hidden="false" outlineLevel="0" max="6" min="6" style="428" width="19.99"/>
    <col collapsed="false" customWidth="true" hidden="false" outlineLevel="0" max="7" min="7" style="428" width="11.87"/>
    <col collapsed="false" customWidth="true" hidden="false" outlineLevel="0" max="8" min="8" style="428" width="13.99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3.99"/>
    <col collapsed="false" customWidth="false" hidden="false" outlineLevel="0" max="257" min="13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customFormat="false" ht="15.6" hidden="false" customHeight="false" outlineLevel="0" collapsed="false">
      <c r="A2" s="45" t="s">
        <v>359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  <c r="N2" s="46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6"/>
      <c r="N3" s="46"/>
    </row>
    <row r="4" customFormat="false" ht="13.8" hidden="false" customHeight="false" outlineLevel="0" collapsed="false">
      <c r="A4" s="266"/>
      <c r="B4" s="267"/>
      <c r="C4" s="267"/>
      <c r="D4" s="267"/>
      <c r="E4" s="268"/>
      <c r="F4" s="268"/>
      <c r="G4" s="266"/>
      <c r="H4" s="269"/>
      <c r="I4" s="269"/>
      <c r="J4" s="269"/>
      <c r="K4" s="269"/>
      <c r="L4" s="269"/>
      <c r="M4" s="46"/>
      <c r="N4" s="46"/>
    </row>
    <row r="5" customFormat="false" ht="15.6" hidden="false" customHeight="true" outlineLevel="0" collapsed="false">
      <c r="A5" s="98" t="s">
        <v>360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  <c r="M5" s="46"/>
      <c r="N5" s="46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  <c r="M6" s="46"/>
      <c r="N6" s="46"/>
    </row>
    <row r="7" customFormat="false" ht="14.4" hidden="false" customHeight="true" outlineLevel="0" collapsed="false">
      <c r="A7" s="316" t="s">
        <v>361</v>
      </c>
      <c r="B7" s="275" t="n">
        <v>39083</v>
      </c>
      <c r="C7" s="275" t="n">
        <v>39202</v>
      </c>
      <c r="D7" s="277" t="n">
        <v>8761.202</v>
      </c>
      <c r="E7" s="277" t="n">
        <f aca="false">+D7</f>
        <v>8761.202</v>
      </c>
      <c r="F7" s="277" t="n">
        <v>1768.513</v>
      </c>
      <c r="G7" s="292" t="n">
        <f aca="false">+E7-F7</f>
        <v>6992.689</v>
      </c>
      <c r="H7" s="279" t="n">
        <f aca="false">+F7/E7</f>
        <v>0.201857347884457</v>
      </c>
      <c r="I7" s="343" t="n">
        <f aca="false">SUM(D7:D9)</f>
        <v>10307.282</v>
      </c>
      <c r="J7" s="343" t="n">
        <f aca="false">SUM(F7:F9)</f>
        <v>8617.83</v>
      </c>
      <c r="K7" s="343" t="n">
        <f aca="false">+I7-J7</f>
        <v>1689.452</v>
      </c>
      <c r="L7" s="321" t="n">
        <f aca="false">+J7/I7</f>
        <v>0.836091415758296</v>
      </c>
      <c r="M7" s="46"/>
      <c r="N7" s="283"/>
    </row>
    <row r="8" customFormat="false" ht="13.8" hidden="false" customHeight="false" outlineLevel="0" collapsed="false">
      <c r="A8" s="316"/>
      <c r="B8" s="339" t="n">
        <v>39203</v>
      </c>
      <c r="C8" s="339" t="n">
        <v>39691</v>
      </c>
      <c r="D8" s="340" t="n">
        <v>1030.731</v>
      </c>
      <c r="E8" s="340" t="n">
        <f aca="false">+D8+G7</f>
        <v>8023.42</v>
      </c>
      <c r="F8" s="340" t="n">
        <v>2051.429</v>
      </c>
      <c r="G8" s="341" t="n">
        <f aca="false">+E8-F8</f>
        <v>5971.991</v>
      </c>
      <c r="H8" s="342" t="n">
        <f aca="false">+F8/E8</f>
        <v>0.255680121444471</v>
      </c>
      <c r="I8" s="343"/>
      <c r="J8" s="343"/>
      <c r="K8" s="343"/>
      <c r="L8" s="321"/>
      <c r="M8" s="46"/>
      <c r="N8" s="46"/>
    </row>
    <row r="9" customFormat="false" ht="14.4" hidden="false" customHeight="false" outlineLevel="0" collapsed="false">
      <c r="A9" s="316"/>
      <c r="B9" s="300" t="n">
        <v>39692</v>
      </c>
      <c r="C9" s="300" t="n">
        <v>39813</v>
      </c>
      <c r="D9" s="322" t="n">
        <v>515.349</v>
      </c>
      <c r="E9" s="322" t="n">
        <f aca="false">+D9+G8</f>
        <v>6487.34</v>
      </c>
      <c r="F9" s="322" t="n">
        <v>4797.888</v>
      </c>
      <c r="G9" s="323" t="n">
        <f aca="false">+E9-F9</f>
        <v>1689.452</v>
      </c>
      <c r="H9" s="303" t="n">
        <f aca="false">+F9/E9</f>
        <v>0.739577083982033</v>
      </c>
      <c r="I9" s="343"/>
      <c r="J9" s="343"/>
      <c r="K9" s="343"/>
      <c r="L9" s="321"/>
      <c r="M9" s="149"/>
      <c r="N9" s="403"/>
    </row>
    <row r="10" customFormat="false" ht="14.4" hidden="false" customHeight="true" outlineLevel="0" collapsed="false">
      <c r="A10" s="319" t="s">
        <v>220</v>
      </c>
      <c r="B10" s="275" t="n">
        <v>39083</v>
      </c>
      <c r="C10" s="275" t="n">
        <v>39202</v>
      </c>
      <c r="D10" s="277" t="n">
        <v>8672.021</v>
      </c>
      <c r="E10" s="277" t="n">
        <f aca="false">+D10</f>
        <v>8672.021</v>
      </c>
      <c r="F10" s="277" t="n">
        <v>921.919</v>
      </c>
      <c r="G10" s="292" t="n">
        <f aca="false">+E10-F10</f>
        <v>7750.102</v>
      </c>
      <c r="H10" s="279" t="n">
        <f aca="false">+F10/E10</f>
        <v>0.106309590348086</v>
      </c>
      <c r="I10" s="343" t="n">
        <f aca="false">SUM(D10:D12)</f>
        <v>10202.375</v>
      </c>
      <c r="J10" s="343" t="n">
        <f aca="false">SUM(F10:F12)</f>
        <v>3962.605</v>
      </c>
      <c r="K10" s="343" t="n">
        <f aca="false">+I10-J10</f>
        <v>6239.77</v>
      </c>
      <c r="L10" s="321" t="n">
        <f aca="false">+J10/I10</f>
        <v>0.388400249941803</v>
      </c>
      <c r="M10" s="46"/>
      <c r="N10" s="283"/>
    </row>
    <row r="11" customFormat="false" ht="13.8" hidden="false" customHeight="false" outlineLevel="0" collapsed="false">
      <c r="A11" s="319"/>
      <c r="B11" s="339" t="n">
        <v>39203</v>
      </c>
      <c r="C11" s="339" t="n">
        <v>39691</v>
      </c>
      <c r="D11" s="340" t="n">
        <v>1020.239</v>
      </c>
      <c r="E11" s="340" t="n">
        <f aca="false">+D11+G10</f>
        <v>8770.341</v>
      </c>
      <c r="F11" s="340" t="n">
        <v>1025.405</v>
      </c>
      <c r="G11" s="341" t="n">
        <f aca="false">+E11-F11</f>
        <v>7744.936</v>
      </c>
      <c r="H11" s="342" t="n">
        <f aca="false">+F11/E11</f>
        <v>0.116917346771351</v>
      </c>
      <c r="I11" s="343"/>
      <c r="J11" s="343"/>
      <c r="K11" s="343"/>
      <c r="L11" s="321"/>
      <c r="M11" s="46"/>
      <c r="N11" s="46"/>
    </row>
    <row r="12" customFormat="false" ht="14.4" hidden="false" customHeight="false" outlineLevel="0" collapsed="false">
      <c r="A12" s="319"/>
      <c r="B12" s="300" t="n">
        <v>39692</v>
      </c>
      <c r="C12" s="300" t="n">
        <v>39813</v>
      </c>
      <c r="D12" s="322" t="n">
        <v>510.115</v>
      </c>
      <c r="E12" s="322" t="n">
        <f aca="false">+D12+G11</f>
        <v>8255.051</v>
      </c>
      <c r="F12" s="322" t="n">
        <v>2015.281</v>
      </c>
      <c r="G12" s="323" t="n">
        <f aca="false">+E12-F12</f>
        <v>6239.77</v>
      </c>
      <c r="H12" s="303" t="n">
        <f aca="false">+F12/E12</f>
        <v>0.24412701992998</v>
      </c>
      <c r="I12" s="343"/>
      <c r="J12" s="343"/>
      <c r="K12" s="343"/>
      <c r="L12" s="321"/>
      <c r="M12" s="46"/>
      <c r="N12" s="509"/>
      <c r="O12" s="510"/>
    </row>
    <row r="13" customFormat="false" ht="14.4" hidden="false" customHeight="true" outlineLevel="0" collapsed="false">
      <c r="A13" s="319" t="s">
        <v>221</v>
      </c>
      <c r="B13" s="275" t="n">
        <v>39083</v>
      </c>
      <c r="C13" s="275" t="n">
        <v>39202</v>
      </c>
      <c r="D13" s="277" t="n">
        <v>48085.02</v>
      </c>
      <c r="E13" s="277" t="n">
        <f aca="false">+D13</f>
        <v>48085.02</v>
      </c>
      <c r="F13" s="277" t="n">
        <v>8522.355</v>
      </c>
      <c r="G13" s="292" t="n">
        <f aca="false">+E13-F13</f>
        <v>39562.665</v>
      </c>
      <c r="H13" s="279" t="n">
        <f aca="false">+F13/E13</f>
        <v>0.177235134767543</v>
      </c>
      <c r="I13" s="343" t="n">
        <f aca="false">SUM(D13:D15)</f>
        <v>56570.537</v>
      </c>
      <c r="J13" s="343" t="n">
        <f aca="false">SUM(F13:F15)</f>
        <v>41024.718</v>
      </c>
      <c r="K13" s="343" t="n">
        <f aca="false">+I13-J13</f>
        <v>15545.819</v>
      </c>
      <c r="L13" s="321" t="n">
        <f aca="false">+J13/I13</f>
        <v>0.725195838250572</v>
      </c>
      <c r="M13" s="46"/>
      <c r="N13" s="494"/>
      <c r="O13" s="510"/>
    </row>
    <row r="14" customFormat="false" ht="14.4" hidden="false" customHeight="false" outlineLevel="0" collapsed="false">
      <c r="A14" s="319"/>
      <c r="B14" s="339" t="n">
        <v>39203</v>
      </c>
      <c r="C14" s="339" t="n">
        <v>39691</v>
      </c>
      <c r="D14" s="340" t="n">
        <v>5657.072</v>
      </c>
      <c r="E14" s="340" t="n">
        <f aca="false">+D14+G13</f>
        <v>45219.737</v>
      </c>
      <c r="F14" s="340" t="n">
        <v>10158.936</v>
      </c>
      <c r="G14" s="341" t="n">
        <f aca="false">+E14-F14</f>
        <v>35060.801</v>
      </c>
      <c r="H14" s="342" t="n">
        <f aca="false">+F14/E14</f>
        <v>0.224657122618825</v>
      </c>
      <c r="I14" s="343"/>
      <c r="J14" s="343"/>
      <c r="K14" s="343"/>
      <c r="L14" s="321"/>
      <c r="M14" s="46" t="s">
        <v>269</v>
      </c>
      <c r="N14" s="283"/>
      <c r="O14" s="510"/>
    </row>
    <row r="15" customFormat="false" ht="13.8" hidden="false" customHeight="false" outlineLevel="0" collapsed="false">
      <c r="A15" s="319"/>
      <c r="B15" s="300" t="n">
        <v>39692</v>
      </c>
      <c r="C15" s="300" t="n">
        <v>39813</v>
      </c>
      <c r="D15" s="322" t="n">
        <v>2828.445</v>
      </c>
      <c r="E15" s="322" t="n">
        <f aca="false">+D15+G14</f>
        <v>37889.246</v>
      </c>
      <c r="F15" s="322" t="n">
        <v>22343.427</v>
      </c>
      <c r="G15" s="323" t="n">
        <f aca="false">+E15-F15</f>
        <v>15545.819</v>
      </c>
      <c r="H15" s="303" t="n">
        <f aca="false">+F15/E15</f>
        <v>0.589703658922112</v>
      </c>
      <c r="I15" s="343"/>
      <c r="J15" s="343"/>
      <c r="K15" s="343"/>
      <c r="L15" s="321"/>
      <c r="M15" s="46"/>
      <c r="N15" s="46"/>
      <c r="O15" s="510"/>
    </row>
    <row r="16" customFormat="false" ht="13.8" hidden="false" customHeight="true" outlineLevel="0" collapsed="false">
      <c r="A16" s="319" t="s">
        <v>222</v>
      </c>
      <c r="B16" s="275" t="n">
        <v>39083</v>
      </c>
      <c r="C16" s="275" t="n">
        <v>39202</v>
      </c>
      <c r="D16" s="277" t="n">
        <v>25505.666</v>
      </c>
      <c r="E16" s="277" t="n">
        <f aca="false">+D16</f>
        <v>25505.666</v>
      </c>
      <c r="F16" s="277" t="n">
        <v>3837.954</v>
      </c>
      <c r="G16" s="292" t="n">
        <f aca="false">+E16-F16</f>
        <v>21667.712</v>
      </c>
      <c r="H16" s="279" t="n">
        <f aca="false">+F16/E16</f>
        <v>0.150474565141722</v>
      </c>
      <c r="I16" s="343" t="n">
        <f aca="false">SUM(D16:D18)</f>
        <v>30006.626</v>
      </c>
      <c r="J16" s="343" t="n">
        <f aca="false">SUM(F16:F18)</f>
        <v>25889.759</v>
      </c>
      <c r="K16" s="343" t="n">
        <f aca="false">+I16-J16</f>
        <v>4116.867</v>
      </c>
      <c r="L16" s="321" t="n">
        <f aca="false">+J16/I16</f>
        <v>0.86280140259688</v>
      </c>
      <c r="M16" s="46"/>
      <c r="N16" s="46"/>
      <c r="O16" s="510"/>
    </row>
    <row r="17" customFormat="false" ht="13.8" hidden="false" customHeight="false" outlineLevel="0" collapsed="false">
      <c r="A17" s="319"/>
      <c r="B17" s="339" t="n">
        <v>39203</v>
      </c>
      <c r="C17" s="339" t="n">
        <v>39691</v>
      </c>
      <c r="D17" s="340" t="n">
        <v>3000.672</v>
      </c>
      <c r="E17" s="340" t="n">
        <f aca="false">+D17+G16</f>
        <v>24668.384</v>
      </c>
      <c r="F17" s="340" t="n">
        <v>8860.7</v>
      </c>
      <c r="G17" s="341" t="n">
        <f aca="false">+E17-F17</f>
        <v>15807.684</v>
      </c>
      <c r="H17" s="342" t="n">
        <f aca="false">+F17/E17</f>
        <v>0.359192559999066</v>
      </c>
      <c r="I17" s="343"/>
      <c r="J17" s="343"/>
      <c r="K17" s="343"/>
      <c r="L17" s="321"/>
      <c r="M17" s="46"/>
      <c r="N17" s="46"/>
      <c r="O17" s="510"/>
    </row>
    <row r="18" customFormat="false" ht="13.8" hidden="false" customHeight="false" outlineLevel="0" collapsed="false">
      <c r="A18" s="319"/>
      <c r="B18" s="300" t="n">
        <v>39692</v>
      </c>
      <c r="C18" s="300" t="n">
        <v>39813</v>
      </c>
      <c r="D18" s="322" t="n">
        <v>1500.288</v>
      </c>
      <c r="E18" s="322" t="n">
        <f aca="false">+D18+G17</f>
        <v>17307.972</v>
      </c>
      <c r="F18" s="322" t="n">
        <v>13191.105</v>
      </c>
      <c r="G18" s="323" t="n">
        <f aca="false">+E18-F18</f>
        <v>4116.867</v>
      </c>
      <c r="H18" s="303" t="n">
        <f aca="false">+F18/E18</f>
        <v>0.762140417144192</v>
      </c>
      <c r="I18" s="343"/>
      <c r="J18" s="343"/>
      <c r="K18" s="343"/>
      <c r="L18" s="321"/>
      <c r="M18" s="46"/>
      <c r="N18" s="46"/>
      <c r="O18" s="510"/>
    </row>
    <row r="19" customFormat="false" ht="13.8" hidden="false" customHeight="true" outlineLevel="0" collapsed="false">
      <c r="A19" s="319" t="s">
        <v>223</v>
      </c>
      <c r="B19" s="275" t="n">
        <v>39083</v>
      </c>
      <c r="C19" s="275" t="n">
        <v>39202</v>
      </c>
      <c r="D19" s="277" t="n">
        <v>24234.101</v>
      </c>
      <c r="E19" s="277" t="n">
        <f aca="false">+D19</f>
        <v>24234.101</v>
      </c>
      <c r="F19" s="277" t="n">
        <v>3125.784</v>
      </c>
      <c r="G19" s="292" t="n">
        <f aca="false">+E19-F19</f>
        <v>21108.317</v>
      </c>
      <c r="H19" s="279" t="n">
        <f aca="false">+F19/E19</f>
        <v>0.128982874173876</v>
      </c>
      <c r="I19" s="343" t="n">
        <f aca="false">SUM(D19:D21)</f>
        <v>28510.6766</v>
      </c>
      <c r="J19" s="343" t="n">
        <f aca="false">SUM(F19:F21)</f>
        <v>25679.363</v>
      </c>
      <c r="K19" s="343" t="n">
        <f aca="false">+I19-J19</f>
        <v>2831.3136</v>
      </c>
      <c r="L19" s="321" t="n">
        <f aca="false">+J19/I19</f>
        <v>0.900692865352764</v>
      </c>
      <c r="M19" s="46"/>
      <c r="N19" s="46"/>
      <c r="O19" s="510"/>
    </row>
    <row r="20" customFormat="false" ht="13.8" hidden="false" customHeight="false" outlineLevel="0" collapsed="false">
      <c r="A20" s="319"/>
      <c r="B20" s="339" t="n">
        <v>39203</v>
      </c>
      <c r="C20" s="339" t="n">
        <v>39691</v>
      </c>
      <c r="D20" s="340" t="n">
        <v>2851.0751</v>
      </c>
      <c r="E20" s="340" t="n">
        <f aca="false">+D20+G19</f>
        <v>23959.3921</v>
      </c>
      <c r="F20" s="340" t="n">
        <v>6610.674</v>
      </c>
      <c r="G20" s="341" t="n">
        <f aca="false">+E20-F20</f>
        <v>17348.7181</v>
      </c>
      <c r="H20" s="342" t="n">
        <f aca="false">+F20/E20</f>
        <v>0.275911591262785</v>
      </c>
      <c r="I20" s="343"/>
      <c r="J20" s="343"/>
      <c r="K20" s="343"/>
      <c r="L20" s="321"/>
      <c r="M20" s="46"/>
      <c r="N20" s="46"/>
      <c r="O20" s="510"/>
    </row>
    <row r="21" customFormat="false" ht="13.8" hidden="false" customHeight="false" outlineLevel="0" collapsed="false">
      <c r="A21" s="319"/>
      <c r="B21" s="300" t="n">
        <v>39692</v>
      </c>
      <c r="C21" s="300" t="n">
        <v>39813</v>
      </c>
      <c r="D21" s="322" t="n">
        <v>1425.5005</v>
      </c>
      <c r="E21" s="322" t="n">
        <f aca="false">+D21+G20</f>
        <v>18774.2186</v>
      </c>
      <c r="F21" s="322" t="n">
        <v>15942.905</v>
      </c>
      <c r="G21" s="323" t="n">
        <f aca="false">+E21-F21</f>
        <v>2831.3136</v>
      </c>
      <c r="H21" s="303" t="n">
        <f aca="false">+F21/E21</f>
        <v>0.849191401233605</v>
      </c>
      <c r="I21" s="343"/>
      <c r="J21" s="343"/>
      <c r="K21" s="343"/>
      <c r="L21" s="321"/>
      <c r="M21" s="46"/>
      <c r="N21" s="46"/>
      <c r="O21" s="510"/>
    </row>
    <row r="22" customFormat="false" ht="14.4" hidden="false" customHeight="true" outlineLevel="0" collapsed="false">
      <c r="A22" s="319" t="s">
        <v>362</v>
      </c>
      <c r="B22" s="275" t="n">
        <v>39083</v>
      </c>
      <c r="C22" s="275" t="n">
        <v>39202</v>
      </c>
      <c r="D22" s="277" t="n">
        <v>47951.11</v>
      </c>
      <c r="E22" s="277" t="n">
        <f aca="false">+D22</f>
        <v>47951.11</v>
      </c>
      <c r="F22" s="277" t="n">
        <v>19744.767</v>
      </c>
      <c r="G22" s="292" t="n">
        <f aca="false">+E22-F22</f>
        <v>28206.343</v>
      </c>
      <c r="H22" s="279" t="n">
        <f aca="false">+F22/E22</f>
        <v>0.411768716094372</v>
      </c>
      <c r="I22" s="343" t="n">
        <f aca="false">SUM(D22:D24)</f>
        <v>56412.996</v>
      </c>
      <c r="J22" s="343" t="n">
        <f aca="false">SUM(F22:F24)</f>
        <v>54152.162</v>
      </c>
      <c r="K22" s="343" t="n">
        <f aca="false">+I22-J22</f>
        <v>2260.834</v>
      </c>
      <c r="L22" s="321" t="n">
        <f aca="false">+J22/I22</f>
        <v>0.959923525423114</v>
      </c>
      <c r="M22" s="46"/>
      <c r="N22" s="509"/>
      <c r="O22" s="510"/>
    </row>
    <row r="23" customFormat="false" ht="14.4" hidden="false" customHeight="false" outlineLevel="0" collapsed="false">
      <c r="A23" s="319"/>
      <c r="B23" s="339" t="n">
        <v>39203</v>
      </c>
      <c r="C23" s="339" t="n">
        <v>39691</v>
      </c>
      <c r="D23" s="340" t="n">
        <v>5641.318</v>
      </c>
      <c r="E23" s="340" t="n">
        <f aca="false">+D23+G22</f>
        <v>33847.661</v>
      </c>
      <c r="F23" s="340" t="n">
        <v>14035.066</v>
      </c>
      <c r="G23" s="341" t="n">
        <f aca="false">+E23-F23</f>
        <v>19812.595</v>
      </c>
      <c r="H23" s="342" t="n">
        <f aca="false">+F23/E23</f>
        <v>0.414653940193977</v>
      </c>
      <c r="I23" s="343"/>
      <c r="J23" s="343"/>
      <c r="K23" s="343"/>
      <c r="L23" s="321"/>
      <c r="M23" s="46" t="s">
        <v>269</v>
      </c>
      <c r="N23" s="494"/>
      <c r="O23" s="510"/>
    </row>
    <row r="24" customFormat="false" ht="14.4" hidden="false" customHeight="false" outlineLevel="0" collapsed="false">
      <c r="A24" s="319"/>
      <c r="B24" s="300" t="n">
        <v>39692</v>
      </c>
      <c r="C24" s="300" t="n">
        <v>39813</v>
      </c>
      <c r="D24" s="322" t="n">
        <v>2820.568</v>
      </c>
      <c r="E24" s="322" t="n">
        <f aca="false">+D24+G23</f>
        <v>22633.163</v>
      </c>
      <c r="F24" s="322" t="n">
        <v>20372.329</v>
      </c>
      <c r="G24" s="323" t="n">
        <f aca="false">+E24-F24</f>
        <v>2260.834</v>
      </c>
      <c r="H24" s="303" t="n">
        <f aca="false">+F24/E24</f>
        <v>0.900109675346747</v>
      </c>
      <c r="I24" s="343"/>
      <c r="J24" s="343"/>
      <c r="K24" s="343"/>
      <c r="L24" s="321"/>
      <c r="M24" s="46"/>
      <c r="N24" s="509"/>
      <c r="O24" s="510"/>
    </row>
    <row r="25" customFormat="false" ht="14.4" hidden="false" customHeight="true" outlineLevel="0" collapsed="false">
      <c r="A25" s="345" t="s">
        <v>363</v>
      </c>
      <c r="B25" s="325" t="n">
        <v>39083</v>
      </c>
      <c r="C25" s="325" t="n">
        <v>39202</v>
      </c>
      <c r="D25" s="326" t="n">
        <v>41687.405</v>
      </c>
      <c r="E25" s="326" t="n">
        <f aca="false">+D25</f>
        <v>41687.405</v>
      </c>
      <c r="F25" s="326" t="n">
        <v>17960.362</v>
      </c>
      <c r="G25" s="327" t="n">
        <f aca="false">+E25-F25</f>
        <v>23727.043</v>
      </c>
      <c r="H25" s="328" t="n">
        <f aca="false">+F25/E25</f>
        <v>0.43083425317551</v>
      </c>
      <c r="I25" s="394" t="n">
        <f aca="false">SUM(D25:D27)</f>
        <v>49043.938</v>
      </c>
      <c r="J25" s="394" t="n">
        <f aca="false">SUM(F25:F27)</f>
        <v>41909.39</v>
      </c>
      <c r="K25" s="394" t="n">
        <f aca="false">+I25-J25</f>
        <v>7134.548</v>
      </c>
      <c r="L25" s="332" t="n">
        <f aca="false">+J25/I25</f>
        <v>0.854527423960123</v>
      </c>
      <c r="M25" s="46"/>
      <c r="N25" s="494"/>
      <c r="O25" s="510"/>
    </row>
    <row r="26" customFormat="false" ht="14.4" hidden="false" customHeight="false" outlineLevel="0" collapsed="false">
      <c r="A26" s="345"/>
      <c r="B26" s="339" t="n">
        <v>39203</v>
      </c>
      <c r="C26" s="339" t="n">
        <v>39691</v>
      </c>
      <c r="D26" s="340" t="n">
        <v>4904.41</v>
      </c>
      <c r="E26" s="340" t="n">
        <f aca="false">+D26+G25</f>
        <v>28631.453</v>
      </c>
      <c r="F26" s="340" t="n">
        <v>11328.714</v>
      </c>
      <c r="G26" s="341" t="n">
        <f aca="false">+E26-F26</f>
        <v>17302.739</v>
      </c>
      <c r="H26" s="342" t="n">
        <f aca="false">+F26/E26</f>
        <v>0.395673736851567</v>
      </c>
      <c r="I26" s="394"/>
      <c r="J26" s="394"/>
      <c r="K26" s="394"/>
      <c r="L26" s="332"/>
      <c r="M26" s="46"/>
      <c r="N26" s="494"/>
      <c r="O26" s="510"/>
    </row>
    <row r="27" customFormat="false" ht="14.4" hidden="false" customHeight="false" outlineLevel="0" collapsed="false">
      <c r="A27" s="345"/>
      <c r="B27" s="300" t="n">
        <v>39692</v>
      </c>
      <c r="C27" s="300" t="n">
        <v>39813</v>
      </c>
      <c r="D27" s="322" t="n">
        <v>2452.123</v>
      </c>
      <c r="E27" s="322" t="n">
        <f aca="false">+D27+G26</f>
        <v>19754.862</v>
      </c>
      <c r="F27" s="322" t="n">
        <v>12620.314</v>
      </c>
      <c r="G27" s="323" t="n">
        <f aca="false">+E27-F27</f>
        <v>7134.548</v>
      </c>
      <c r="H27" s="303" t="n">
        <f aca="false">+F27/E27</f>
        <v>0.638845971184208</v>
      </c>
      <c r="I27" s="394"/>
      <c r="J27" s="394"/>
      <c r="K27" s="394"/>
      <c r="L27" s="332"/>
      <c r="M27" s="46"/>
      <c r="N27" s="509"/>
    </row>
    <row r="28" customFormat="false" ht="13.8" hidden="false" customHeight="false" outlineLevel="0" collapsed="false">
      <c r="A28" s="349"/>
      <c r="B28" s="350"/>
      <c r="C28" s="350"/>
      <c r="D28" s="351"/>
      <c r="E28" s="351"/>
      <c r="F28" s="351"/>
      <c r="G28" s="351"/>
      <c r="H28" s="13"/>
      <c r="I28" s="261"/>
      <c r="J28" s="261"/>
      <c r="K28" s="253"/>
      <c r="L28" s="352"/>
      <c r="M28" s="46"/>
      <c r="N28" s="46"/>
    </row>
    <row r="29" customFormat="false" ht="15.6" hidden="false" customHeight="false" outlineLevel="0" collapsed="false">
      <c r="A29" s="98" t="s">
        <v>173</v>
      </c>
      <c r="B29" s="98" t="s">
        <v>192</v>
      </c>
      <c r="C29" s="98"/>
      <c r="D29" s="98" t="s">
        <v>193</v>
      </c>
      <c r="E29" s="98"/>
      <c r="F29" s="98" t="s">
        <v>156</v>
      </c>
      <c r="G29" s="98"/>
      <c r="H29" s="98"/>
      <c r="I29" s="98" t="s">
        <v>194</v>
      </c>
      <c r="J29" s="98"/>
      <c r="K29" s="98"/>
      <c r="L29" s="98"/>
      <c r="M29" s="46"/>
      <c r="N29" s="46"/>
    </row>
    <row r="30" customFormat="false" ht="15.6" hidden="false" customHeight="false" outlineLevel="0" collapsed="false">
      <c r="A30" s="97" t="s">
        <v>364</v>
      </c>
      <c r="B30" s="98" t="s">
        <v>199</v>
      </c>
      <c r="C30" s="98" t="s">
        <v>200</v>
      </c>
      <c r="D30" s="97" t="s">
        <v>201</v>
      </c>
      <c r="E30" s="97" t="s">
        <v>202</v>
      </c>
      <c r="F30" s="97" t="s">
        <v>43</v>
      </c>
      <c r="G30" s="97" t="s">
        <v>44</v>
      </c>
      <c r="H30" s="97" t="s">
        <v>159</v>
      </c>
      <c r="I30" s="97" t="s">
        <v>193</v>
      </c>
      <c r="J30" s="97" t="s">
        <v>43</v>
      </c>
      <c r="K30" s="97" t="s">
        <v>44</v>
      </c>
      <c r="L30" s="97" t="s">
        <v>159</v>
      </c>
      <c r="M30" s="46"/>
      <c r="N30" s="46"/>
    </row>
    <row r="31" customFormat="false" ht="13.8" hidden="false" customHeight="false" outlineLevel="0" collapsed="false">
      <c r="A31" s="97"/>
      <c r="B31" s="335" t="n">
        <v>39083</v>
      </c>
      <c r="C31" s="335" t="n">
        <v>39202</v>
      </c>
      <c r="D31" s="148" t="n">
        <f aca="false">D7+D10+D13+D16+D19+D22+D25</f>
        <v>204896.525</v>
      </c>
      <c r="E31" s="148" t="n">
        <f aca="false">+D31</f>
        <v>204896.525</v>
      </c>
      <c r="F31" s="148" t="n">
        <f aca="false">F7+F10+F13+F16+F19+F22+F25</f>
        <v>55881.654</v>
      </c>
      <c r="G31" s="113" t="n">
        <f aca="false">+E31-F31</f>
        <v>149014.871</v>
      </c>
      <c r="H31" s="120" t="n">
        <f aca="false">+F31/E31</f>
        <v>0.272731096830461</v>
      </c>
      <c r="I31" s="108" t="n">
        <f aca="false">SUM(D31:D33)</f>
        <v>241054.4306</v>
      </c>
      <c r="J31" s="511" t="n">
        <f aca="false">SUM(F31:F33)</f>
        <v>201235.827</v>
      </c>
      <c r="K31" s="312" t="n">
        <f aca="false">+I31-J31</f>
        <v>39818.6036</v>
      </c>
      <c r="L31" s="315" t="n">
        <f aca="false">+J31/I31</f>
        <v>0.834814885995296</v>
      </c>
      <c r="M31" s="46"/>
      <c r="N31" s="46"/>
    </row>
    <row r="32" customFormat="false" ht="13.8" hidden="false" customHeight="false" outlineLevel="0" collapsed="false">
      <c r="A32" s="97"/>
      <c r="B32" s="335" t="n">
        <v>39203</v>
      </c>
      <c r="C32" s="335" t="n">
        <v>39691</v>
      </c>
      <c r="D32" s="148" t="n">
        <f aca="false">D8+D11+D14+D17+D20+D23+D26</f>
        <v>24105.5171</v>
      </c>
      <c r="E32" s="148" t="n">
        <f aca="false">+D32+G31</f>
        <v>173120.3881</v>
      </c>
      <c r="F32" s="148" t="n">
        <f aca="false">F8+F11+F14+F17+F20+F23+F26</f>
        <v>54070.924</v>
      </c>
      <c r="G32" s="113" t="n">
        <f aca="false">+E32-F32</f>
        <v>119049.4641</v>
      </c>
      <c r="H32" s="120" t="n">
        <f aca="false">+F32/E32</f>
        <v>0.312331346951272</v>
      </c>
      <c r="I32" s="108"/>
      <c r="J32" s="511"/>
      <c r="K32" s="312"/>
      <c r="L32" s="315"/>
      <c r="M32" s="46"/>
      <c r="N32" s="46"/>
    </row>
    <row r="33" customFormat="false" ht="13.8" hidden="false" customHeight="false" outlineLevel="0" collapsed="false">
      <c r="A33" s="97"/>
      <c r="B33" s="335" t="n">
        <v>39692</v>
      </c>
      <c r="C33" s="335" t="n">
        <v>39813</v>
      </c>
      <c r="D33" s="148" t="n">
        <f aca="false">D9+D12+D15+D18+D21+D24+D27</f>
        <v>12052.3885</v>
      </c>
      <c r="E33" s="148" t="n">
        <f aca="false">+D33+G32</f>
        <v>131101.8526</v>
      </c>
      <c r="F33" s="148" t="n">
        <f aca="false">F9+F12+F15+F18+F21+F24+F27</f>
        <v>91283.249</v>
      </c>
      <c r="G33" s="113" t="n">
        <f aca="false">+E33-F33</f>
        <v>39818.6036</v>
      </c>
      <c r="H33" s="120" t="n">
        <f aca="false">+F33/E33</f>
        <v>0.6962773384943</v>
      </c>
      <c r="I33" s="108"/>
      <c r="J33" s="511"/>
      <c r="K33" s="312"/>
      <c r="L33" s="315"/>
      <c r="M33" s="46"/>
      <c r="N33" s="46"/>
    </row>
    <row r="34" customFormat="false" ht="13.8" hidden="false" customHeight="fals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customFormat="false" ht="13.8" hidden="false" customHeight="fals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customFormat="false" ht="13.8" hidden="false" customHeight="false" outlineLevel="0" collapsed="false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customFormat="false" ht="13.8" hidden="false" customHeight="false" outlineLevel="0" collapsed="false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</row>
    <row r="41" customFormat="false" ht="13.2" hidden="false" customHeight="false" outlineLevel="0" collapsed="false">
      <c r="E41" s="434"/>
    </row>
    <row r="42" customFormat="false" ht="13.2" hidden="false" customHeight="false" outlineLevel="0" collapsed="false">
      <c r="E42" s="434"/>
    </row>
    <row r="43" customFormat="false" ht="13.2" hidden="false" customHeight="false" outlineLevel="0" collapsed="false">
      <c r="E43" s="434"/>
    </row>
  </sheetData>
  <mergeCells count="51">
    <mergeCell ref="A2:L2"/>
    <mergeCell ref="A3:L3"/>
    <mergeCell ref="B4:D4"/>
    <mergeCell ref="B5:C5"/>
    <mergeCell ref="D5:E5"/>
    <mergeCell ref="F5:H5"/>
    <mergeCell ref="I5:L5"/>
    <mergeCell ref="A7:A9"/>
    <mergeCell ref="I7:I9"/>
    <mergeCell ref="J7:J9"/>
    <mergeCell ref="K7:K9"/>
    <mergeCell ref="L7:L9"/>
    <mergeCell ref="A10:A12"/>
    <mergeCell ref="I10:I12"/>
    <mergeCell ref="J10:J12"/>
    <mergeCell ref="K10:K12"/>
    <mergeCell ref="L10:L12"/>
    <mergeCell ref="A13:A15"/>
    <mergeCell ref="I13:I15"/>
    <mergeCell ref="J13:J15"/>
    <mergeCell ref="K13:K15"/>
    <mergeCell ref="L13:L15"/>
    <mergeCell ref="A16:A18"/>
    <mergeCell ref="I16:I18"/>
    <mergeCell ref="J16:J18"/>
    <mergeCell ref="K16:K18"/>
    <mergeCell ref="L16:L18"/>
    <mergeCell ref="A19:A21"/>
    <mergeCell ref="I19:I21"/>
    <mergeCell ref="J19:J21"/>
    <mergeCell ref="K19:K21"/>
    <mergeCell ref="L19:L21"/>
    <mergeCell ref="A22:A24"/>
    <mergeCell ref="I22:I24"/>
    <mergeCell ref="J22:J24"/>
    <mergeCell ref="K22:K24"/>
    <mergeCell ref="L22:L24"/>
    <mergeCell ref="A25:A27"/>
    <mergeCell ref="I25:I27"/>
    <mergeCell ref="J25:J27"/>
    <mergeCell ref="K25:K27"/>
    <mergeCell ref="L25:L27"/>
    <mergeCell ref="B29:C29"/>
    <mergeCell ref="D29:E29"/>
    <mergeCell ref="F29:H29"/>
    <mergeCell ref="I29:L29"/>
    <mergeCell ref="A30:A33"/>
    <mergeCell ref="I31:I33"/>
    <mergeCell ref="J31:J33"/>
    <mergeCell ref="K31:K33"/>
    <mergeCell ref="L31:L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99"/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21" activeCellId="0" sqref="O21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428" width="27.55"/>
    <col collapsed="false" customWidth="true" hidden="false" outlineLevel="0" max="3" min="2" style="428" width="6.87"/>
    <col collapsed="false" customWidth="true" hidden="false" outlineLevel="0" max="4" min="4" style="428" width="9.99"/>
    <col collapsed="false" customWidth="true" hidden="false" outlineLevel="0" max="5" min="5" style="428" width="8.99"/>
    <col collapsed="false" customWidth="true" hidden="false" outlineLevel="0" max="6" min="6" style="428" width="19.99"/>
    <col collapsed="false" customWidth="true" hidden="false" outlineLevel="0" max="7" min="7" style="428" width="11.87"/>
    <col collapsed="false" customWidth="true" hidden="false" outlineLevel="0" max="8" min="8" style="428" width="13.99"/>
    <col collapsed="false" customWidth="true" hidden="false" outlineLevel="0" max="9" min="9" style="428" width="12.32"/>
    <col collapsed="false" customWidth="true" hidden="false" outlineLevel="0" max="10" min="10" style="428" width="19.99"/>
    <col collapsed="false" customWidth="true" hidden="false" outlineLevel="0" max="11" min="11" style="428" width="11.87"/>
    <col collapsed="false" customWidth="true" hidden="false" outlineLevel="0" max="12" min="12" style="428" width="16.1"/>
    <col collapsed="false" customWidth="false" hidden="false" outlineLevel="0" max="257" min="13" style="428" width="11.43"/>
  </cols>
  <sheetData>
    <row r="1" customFormat="false" ht="13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customFormat="false" ht="15.6" hidden="false" customHeight="false" outlineLevel="0" collapsed="false">
      <c r="A2" s="45" t="s">
        <v>365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  <c r="N2" s="46"/>
    </row>
    <row r="3" customFormat="false" ht="15.6" hidden="false" customHeight="false" outlineLevel="0" collapsed="false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6"/>
      <c r="N3" s="46"/>
    </row>
    <row r="4" customFormat="false" ht="13.8" hidden="false" customHeight="false" outlineLevel="0" collapsed="false">
      <c r="A4" s="266"/>
      <c r="B4" s="267"/>
      <c r="C4" s="267"/>
      <c r="D4" s="267"/>
      <c r="E4" s="268"/>
      <c r="F4" s="268"/>
      <c r="G4" s="266"/>
      <c r="H4" s="269"/>
      <c r="I4" s="269"/>
      <c r="J4" s="269"/>
      <c r="K4" s="269"/>
      <c r="L4" s="269"/>
      <c r="M4" s="46"/>
      <c r="N4" s="46"/>
    </row>
    <row r="5" customFormat="false" ht="15.6" hidden="false" customHeight="true" outlineLevel="0" collapsed="false">
      <c r="A5" s="98" t="s">
        <v>366</v>
      </c>
      <c r="B5" s="98" t="s">
        <v>192</v>
      </c>
      <c r="C5" s="98"/>
      <c r="D5" s="98" t="s">
        <v>193</v>
      </c>
      <c r="E5" s="98"/>
      <c r="F5" s="98" t="s">
        <v>156</v>
      </c>
      <c r="G5" s="98"/>
      <c r="H5" s="98"/>
      <c r="I5" s="98" t="s">
        <v>194</v>
      </c>
      <c r="J5" s="98"/>
      <c r="K5" s="98"/>
      <c r="L5" s="98"/>
      <c r="M5" s="46"/>
      <c r="N5" s="46"/>
    </row>
    <row r="6" customFormat="false" ht="15.6" hidden="false" customHeight="false" outlineLevel="0" collapsed="false">
      <c r="A6" s="357" t="s">
        <v>150</v>
      </c>
      <c r="B6" s="53" t="s">
        <v>199</v>
      </c>
      <c r="C6" s="53" t="s">
        <v>200</v>
      </c>
      <c r="D6" s="51" t="s">
        <v>201</v>
      </c>
      <c r="E6" s="51" t="s">
        <v>202</v>
      </c>
      <c r="F6" s="51" t="s">
        <v>43</v>
      </c>
      <c r="G6" s="51" t="s">
        <v>44</v>
      </c>
      <c r="H6" s="51" t="s">
        <v>159</v>
      </c>
      <c r="I6" s="51" t="s">
        <v>193</v>
      </c>
      <c r="J6" s="51" t="s">
        <v>43</v>
      </c>
      <c r="K6" s="51" t="s">
        <v>44</v>
      </c>
      <c r="L6" s="51" t="s">
        <v>159</v>
      </c>
      <c r="M6" s="46"/>
      <c r="N6" s="46"/>
    </row>
    <row r="7" customFormat="false" ht="21.9" hidden="false" customHeight="true" outlineLevel="0" collapsed="false">
      <c r="A7" s="274" t="s">
        <v>367</v>
      </c>
      <c r="B7" s="275" t="n">
        <v>39083</v>
      </c>
      <c r="C7" s="275" t="n">
        <v>39263</v>
      </c>
      <c r="D7" s="512" t="n">
        <v>887.812</v>
      </c>
      <c r="E7" s="512" t="n">
        <f aca="false">+D7</f>
        <v>887.812</v>
      </c>
      <c r="F7" s="276"/>
      <c r="G7" s="278" t="n">
        <f aca="false">+E7-F7</f>
        <v>887.812</v>
      </c>
      <c r="H7" s="279" t="n">
        <f aca="false">+F7/E7</f>
        <v>0</v>
      </c>
      <c r="I7" s="280" t="n">
        <f aca="false">SUM(D7:D8)</f>
        <v>1183.749</v>
      </c>
      <c r="J7" s="280" t="n">
        <f aca="false">SUM(F7:F8)</f>
        <v>0</v>
      </c>
      <c r="K7" s="281" t="n">
        <f aca="false">+I7-J7</f>
        <v>1183.749</v>
      </c>
      <c r="L7" s="282" t="n">
        <f aca="false">+J7/I7</f>
        <v>0</v>
      </c>
      <c r="M7" s="46"/>
      <c r="N7" s="46"/>
    </row>
    <row r="8" customFormat="false" ht="21.9" hidden="false" customHeight="true" outlineLevel="0" collapsed="false">
      <c r="A8" s="274"/>
      <c r="B8" s="285" t="n">
        <v>39264</v>
      </c>
      <c r="C8" s="285" t="n">
        <v>39447</v>
      </c>
      <c r="D8" s="286" t="n">
        <v>295.937</v>
      </c>
      <c r="E8" s="286" t="n">
        <f aca="false">+D8+G7</f>
        <v>1183.749</v>
      </c>
      <c r="F8" s="286"/>
      <c r="G8" s="287" t="n">
        <f aca="false">+E8-F8</f>
        <v>1183.749</v>
      </c>
      <c r="H8" s="288" t="n">
        <f aca="false">+F8/E8</f>
        <v>0</v>
      </c>
      <c r="I8" s="280"/>
      <c r="J8" s="280"/>
      <c r="K8" s="281"/>
      <c r="L8" s="282"/>
      <c r="M8" s="46"/>
      <c r="N8" s="46"/>
    </row>
    <row r="9" customFormat="false" ht="21.9" hidden="false" customHeight="true" outlineLevel="0" collapsed="false">
      <c r="A9" s="290" t="s">
        <v>207</v>
      </c>
      <c r="B9" s="275" t="n">
        <v>39083</v>
      </c>
      <c r="C9" s="275" t="n">
        <v>39263</v>
      </c>
      <c r="D9" s="276" t="n">
        <v>237.188</v>
      </c>
      <c r="E9" s="276" t="n">
        <f aca="false">+D9</f>
        <v>237.188</v>
      </c>
      <c r="F9" s="291"/>
      <c r="G9" s="278" t="n">
        <f aca="false">+E9-F9</f>
        <v>237.188</v>
      </c>
      <c r="H9" s="279" t="n">
        <f aca="false">+F9/E9</f>
        <v>0</v>
      </c>
      <c r="I9" s="293" t="n">
        <f aca="false">SUM(D9:D10)</f>
        <v>316.251</v>
      </c>
      <c r="J9" s="293" t="n">
        <f aca="false">SUM(F9:F10)</f>
        <v>0</v>
      </c>
      <c r="K9" s="294" t="n">
        <f aca="false">+I9-J9</f>
        <v>316.251</v>
      </c>
      <c r="L9" s="321" t="n">
        <f aca="false">+J9/I9</f>
        <v>0</v>
      </c>
      <c r="M9" s="46"/>
      <c r="N9" s="46"/>
    </row>
    <row r="10" customFormat="false" ht="21.9" hidden="false" customHeight="true" outlineLevel="0" collapsed="false">
      <c r="A10" s="290"/>
      <c r="B10" s="300" t="n">
        <v>39264</v>
      </c>
      <c r="C10" s="300" t="n">
        <v>39447</v>
      </c>
      <c r="D10" s="301" t="n">
        <v>79.063</v>
      </c>
      <c r="E10" s="301" t="n">
        <f aca="false">+D10+G9</f>
        <v>316.251</v>
      </c>
      <c r="F10" s="301"/>
      <c r="G10" s="302" t="n">
        <f aca="false">+E10-F10</f>
        <v>316.251</v>
      </c>
      <c r="H10" s="303" t="n">
        <f aca="false">+F10/E10</f>
        <v>0</v>
      </c>
      <c r="I10" s="293"/>
      <c r="J10" s="293"/>
      <c r="K10" s="294"/>
      <c r="L10" s="321"/>
      <c r="M10" s="46"/>
      <c r="N10" s="46"/>
    </row>
    <row r="11" customFormat="false" ht="13.8" hidden="false" customHeight="false" outlineLevel="0" collapsed="false">
      <c r="A11" s="307"/>
      <c r="B11" s="307"/>
      <c r="C11" s="307"/>
      <c r="D11" s="307"/>
      <c r="E11" s="307"/>
      <c r="F11" s="307"/>
      <c r="G11" s="307"/>
      <c r="H11" s="307"/>
      <c r="I11" s="308"/>
      <c r="J11" s="309"/>
      <c r="K11" s="308"/>
      <c r="L11" s="310"/>
      <c r="M11" s="46"/>
      <c r="N11" s="46"/>
    </row>
    <row r="12" customFormat="false" ht="15.6" hidden="false" customHeight="false" outlineLevel="0" collapsed="false">
      <c r="A12" s="98" t="s">
        <v>173</v>
      </c>
      <c r="B12" s="98" t="s">
        <v>192</v>
      </c>
      <c r="C12" s="98"/>
      <c r="D12" s="98" t="s">
        <v>193</v>
      </c>
      <c r="E12" s="98"/>
      <c r="F12" s="98" t="s">
        <v>156</v>
      </c>
      <c r="G12" s="98"/>
      <c r="H12" s="98"/>
      <c r="I12" s="98" t="s">
        <v>194</v>
      </c>
      <c r="J12" s="98"/>
      <c r="K12" s="98"/>
      <c r="L12" s="98"/>
      <c r="M12" s="46"/>
      <c r="N12" s="46"/>
    </row>
    <row r="13" customFormat="false" ht="15.6" hidden="false" customHeight="false" outlineLevel="0" collapsed="false">
      <c r="A13" s="97" t="s">
        <v>366</v>
      </c>
      <c r="B13" s="98" t="s">
        <v>199</v>
      </c>
      <c r="C13" s="98" t="s">
        <v>200</v>
      </c>
      <c r="D13" s="97" t="s">
        <v>201</v>
      </c>
      <c r="E13" s="97" t="s">
        <v>202</v>
      </c>
      <c r="F13" s="97" t="s">
        <v>43</v>
      </c>
      <c r="G13" s="97" t="s">
        <v>44</v>
      </c>
      <c r="H13" s="97" t="s">
        <v>159</v>
      </c>
      <c r="I13" s="97" t="s">
        <v>193</v>
      </c>
      <c r="J13" s="97" t="s">
        <v>43</v>
      </c>
      <c r="K13" s="97" t="s">
        <v>44</v>
      </c>
      <c r="L13" s="97" t="s">
        <v>159</v>
      </c>
      <c r="M13" s="46"/>
      <c r="N13" s="46"/>
    </row>
    <row r="14" customFormat="false" ht="13.8" hidden="false" customHeight="false" outlineLevel="0" collapsed="false">
      <c r="A14" s="97"/>
      <c r="B14" s="335" t="n">
        <v>39083</v>
      </c>
      <c r="C14" s="335" t="n">
        <v>39263</v>
      </c>
      <c r="D14" s="148" t="n">
        <f aca="false">SUM(D7,D9)</f>
        <v>1125</v>
      </c>
      <c r="E14" s="148" t="n">
        <f aca="false">+D14</f>
        <v>1125</v>
      </c>
      <c r="F14" s="148" t="n">
        <f aca="false">SUM(F7,F9)</f>
        <v>0</v>
      </c>
      <c r="G14" s="113" t="n">
        <f aca="false">+E14-F14</f>
        <v>1125</v>
      </c>
      <c r="H14" s="120" t="n">
        <f aca="false">+F14/E14</f>
        <v>0</v>
      </c>
      <c r="I14" s="313" t="n">
        <f aca="false">SUM(D14:D15)</f>
        <v>1500</v>
      </c>
      <c r="J14" s="313" t="n">
        <f aca="false">SUM(F14:F15)</f>
        <v>0</v>
      </c>
      <c r="K14" s="314" t="n">
        <f aca="false">+I14-J14</f>
        <v>1500</v>
      </c>
      <c r="L14" s="315" t="n">
        <f aca="false">+J14/I14</f>
        <v>0</v>
      </c>
      <c r="M14" s="46"/>
      <c r="N14" s="46"/>
    </row>
    <row r="15" customFormat="false" ht="13.8" hidden="false" customHeight="false" outlineLevel="0" collapsed="false">
      <c r="A15" s="97"/>
      <c r="B15" s="335" t="n">
        <v>39264</v>
      </c>
      <c r="C15" s="335" t="n">
        <v>39447</v>
      </c>
      <c r="D15" s="148" t="n">
        <f aca="false">SUM(D8,D10)</f>
        <v>375</v>
      </c>
      <c r="E15" s="148" t="n">
        <f aca="false">+D15+G14</f>
        <v>1500</v>
      </c>
      <c r="F15" s="148" t="n">
        <f aca="false">SUM(F8,F10)</f>
        <v>0</v>
      </c>
      <c r="G15" s="113" t="n">
        <f aca="false">+E15-F15</f>
        <v>1500</v>
      </c>
      <c r="H15" s="120" t="n">
        <f aca="false">+F15/E15</f>
        <v>0</v>
      </c>
      <c r="I15" s="313"/>
      <c r="J15" s="313"/>
      <c r="K15" s="314"/>
      <c r="L15" s="315"/>
      <c r="M15" s="46"/>
      <c r="N15" s="46"/>
    </row>
    <row r="16" customFormat="false" ht="13.8" hidden="false" customHeight="false" outlineLevel="0" collapsed="false">
      <c r="A16" s="247"/>
      <c r="B16" s="131"/>
      <c r="C16" s="131"/>
      <c r="D16" s="247"/>
      <c r="E16" s="247"/>
      <c r="F16" s="247"/>
      <c r="G16" s="247"/>
      <c r="H16" s="247"/>
      <c r="I16" s="247"/>
      <c r="J16" s="247"/>
      <c r="K16" s="247"/>
      <c r="L16" s="247"/>
      <c r="M16" s="46"/>
      <c r="N16" s="46"/>
    </row>
    <row r="17" customFormat="false" ht="15.6" hidden="false" customHeight="false" outlineLevel="0" collapsed="false">
      <c r="A17" s="98" t="s">
        <v>368</v>
      </c>
      <c r="B17" s="98" t="s">
        <v>192</v>
      </c>
      <c r="C17" s="98"/>
      <c r="D17" s="98" t="s">
        <v>193</v>
      </c>
      <c r="E17" s="98"/>
      <c r="F17" s="98" t="s">
        <v>156</v>
      </c>
      <c r="G17" s="98"/>
      <c r="H17" s="98"/>
      <c r="I17" s="98" t="s">
        <v>194</v>
      </c>
      <c r="J17" s="98"/>
      <c r="K17" s="98"/>
      <c r="L17" s="98"/>
      <c r="M17" s="46"/>
      <c r="N17" s="46"/>
    </row>
    <row r="18" customFormat="false" ht="15.6" hidden="false" customHeight="false" outlineLevel="0" collapsed="false">
      <c r="A18" s="357" t="s">
        <v>150</v>
      </c>
      <c r="B18" s="53" t="s">
        <v>199</v>
      </c>
      <c r="C18" s="53" t="s">
        <v>200</v>
      </c>
      <c r="D18" s="51" t="s">
        <v>201</v>
      </c>
      <c r="E18" s="51" t="s">
        <v>202</v>
      </c>
      <c r="F18" s="51" t="s">
        <v>43</v>
      </c>
      <c r="G18" s="51" t="s">
        <v>44</v>
      </c>
      <c r="H18" s="51" t="s">
        <v>159</v>
      </c>
      <c r="I18" s="51" t="s">
        <v>193</v>
      </c>
      <c r="J18" s="51" t="s">
        <v>43</v>
      </c>
      <c r="K18" s="51" t="s">
        <v>44</v>
      </c>
      <c r="L18" s="51" t="s">
        <v>159</v>
      </c>
      <c r="M18" s="46"/>
      <c r="N18" s="46"/>
    </row>
    <row r="19" customFormat="false" ht="21.9" hidden="false" customHeight="true" outlineLevel="0" collapsed="false">
      <c r="A19" s="316" t="s">
        <v>369</v>
      </c>
      <c r="B19" s="275" t="n">
        <v>39083</v>
      </c>
      <c r="C19" s="275" t="n">
        <v>39386</v>
      </c>
      <c r="D19" s="277" t="n">
        <v>0</v>
      </c>
      <c r="E19" s="277" t="n">
        <f aca="false">+D19</f>
        <v>0</v>
      </c>
      <c r="F19" s="277"/>
      <c r="G19" s="292" t="n">
        <f aca="false">+E19-F19</f>
        <v>0</v>
      </c>
      <c r="H19" s="279" t="e">
        <f aca="false">+F19/E19</f>
        <v>#DIV/0!</v>
      </c>
      <c r="I19" s="293" t="n">
        <f aca="false">SUM(D19:D20)</f>
        <v>0</v>
      </c>
      <c r="J19" s="293" t="n">
        <f aca="false">SUM(F19:F20)</f>
        <v>0</v>
      </c>
      <c r="K19" s="294" t="n">
        <f aca="false">+I19-J19</f>
        <v>0</v>
      </c>
      <c r="L19" s="321" t="e">
        <f aca="false">+J19/I19</f>
        <v>#DIV/0!</v>
      </c>
      <c r="M19" s="46"/>
      <c r="N19" s="46"/>
    </row>
    <row r="20" customFormat="false" ht="21.9" hidden="false" customHeight="true" outlineLevel="0" collapsed="false">
      <c r="A20" s="316"/>
      <c r="B20" s="300" t="n">
        <v>39387</v>
      </c>
      <c r="C20" s="300" t="n">
        <v>39447</v>
      </c>
      <c r="D20" s="322" t="n">
        <v>0</v>
      </c>
      <c r="E20" s="322" t="n">
        <f aca="false">+D20+G19</f>
        <v>0</v>
      </c>
      <c r="F20" s="322"/>
      <c r="G20" s="323" t="n">
        <f aca="false">+E20-F20</f>
        <v>0</v>
      </c>
      <c r="H20" s="303" t="e">
        <f aca="false">+F20/E20</f>
        <v>#DIV/0!</v>
      </c>
      <c r="I20" s="293"/>
      <c r="J20" s="293"/>
      <c r="K20" s="294"/>
      <c r="L20" s="321"/>
      <c r="M20" s="46"/>
      <c r="N20" s="46"/>
    </row>
    <row r="21" customFormat="false" ht="21.9" hidden="false" customHeight="true" outlineLevel="0" collapsed="false">
      <c r="A21" s="513" t="s">
        <v>370</v>
      </c>
      <c r="B21" s="514" t="n">
        <v>39083</v>
      </c>
      <c r="C21" s="275" t="n">
        <v>39386</v>
      </c>
      <c r="D21" s="277" t="n">
        <v>79.362</v>
      </c>
      <c r="E21" s="277" t="n">
        <f aca="false">+D21</f>
        <v>79.362</v>
      </c>
      <c r="F21" s="277"/>
      <c r="G21" s="292" t="n">
        <f aca="false">+E21-F21</f>
        <v>79.362</v>
      </c>
      <c r="H21" s="279" t="n">
        <f aca="false">+F21/E21</f>
        <v>0</v>
      </c>
      <c r="I21" s="293" t="n">
        <f aca="false">SUM(D21:D22)</f>
        <v>88.101</v>
      </c>
      <c r="J21" s="293" t="n">
        <f aca="false">SUM(F21:F22)</f>
        <v>0</v>
      </c>
      <c r="K21" s="294" t="n">
        <f aca="false">+I21-J21</f>
        <v>88.101</v>
      </c>
      <c r="L21" s="321" t="n">
        <f aca="false">+J21/I21</f>
        <v>0</v>
      </c>
      <c r="M21" s="46"/>
      <c r="N21" s="46"/>
    </row>
    <row r="22" customFormat="false" ht="21.9" hidden="false" customHeight="true" outlineLevel="0" collapsed="false">
      <c r="A22" s="513"/>
      <c r="B22" s="515" t="n">
        <v>39387</v>
      </c>
      <c r="C22" s="300" t="n">
        <v>39447</v>
      </c>
      <c r="D22" s="322" t="n">
        <v>8.739</v>
      </c>
      <c r="E22" s="322" t="n">
        <f aca="false">+D22+G21</f>
        <v>88.101</v>
      </c>
      <c r="F22" s="322"/>
      <c r="G22" s="323" t="n">
        <f aca="false">+E22-F22</f>
        <v>88.101</v>
      </c>
      <c r="H22" s="303" t="n">
        <f aca="false">+F22/E22</f>
        <v>0</v>
      </c>
      <c r="I22" s="293"/>
      <c r="J22" s="293"/>
      <c r="K22" s="294"/>
      <c r="L22" s="321"/>
      <c r="M22" s="46"/>
      <c r="N22" s="46"/>
    </row>
    <row r="23" customFormat="false" ht="21.9" hidden="false" customHeight="true" outlineLevel="0" collapsed="false">
      <c r="A23" s="513" t="s">
        <v>221</v>
      </c>
      <c r="B23" s="514" t="n">
        <v>39083</v>
      </c>
      <c r="C23" s="275" t="n">
        <v>39386</v>
      </c>
      <c r="D23" s="277" t="n">
        <v>95.213</v>
      </c>
      <c r="E23" s="277" t="n">
        <f aca="false">+D23</f>
        <v>95.213</v>
      </c>
      <c r="F23" s="277"/>
      <c r="G23" s="292" t="n">
        <f aca="false">+E23-F23</f>
        <v>95.213</v>
      </c>
      <c r="H23" s="279" t="n">
        <f aca="false">+F23/E23</f>
        <v>0</v>
      </c>
      <c r="I23" s="293" t="n">
        <f aca="false">SUM(D23:D24)</f>
        <v>105.698</v>
      </c>
      <c r="J23" s="320" t="n">
        <f aca="false">SUM(F23:F24)</f>
        <v>0</v>
      </c>
      <c r="K23" s="294" t="n">
        <f aca="false">+I23-J23</f>
        <v>105.698</v>
      </c>
      <c r="L23" s="321" t="n">
        <f aca="false">+J23/I23</f>
        <v>0</v>
      </c>
      <c r="M23" s="46"/>
      <c r="N23" s="46"/>
    </row>
    <row r="24" customFormat="false" ht="21.9" hidden="false" customHeight="true" outlineLevel="0" collapsed="false">
      <c r="A24" s="513"/>
      <c r="B24" s="515" t="n">
        <v>39387</v>
      </c>
      <c r="C24" s="300" t="n">
        <v>39447</v>
      </c>
      <c r="D24" s="322" t="n">
        <v>10.485</v>
      </c>
      <c r="E24" s="322" t="n">
        <f aca="false">+D24+G23</f>
        <v>105.698</v>
      </c>
      <c r="F24" s="322"/>
      <c r="G24" s="323" t="n">
        <f aca="false">+E24-F24</f>
        <v>105.698</v>
      </c>
      <c r="H24" s="303" t="n">
        <f aca="false">+F24/E24</f>
        <v>0</v>
      </c>
      <c r="I24" s="293"/>
      <c r="J24" s="320"/>
      <c r="K24" s="294"/>
      <c r="L24" s="321"/>
      <c r="M24" s="46"/>
      <c r="N24" s="46"/>
    </row>
    <row r="25" customFormat="false" ht="21.9" hidden="true" customHeight="true" outlineLevel="0" collapsed="false">
      <c r="A25" s="513" t="s">
        <v>371</v>
      </c>
      <c r="B25" s="514" t="n">
        <v>39083</v>
      </c>
      <c r="C25" s="275" t="n">
        <v>39386</v>
      </c>
      <c r="D25" s="277"/>
      <c r="E25" s="277" t="n">
        <f aca="false">+D25</f>
        <v>0</v>
      </c>
      <c r="F25" s="277"/>
      <c r="G25" s="292" t="n">
        <f aca="false">+E25-F25</f>
        <v>0</v>
      </c>
      <c r="H25" s="279" t="e">
        <f aca="false">+F25/E25</f>
        <v>#DIV/0!</v>
      </c>
      <c r="I25" s="293" t="n">
        <f aca="false">SUM(D25:D26)</f>
        <v>0</v>
      </c>
      <c r="J25" s="320" t="n">
        <f aca="false">SUM(F25:F26)</f>
        <v>0</v>
      </c>
      <c r="K25" s="294" t="n">
        <f aca="false">+I25-J25</f>
        <v>0</v>
      </c>
      <c r="L25" s="321" t="e">
        <f aca="false">+J25/I25</f>
        <v>#DIV/0!</v>
      </c>
      <c r="M25" s="46"/>
      <c r="N25" s="46"/>
    </row>
    <row r="26" customFormat="false" ht="21.9" hidden="true" customHeight="true" outlineLevel="0" collapsed="false">
      <c r="A26" s="513"/>
      <c r="B26" s="515" t="n">
        <v>39387</v>
      </c>
      <c r="C26" s="300" t="n">
        <v>39447</v>
      </c>
      <c r="D26" s="322"/>
      <c r="E26" s="322" t="n">
        <f aca="false">+D26+G25</f>
        <v>0</v>
      </c>
      <c r="F26" s="322"/>
      <c r="G26" s="323" t="n">
        <f aca="false">+E26-F26</f>
        <v>0</v>
      </c>
      <c r="H26" s="303" t="e">
        <f aca="false">+F26/E26</f>
        <v>#DIV/0!</v>
      </c>
      <c r="I26" s="293"/>
      <c r="J26" s="320"/>
      <c r="K26" s="294"/>
      <c r="L26" s="321"/>
      <c r="M26" s="46"/>
      <c r="N26" s="46"/>
    </row>
    <row r="27" customFormat="false" ht="21.9" hidden="false" customHeight="true" outlineLevel="0" collapsed="false">
      <c r="A27" s="319" t="s">
        <v>372</v>
      </c>
      <c r="B27" s="275" t="n">
        <v>39083</v>
      </c>
      <c r="C27" s="275" t="n">
        <v>39386</v>
      </c>
      <c r="D27" s="277" t="n">
        <v>1.117</v>
      </c>
      <c r="E27" s="277" t="n">
        <f aca="false">+D27</f>
        <v>1.117</v>
      </c>
      <c r="F27" s="277"/>
      <c r="G27" s="292" t="n">
        <f aca="false">+E27-F27</f>
        <v>1.117</v>
      </c>
      <c r="H27" s="279" t="n">
        <f aca="false">+F27/E27</f>
        <v>0</v>
      </c>
      <c r="I27" s="293" t="n">
        <f aca="false">SUM(D27:D28)</f>
        <v>1.24</v>
      </c>
      <c r="J27" s="320" t="n">
        <f aca="false">SUM(F27:F28)</f>
        <v>0</v>
      </c>
      <c r="K27" s="294" t="n">
        <f aca="false">+I27-J27</f>
        <v>1.24</v>
      </c>
      <c r="L27" s="321" t="n">
        <f aca="false">+J27/I27</f>
        <v>0</v>
      </c>
      <c r="M27" s="46"/>
      <c r="N27" s="46"/>
    </row>
    <row r="28" customFormat="false" ht="21.9" hidden="false" customHeight="true" outlineLevel="0" collapsed="false">
      <c r="A28" s="319"/>
      <c r="B28" s="300" t="n">
        <v>39387</v>
      </c>
      <c r="C28" s="300" t="n">
        <v>39447</v>
      </c>
      <c r="D28" s="322" t="n">
        <v>0.123</v>
      </c>
      <c r="E28" s="322" t="n">
        <f aca="false">+D28+G27</f>
        <v>1.24</v>
      </c>
      <c r="F28" s="322"/>
      <c r="G28" s="323" t="n">
        <f aca="false">+E28-F28</f>
        <v>1.24</v>
      </c>
      <c r="H28" s="303" t="n">
        <f aca="false">+F28/E28</f>
        <v>0</v>
      </c>
      <c r="I28" s="293"/>
      <c r="J28" s="320"/>
      <c r="K28" s="294"/>
      <c r="L28" s="321"/>
      <c r="M28" s="46"/>
      <c r="N28" s="46"/>
    </row>
    <row r="29" customFormat="false" ht="21.9" hidden="false" customHeight="true" outlineLevel="0" collapsed="false">
      <c r="A29" s="319" t="s">
        <v>216</v>
      </c>
      <c r="B29" s="275" t="n">
        <v>39083</v>
      </c>
      <c r="C29" s="275" t="n">
        <v>39386</v>
      </c>
      <c r="D29" s="277" t="n">
        <v>242.572</v>
      </c>
      <c r="E29" s="277" t="n">
        <f aca="false">+D29</f>
        <v>242.572</v>
      </c>
      <c r="F29" s="277"/>
      <c r="G29" s="292" t="n">
        <f aca="false">+E29-F29</f>
        <v>242.572</v>
      </c>
      <c r="H29" s="279" t="n">
        <f aca="false">+F29/E29</f>
        <v>0</v>
      </c>
      <c r="I29" s="293" t="n">
        <f aca="false">SUM(D29:D30)</f>
        <v>269.285</v>
      </c>
      <c r="J29" s="320" t="n">
        <f aca="false">SUM(F29:F30)</f>
        <v>0</v>
      </c>
      <c r="K29" s="294" t="n">
        <f aca="false">+I29-J29</f>
        <v>269.285</v>
      </c>
      <c r="L29" s="321" t="n">
        <f aca="false">+J29/I29</f>
        <v>0</v>
      </c>
      <c r="M29" s="46"/>
      <c r="N29" s="46"/>
    </row>
    <row r="30" customFormat="false" ht="21.9" hidden="false" customHeight="true" outlineLevel="0" collapsed="false">
      <c r="A30" s="319"/>
      <c r="B30" s="300" t="n">
        <v>39387</v>
      </c>
      <c r="C30" s="300" t="n">
        <v>39447</v>
      </c>
      <c r="D30" s="322" t="n">
        <v>26.713</v>
      </c>
      <c r="E30" s="322" t="n">
        <f aca="false">+D30+G29</f>
        <v>269.285</v>
      </c>
      <c r="F30" s="322"/>
      <c r="G30" s="323" t="n">
        <f aca="false">+E30-F30</f>
        <v>269.285</v>
      </c>
      <c r="H30" s="303" t="n">
        <f aca="false">+F30/E30</f>
        <v>0</v>
      </c>
      <c r="I30" s="293"/>
      <c r="J30" s="320"/>
      <c r="K30" s="294"/>
      <c r="L30" s="321"/>
      <c r="M30" s="46"/>
      <c r="N30" s="46"/>
    </row>
    <row r="31" customFormat="false" ht="21.9" hidden="false" customHeight="true" outlineLevel="0" collapsed="false">
      <c r="A31" s="324" t="s">
        <v>373</v>
      </c>
      <c r="B31" s="275" t="n">
        <v>39083</v>
      </c>
      <c r="C31" s="275" t="n">
        <v>39386</v>
      </c>
      <c r="D31" s="277" t="n">
        <v>0.973</v>
      </c>
      <c r="E31" s="277" t="n">
        <f aca="false">+D31</f>
        <v>0.973</v>
      </c>
      <c r="F31" s="291"/>
      <c r="G31" s="292" t="n">
        <f aca="false">+E31-F31</f>
        <v>0.973</v>
      </c>
      <c r="H31" s="279" t="n">
        <f aca="false">+F31/E31</f>
        <v>0</v>
      </c>
      <c r="I31" s="293" t="n">
        <f aca="false">SUM(D31:D32)</f>
        <v>1.08</v>
      </c>
      <c r="J31" s="320" t="n">
        <f aca="false">SUM(F31:F32)</f>
        <v>0</v>
      </c>
      <c r="K31" s="294" t="n">
        <f aca="false">+I31-J31</f>
        <v>1.08</v>
      </c>
      <c r="L31" s="321" t="n">
        <f aca="false">+J31/I31</f>
        <v>0</v>
      </c>
      <c r="M31" s="46"/>
      <c r="N31" s="46"/>
    </row>
    <row r="32" customFormat="false" ht="21.9" hidden="false" customHeight="true" outlineLevel="0" collapsed="false">
      <c r="A32" s="324"/>
      <c r="B32" s="300" t="n">
        <v>39387</v>
      </c>
      <c r="C32" s="300" t="n">
        <v>39447</v>
      </c>
      <c r="D32" s="322" t="n">
        <v>0.107</v>
      </c>
      <c r="E32" s="322" t="n">
        <f aca="false">+D32+G31</f>
        <v>1.08</v>
      </c>
      <c r="F32" s="322"/>
      <c r="G32" s="323" t="n">
        <f aca="false">+E32-F32</f>
        <v>1.08</v>
      </c>
      <c r="H32" s="303" t="n">
        <f aca="false">+F32/E32</f>
        <v>0</v>
      </c>
      <c r="I32" s="293"/>
      <c r="J32" s="320"/>
      <c r="K32" s="294"/>
      <c r="L32" s="321"/>
      <c r="M32" s="46"/>
      <c r="N32" s="46"/>
    </row>
    <row r="33" customFormat="false" ht="13.8" hidden="false" customHeight="false" outlineLevel="0" collapsed="false">
      <c r="A33" s="131"/>
      <c r="B33" s="131"/>
      <c r="C33" s="131"/>
      <c r="D33" s="131"/>
      <c r="E33" s="131"/>
      <c r="F33" s="131"/>
      <c r="G33" s="131"/>
      <c r="H33" s="131"/>
      <c r="I33" s="334"/>
      <c r="J33" s="334"/>
      <c r="K33" s="334"/>
      <c r="L33" s="310"/>
      <c r="M33" s="46"/>
      <c r="N33" s="46"/>
    </row>
    <row r="34" customFormat="false" ht="15.6" hidden="false" customHeight="false" outlineLevel="0" collapsed="false">
      <c r="A34" s="98" t="s">
        <v>173</v>
      </c>
      <c r="B34" s="98" t="s">
        <v>192</v>
      </c>
      <c r="C34" s="98"/>
      <c r="D34" s="98" t="s">
        <v>193</v>
      </c>
      <c r="E34" s="98"/>
      <c r="F34" s="98" t="s">
        <v>156</v>
      </c>
      <c r="G34" s="98"/>
      <c r="H34" s="98"/>
      <c r="I34" s="98" t="s">
        <v>194</v>
      </c>
      <c r="J34" s="98"/>
      <c r="K34" s="98"/>
      <c r="L34" s="98"/>
      <c r="M34" s="46"/>
      <c r="N34" s="46"/>
    </row>
    <row r="35" customFormat="false" ht="15.6" hidden="false" customHeight="false" outlineLevel="0" collapsed="false">
      <c r="A35" s="97" t="s">
        <v>368</v>
      </c>
      <c r="B35" s="98" t="s">
        <v>199</v>
      </c>
      <c r="C35" s="98" t="s">
        <v>200</v>
      </c>
      <c r="D35" s="97" t="s">
        <v>201</v>
      </c>
      <c r="E35" s="97" t="s">
        <v>202</v>
      </c>
      <c r="F35" s="97" t="s">
        <v>43</v>
      </c>
      <c r="G35" s="97" t="s">
        <v>44</v>
      </c>
      <c r="H35" s="97" t="s">
        <v>159</v>
      </c>
      <c r="I35" s="97" t="s">
        <v>193</v>
      </c>
      <c r="J35" s="97" t="s">
        <v>43</v>
      </c>
      <c r="K35" s="97" t="s">
        <v>44</v>
      </c>
      <c r="L35" s="97" t="s">
        <v>159</v>
      </c>
      <c r="M35" s="46"/>
      <c r="N35" s="46"/>
    </row>
    <row r="36" customFormat="false" ht="13.8" hidden="false" customHeight="false" outlineLevel="0" collapsed="false">
      <c r="A36" s="97"/>
      <c r="B36" s="335" t="n">
        <v>39083</v>
      </c>
      <c r="C36" s="335" t="n">
        <v>39386</v>
      </c>
      <c r="D36" s="148" t="n">
        <f aca="false">+D19+D21+D29+D31+D23+D25+D27</f>
        <v>419.237</v>
      </c>
      <c r="E36" s="148" t="n">
        <f aca="false">+D36</f>
        <v>419.237</v>
      </c>
      <c r="F36" s="148" t="n">
        <f aca="false">+F19+F21+F29+F31+F23+F25+F27</f>
        <v>0</v>
      </c>
      <c r="G36" s="336" t="n">
        <f aca="false">+E36-F36</f>
        <v>419.237</v>
      </c>
      <c r="H36" s="120" t="n">
        <f aca="false">+F36/E36</f>
        <v>0</v>
      </c>
      <c r="I36" s="108" t="n">
        <f aca="false">SUM(D36:D37)</f>
        <v>465.404</v>
      </c>
      <c r="J36" s="108" t="n">
        <f aca="false">SUM(F36:F37)</f>
        <v>0</v>
      </c>
      <c r="K36" s="312" t="n">
        <f aca="false">+I36-J36</f>
        <v>465.404</v>
      </c>
      <c r="L36" s="315" t="n">
        <f aca="false">+J36/I36</f>
        <v>0</v>
      </c>
      <c r="M36" s="46"/>
      <c r="N36" s="46"/>
    </row>
    <row r="37" customFormat="false" ht="13.8" hidden="false" customHeight="false" outlineLevel="0" collapsed="false">
      <c r="A37" s="97"/>
      <c r="B37" s="335" t="n">
        <v>39387</v>
      </c>
      <c r="C37" s="335" t="n">
        <v>39447</v>
      </c>
      <c r="D37" s="148" t="n">
        <f aca="false">+D20+D22+D30+D32+D24+D26+D28</f>
        <v>46.167</v>
      </c>
      <c r="E37" s="148" t="n">
        <f aca="false">+D37+G36</f>
        <v>465.404</v>
      </c>
      <c r="F37" s="148" t="n">
        <f aca="false">+F20+F22+F30+F32+F24+F26+F28</f>
        <v>0</v>
      </c>
      <c r="G37" s="336" t="n">
        <f aca="false">+E37-F37</f>
        <v>465.404</v>
      </c>
      <c r="H37" s="120" t="n">
        <f aca="false">+F37/E37</f>
        <v>0</v>
      </c>
      <c r="I37" s="108"/>
      <c r="J37" s="108"/>
      <c r="K37" s="312"/>
      <c r="L37" s="315"/>
      <c r="M37" s="46"/>
      <c r="N37" s="46"/>
    </row>
    <row r="38" customFormat="false" ht="13.8" hidden="false" customHeight="false" outlineLevel="0" collapsed="false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</row>
    <row r="39" customFormat="false" ht="13.8" hidden="false" customHeight="fals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</sheetData>
  <mergeCells count="76">
    <mergeCell ref="A2:L2"/>
    <mergeCell ref="A3:L3"/>
    <mergeCell ref="B4:D4"/>
    <mergeCell ref="B5:C5"/>
    <mergeCell ref="D5:E5"/>
    <mergeCell ref="F5:H5"/>
    <mergeCell ref="I5:L5"/>
    <mergeCell ref="A7:A8"/>
    <mergeCell ref="I7:I8"/>
    <mergeCell ref="J7:J8"/>
    <mergeCell ref="K7:K8"/>
    <mergeCell ref="L7:L8"/>
    <mergeCell ref="A9:A10"/>
    <mergeCell ref="I9:I10"/>
    <mergeCell ref="J9:J10"/>
    <mergeCell ref="K9:K10"/>
    <mergeCell ref="L9:L10"/>
    <mergeCell ref="A11:H11"/>
    <mergeCell ref="B12:C12"/>
    <mergeCell ref="D12:E12"/>
    <mergeCell ref="F12:H12"/>
    <mergeCell ref="I12:L12"/>
    <mergeCell ref="A13:A15"/>
    <mergeCell ref="I14:I15"/>
    <mergeCell ref="J14:J15"/>
    <mergeCell ref="K14:K15"/>
    <mergeCell ref="L14:L15"/>
    <mergeCell ref="B17:C17"/>
    <mergeCell ref="D17:E17"/>
    <mergeCell ref="F17:H17"/>
    <mergeCell ref="I17:L17"/>
    <mergeCell ref="A19:A20"/>
    <mergeCell ref="I19:I20"/>
    <mergeCell ref="J19:J20"/>
    <mergeCell ref="K19:K20"/>
    <mergeCell ref="L19:L20"/>
    <mergeCell ref="A21:A22"/>
    <mergeCell ref="I21:I22"/>
    <mergeCell ref="J21:J22"/>
    <mergeCell ref="K21:K22"/>
    <mergeCell ref="L21:L22"/>
    <mergeCell ref="A23:A24"/>
    <mergeCell ref="I23:I24"/>
    <mergeCell ref="J23:J24"/>
    <mergeCell ref="K23:K24"/>
    <mergeCell ref="L23:L24"/>
    <mergeCell ref="A25:A26"/>
    <mergeCell ref="I25:I26"/>
    <mergeCell ref="J25:J26"/>
    <mergeCell ref="K25:K26"/>
    <mergeCell ref="L25:L26"/>
    <mergeCell ref="A27:A28"/>
    <mergeCell ref="I27:I28"/>
    <mergeCell ref="J27:J28"/>
    <mergeCell ref="K27:K28"/>
    <mergeCell ref="L27:L28"/>
    <mergeCell ref="A29:A30"/>
    <mergeCell ref="I29:I30"/>
    <mergeCell ref="J29:J30"/>
    <mergeCell ref="K29:K30"/>
    <mergeCell ref="L29:L30"/>
    <mergeCell ref="A31:A32"/>
    <mergeCell ref="I31:I32"/>
    <mergeCell ref="J31:J32"/>
    <mergeCell ref="K31:K32"/>
    <mergeCell ref="L31:L32"/>
    <mergeCell ref="A33:H33"/>
    <mergeCell ref="B34:C34"/>
    <mergeCell ref="D34:E34"/>
    <mergeCell ref="F34:H34"/>
    <mergeCell ref="I34:L34"/>
    <mergeCell ref="A35:A37"/>
    <mergeCell ref="I36:I37"/>
    <mergeCell ref="J36:J37"/>
    <mergeCell ref="K36:K37"/>
    <mergeCell ref="L36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5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3" activeCellId="0" sqref="M33"/>
    </sheetView>
  </sheetViews>
  <sheetFormatPr defaultColWidth="11.0546875" defaultRowHeight="13.2" customHeight="false" zeroHeight="false" outlineLevelRow="0" outlineLevelCol="0"/>
  <sheetData>
    <row r="5" customFormat="false" ht="13.2" hidden="false" customHeight="false" outlineLevel="0" collapsed="false">
      <c r="F5" s="0" t="n">
        <v>545.476</v>
      </c>
      <c r="G5" s="0" t="n">
        <v>522.781</v>
      </c>
      <c r="H5" s="0" t="n">
        <v>22.6950000000001</v>
      </c>
      <c r="I5" s="516" t="n">
        <v>0.958394136497298</v>
      </c>
    </row>
    <row r="6" customFormat="false" ht="13.2" hidden="false" customHeight="false" outlineLevel="0" collapsed="false">
      <c r="F6" s="0" t="n">
        <v>5539.197</v>
      </c>
      <c r="G6" s="0" t="n">
        <v>2866.341</v>
      </c>
      <c r="H6" s="0" t="n">
        <v>2672.856</v>
      </c>
      <c r="I6" s="516" t="n">
        <v>0.517465076616701</v>
      </c>
    </row>
    <row r="7" customFormat="false" ht="13.2" hidden="false" customHeight="false" outlineLevel="0" collapsed="false">
      <c r="F7" s="0" t="n">
        <v>3189.14</v>
      </c>
      <c r="G7" s="0" t="n">
        <v>2747.816</v>
      </c>
      <c r="H7" s="0" t="n">
        <v>441.324000000001</v>
      </c>
      <c r="I7" s="516" t="n">
        <v>0.861616611374853</v>
      </c>
    </row>
    <row r="8" customFormat="false" ht="13.2" hidden="false" customHeight="false" outlineLevel="0" collapsed="false">
      <c r="F8" s="0" t="n">
        <v>435.068</v>
      </c>
      <c r="G8" s="0" t="n">
        <v>0</v>
      </c>
      <c r="H8" s="0" t="n">
        <v>435.068</v>
      </c>
      <c r="I8" s="516" t="n">
        <v>0</v>
      </c>
    </row>
    <row r="9" customFormat="false" ht="13.2" hidden="false" customHeight="false" outlineLevel="0" collapsed="false">
      <c r="F9" s="0" t="n">
        <v>1.116</v>
      </c>
      <c r="G9" s="0" t="n">
        <v>1.111</v>
      </c>
      <c r="H9" s="0" t="n">
        <v>0.00500000000000012</v>
      </c>
      <c r="I9" s="516" t="n">
        <v>0.995519713261649</v>
      </c>
    </row>
    <row r="10" customFormat="false" ht="13.2" hidden="false" customHeight="false" outlineLevel="0" collapsed="false">
      <c r="F10" s="0" t="n">
        <v>190.941</v>
      </c>
      <c r="G10" s="0" t="n">
        <v>146.565</v>
      </c>
      <c r="H10" s="0" t="n">
        <v>44.376</v>
      </c>
      <c r="I10" s="516" t="n">
        <v>0.767593130862413</v>
      </c>
    </row>
    <row r="11" customFormat="false" ht="13.2" hidden="false" customHeight="false" outlineLevel="0" collapsed="false">
      <c r="F11" s="0" t="n">
        <v>8472.364</v>
      </c>
      <c r="G11" s="0" t="n">
        <v>7024.889</v>
      </c>
      <c r="H11" s="0" t="n">
        <v>1447.475</v>
      </c>
      <c r="I11" s="516" t="n">
        <v>0.829153350823926</v>
      </c>
    </row>
    <row r="12" customFormat="false" ht="13.2" hidden="false" customHeight="false" outlineLevel="0" collapsed="false">
      <c r="F12" s="0" t="n">
        <v>8902.05</v>
      </c>
      <c r="G12" s="0" t="n">
        <v>7630.306</v>
      </c>
      <c r="H12" s="0" t="n">
        <v>1271.744</v>
      </c>
      <c r="I12" s="516" t="n">
        <v>0.857140321611314</v>
      </c>
    </row>
    <row r="13" customFormat="false" ht="13.2" hidden="false" customHeight="false" outlineLevel="0" collapsed="false">
      <c r="F13" s="0" t="n">
        <v>242.272</v>
      </c>
      <c r="G13" s="0" t="n">
        <v>225.347</v>
      </c>
      <c r="H13" s="0" t="n">
        <v>16.925</v>
      </c>
      <c r="I13" s="516" t="n">
        <v>0.930140503236032</v>
      </c>
    </row>
    <row r="14" customFormat="false" ht="13.2" hidden="false" customHeight="false" outlineLevel="0" collapsed="false">
      <c r="F14" s="0" t="n">
        <v>302.739</v>
      </c>
      <c r="G14" s="0" t="n">
        <v>164.442</v>
      </c>
      <c r="H14" s="0" t="n">
        <v>138.297</v>
      </c>
      <c r="I14" s="516" t="n">
        <v>0.543180759664265</v>
      </c>
    </row>
    <row r="15" customFormat="false" ht="13.2" hidden="false" customHeight="false" outlineLevel="0" collapsed="false">
      <c r="F15" s="0" t="n">
        <v>243.199</v>
      </c>
      <c r="G15" s="0" t="n">
        <v>0</v>
      </c>
      <c r="H15" s="0" t="n">
        <v>243.199</v>
      </c>
      <c r="I15" s="516" t="n">
        <v>0</v>
      </c>
    </row>
    <row r="16" customFormat="false" ht="13.2" hidden="false" customHeight="false" outlineLevel="0" collapsed="false">
      <c r="F16" s="0" t="n">
        <v>50.19</v>
      </c>
      <c r="G16" s="0" t="n">
        <v>9.272</v>
      </c>
      <c r="H16" s="0" t="n">
        <v>40.918</v>
      </c>
      <c r="I16" s="516" t="n">
        <v>0.184737995616657</v>
      </c>
    </row>
    <row r="17" customFormat="false" ht="13.2" hidden="false" customHeight="false" outlineLevel="0" collapsed="false">
      <c r="F17" s="0" t="n">
        <v>1.027</v>
      </c>
      <c r="G17" s="0" t="n">
        <v>0</v>
      </c>
      <c r="H17" s="0" t="n">
        <v>1.027</v>
      </c>
      <c r="I17" s="516" t="n">
        <v>0</v>
      </c>
    </row>
    <row r="18" customFormat="false" ht="13.2" hidden="false" customHeight="false" outlineLevel="0" collapsed="false">
      <c r="F18" s="0" t="n">
        <v>7.997</v>
      </c>
      <c r="G18" s="0" t="n">
        <v>1.141</v>
      </c>
      <c r="H18" s="0" t="n">
        <v>6.856</v>
      </c>
      <c r="I18" s="516" t="n">
        <v>0.142678504439165</v>
      </c>
    </row>
    <row r="19" customFormat="false" ht="13.2" hidden="false" customHeight="false" outlineLevel="0" collapsed="false">
      <c r="F19" s="0" t="n">
        <v>152.445</v>
      </c>
      <c r="G19" s="0" t="n">
        <v>146.523</v>
      </c>
      <c r="H19" s="0" t="n">
        <v>5.922</v>
      </c>
      <c r="I19" s="516" t="n">
        <v>0.961153202794451</v>
      </c>
    </row>
    <row r="20" customFormat="false" ht="13.2" hidden="false" customHeight="false" outlineLevel="0" collapsed="false">
      <c r="F20" s="0" t="n">
        <v>399.781</v>
      </c>
      <c r="G20" s="0" t="n">
        <v>0</v>
      </c>
      <c r="H20" s="0" t="n">
        <v>399.781</v>
      </c>
      <c r="I20" s="51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2010-01-28T20:34:12Z</dcterms:created>
  <dc:creator>msolisp</dc:creator>
  <dc:description/>
  <dc:language>en-US</dc:language>
  <cp:lastModifiedBy>rgarcia</cp:lastModifiedBy>
  <cp:lastPrinted>2013-01-03T19:45:06Z</cp:lastPrinted>
  <dcterms:modified xsi:type="dcterms:W3CDTF">2019-08-21T17:31:53Z</dcterms:modified>
  <cp:revision>0</cp:revision>
  <dc:subject/>
  <dc:title/>
</cp:coreProperties>
</file>