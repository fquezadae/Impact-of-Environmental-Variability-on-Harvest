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drawing5.xml" ContentType="application/vnd.openxmlformats-officedocument.drawing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LTP" sheetId="1" state="visible" r:id="rId3"/>
    <sheet name="Pelagicos LTP " sheetId="2" state="visible" r:id="rId4"/>
    <sheet name="Crustaceos  LTP" sheetId="3" state="visible" r:id="rId5"/>
    <sheet name="Demersales LTP " sheetId="4" state="visible" r:id="rId6"/>
    <sheet name="Cuotas Regionales Crustaceos" sheetId="5" state="visible" r:id="rId7"/>
    <sheet name="Cuotas Globales " sheetId="6" state="visible" r:id="rId8"/>
    <sheet name="Pescas de Investigación" sheetId="7" state="visible" r:id="rId9"/>
    <sheet name="Cuotas Licitadas" sheetId="8" state="visible" r:id="rId10"/>
  </sheets>
  <definedNames>
    <definedName function="false" hidden="false" localSheetId="1" name="Excel_BuiltIn__FilterDatabase" vbProcedure="false">'Pelagicos LTP '!$A$5:$J$13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94" authorId="0">
      <text>
        <r>
          <rPr>
            <b val="true"/>
            <sz val="8"/>
            <color rgb="FF000000"/>
            <rFont val="Tahoma"/>
            <family val="2"/>
          </rPr>
          <t xml:space="preserve">dcatalan: 
</t>
        </r>
        <r>
          <rPr>
            <sz val="8"/>
            <color rgb="FF000000"/>
            <rFont val="Tahoma"/>
            <family val="2"/>
          </rPr>
          <t xml:space="preserve">Cuota modificada por Res Nº 997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92</xdr:row>
                <xdr:rowOff>11</xdr:rowOff>
              </xdr:from>
              <xdr:to>
                <xdr:col>2</xdr:col>
                <xdr:colOff>-21</xdr:colOff>
                <xdr:row>96</xdr:row>
                <xdr:rowOff>6</xdr:rowOff>
              </xdr:to>
            </anchor>
          </commentPr>
        </mc:Choice>
        <mc:Fallback/>
      </mc:AlternateContent>
    </comment>
    <comment ref="A104" authorId="0">
      <text>
        <r>
          <rPr>
            <b val="true"/>
            <sz val="8"/>
            <color rgb="FF000000"/>
            <rFont val="Tahoma"/>
            <family val="2"/>
          </rPr>
          <t xml:space="preserve">dcatalan: 
</t>
        </r>
        <r>
          <rPr>
            <sz val="8"/>
            <color rgb="FF000000"/>
            <rFont val="Tahoma"/>
            <family val="2"/>
          </rPr>
          <t xml:space="preserve">Cuota Modificada por Res Nº 997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102</xdr:row>
                <xdr:rowOff>11</xdr:rowOff>
              </xdr:from>
              <xdr:to>
                <xdr:col>2</xdr:col>
                <xdr:colOff>-21</xdr:colOff>
                <xdr:row>106</xdr:row>
                <xdr:rowOff>6</xdr:rowOff>
              </xdr:to>
            </anchor>
          </commentPr>
        </mc:Choice>
        <mc:Fallback/>
      </mc:AlternateContent>
    </comment>
    <comment ref="A13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997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134</xdr:row>
                <xdr:rowOff>10</xdr:rowOff>
              </xdr:from>
              <xdr:to>
                <xdr:col>2</xdr:col>
                <xdr:colOff>-21</xdr:colOff>
                <xdr:row>138</xdr:row>
                <xdr:rowOff>3</xdr:rowOff>
              </xdr:to>
            </anchor>
          </commentPr>
        </mc:Choice>
        <mc:Fallback/>
      </mc:AlternateContent>
    </comment>
    <comment ref="A20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997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200</xdr:row>
                <xdr:rowOff>10</xdr:rowOff>
              </xdr:from>
              <xdr:to>
                <xdr:col>2</xdr:col>
                <xdr:colOff>-21</xdr:colOff>
                <xdr:row>204</xdr:row>
                <xdr:rowOff>3</xdr:rowOff>
              </xdr:to>
            </anchor>
          </commentPr>
        </mc:Choice>
        <mc:Fallback/>
      </mc:AlternateContent>
    </comment>
    <comment ref="A25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1165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252</xdr:row>
                <xdr:rowOff>10</xdr:rowOff>
              </xdr:from>
              <xdr:to>
                <xdr:col>2</xdr:col>
                <xdr:colOff>-21</xdr:colOff>
                <xdr:row>256</xdr:row>
                <xdr:rowOff>3</xdr:rowOff>
              </xdr:to>
            </anchor>
          </commentPr>
        </mc:Choice>
        <mc:Fallback/>
      </mc:AlternateContent>
    </comment>
    <comment ref="B74" authorId="0">
      <text>
        <r>
          <rPr>
            <b val="true"/>
            <sz val="8"/>
            <color rgb="FF000000"/>
            <rFont val="Tahoma"/>
            <family val="2"/>
          </rPr>
          <t xml:space="preserve">PENDIENTE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17</xdr:colOff>
                <xdr:row>72</xdr:row>
                <xdr:rowOff>10</xdr:rowOff>
              </xdr:from>
              <xdr:to>
                <xdr:col>4</xdr:col>
                <xdr:colOff>23</xdr:colOff>
                <xdr:row>76</xdr:row>
                <xdr:rowOff>4</xdr:rowOff>
              </xdr:to>
            </anchor>
          </commentPr>
        </mc:Choice>
        <mc:Fallback/>
      </mc:AlternateContent>
    </comment>
    <comment ref="B2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toda la cuota (certificado nº 57).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44</xdr:colOff>
                <xdr:row>224</xdr:row>
                <xdr:rowOff>15</xdr:rowOff>
              </xdr:from>
              <xdr:to>
                <xdr:col>4</xdr:col>
                <xdr:colOff>50</xdr:colOff>
                <xdr:row>228</xdr:row>
                <xdr:rowOff>6</xdr:rowOff>
              </xdr:to>
            </anchor>
          </commentPr>
        </mc:Choice>
        <mc:Fallback/>
      </mc:AlternateContent>
    </comment>
    <comment ref="B2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7.451 ton (certificado nº 57).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44</xdr:colOff>
                <xdr:row>232</xdr:row>
                <xdr:rowOff>15</xdr:rowOff>
              </xdr:from>
              <xdr:to>
                <xdr:col>4</xdr:col>
                <xdr:colOff>50</xdr:colOff>
                <xdr:row>236</xdr:row>
                <xdr:rowOff>10</xdr:rowOff>
              </xdr:to>
            </anchor>
          </commentPr>
        </mc:Choice>
        <mc:Fallback/>
      </mc:AlternateContent>
    </comment>
    <comment ref="E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8</xdr:row>
                <xdr:rowOff>9</xdr:rowOff>
              </xdr:from>
              <xdr:to>
                <xdr:col>5</xdr:col>
                <xdr:colOff>83</xdr:colOff>
                <xdr:row>10</xdr:row>
                <xdr:rowOff>19</xdr:rowOff>
              </xdr:to>
            </anchor>
          </commentPr>
        </mc:Choice>
        <mc:Fallback/>
      </mc:AlternateContent>
    </comment>
    <comment ref="E1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10</xdr:row>
                <xdr:rowOff>10</xdr:rowOff>
              </xdr:from>
              <xdr:to>
                <xdr:col>6</xdr:col>
                <xdr:colOff>10</xdr:colOff>
                <xdr:row>14</xdr:row>
                <xdr:rowOff>4</xdr:rowOff>
              </xdr:to>
            </anchor>
          </commentPr>
        </mc:Choice>
        <mc:Fallback/>
      </mc:AlternateContent>
    </comment>
    <comment ref="E2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22</xdr:row>
                <xdr:rowOff>8</xdr:rowOff>
              </xdr:from>
              <xdr:to>
                <xdr:col>6</xdr:col>
                <xdr:colOff>10</xdr:colOff>
                <xdr:row>24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26</xdr:row>
                <xdr:rowOff>8</xdr:rowOff>
              </xdr:from>
              <xdr:to>
                <xdr:col>6</xdr:col>
                <xdr:colOff>10</xdr:colOff>
                <xdr:row>28</xdr:row>
                <xdr:rowOff>18</xdr:rowOff>
              </xdr:to>
            </anchor>
          </commentPr>
        </mc:Choice>
        <mc:Fallback/>
      </mc:AlternateContent>
    </comment>
    <comment ref="E9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ex Nº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96</xdr:row>
                <xdr:rowOff>11</xdr:rowOff>
              </xdr:from>
              <xdr:to>
                <xdr:col>6</xdr:col>
                <xdr:colOff>10</xdr:colOff>
                <xdr:row>100</xdr:row>
                <xdr:rowOff>6</xdr:rowOff>
              </xdr:to>
            </anchor>
          </commentPr>
        </mc:Choice>
        <mc:Fallback/>
      </mc:AlternateContent>
    </comment>
    <comment ref="E10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ex Nº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98</xdr:row>
                <xdr:rowOff>11</xdr:rowOff>
              </xdr:from>
              <xdr:to>
                <xdr:col>6</xdr:col>
                <xdr:colOff>10</xdr:colOff>
                <xdr:row>102</xdr:row>
                <xdr:rowOff>6</xdr:rowOff>
              </xdr:to>
            </anchor>
          </commentPr>
        </mc:Choice>
        <mc:Fallback/>
      </mc:AlternateContent>
    </comment>
    <comment ref="E11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112</xdr:row>
                <xdr:rowOff>14</xdr:rowOff>
              </xdr:from>
              <xdr:to>
                <xdr:col>6</xdr:col>
                <xdr:colOff>10</xdr:colOff>
                <xdr:row>116</xdr:row>
                <xdr:rowOff>9</xdr:rowOff>
              </xdr:to>
            </anchor>
          </commentPr>
        </mc:Choice>
        <mc:Fallback/>
      </mc:AlternateContent>
    </comment>
    <comment ref="E1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Ex Nº 388.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124</xdr:row>
                <xdr:rowOff>11</xdr:rowOff>
              </xdr:from>
              <xdr:to>
                <xdr:col>6</xdr:col>
                <xdr:colOff>10</xdr:colOff>
                <xdr:row>128</xdr:row>
                <xdr:rowOff>6</xdr:rowOff>
              </xdr:to>
            </anchor>
          </commentPr>
        </mc:Choice>
        <mc:Fallback/>
      </mc:AlternateContent>
    </comment>
    <comment ref="E148" authorId="0">
      <text>
        <r>
          <rPr>
            <b val="true"/>
            <sz val="8"/>
            <color rgb="FF000000"/>
            <rFont val="Tahoma"/>
            <family val="2"/>
          </rPr>
          <t xml:space="preserve">LDIAZ:
</t>
        </r>
        <r>
          <rPr>
            <sz val="8"/>
            <color rgb="FF000000"/>
            <rFont val="Tahoma"/>
            <family val="2"/>
          </rPr>
          <t xml:space="preserve">R.EXENTA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146</xdr:row>
                <xdr:rowOff>14</xdr:rowOff>
              </xdr:from>
              <xdr:to>
                <xdr:col>6</xdr:col>
                <xdr:colOff>11</xdr:colOff>
                <xdr:row>150</xdr:row>
                <xdr:rowOff>9</xdr:rowOff>
              </xdr:to>
            </anchor>
          </commentPr>
        </mc:Choice>
        <mc:Fallback/>
      </mc:AlternateContent>
    </comment>
    <comment ref="E172" authorId="0">
      <text>
        <r>
          <rPr>
            <b val="true"/>
            <sz val="8"/>
            <color rgb="FF000000"/>
            <rFont val="Tahoma"/>
            <family val="2"/>
          </rPr>
          <t xml:space="preserve">LDIAZ:
</t>
        </r>
        <r>
          <rPr>
            <sz val="8"/>
            <color rgb="FF000000"/>
            <rFont val="Tahoma"/>
            <family val="2"/>
          </rPr>
          <t xml:space="preserve">R. EXENTA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170</xdr:row>
                <xdr:rowOff>14</xdr:rowOff>
              </xdr:from>
              <xdr:to>
                <xdr:col>6</xdr:col>
                <xdr:colOff>11</xdr:colOff>
                <xdr:row>174</xdr:row>
                <xdr:rowOff>9</xdr:rowOff>
              </xdr:to>
            </anchor>
          </commentPr>
        </mc:Choice>
        <mc:Fallback/>
      </mc:AlternateContent>
    </comment>
    <comment ref="E218" authorId="0">
      <text>
        <r>
          <rPr>
            <b val="true"/>
            <sz val="8"/>
            <color rgb="FF000000"/>
            <rFont val="Tahoma"/>
            <family val="2"/>
          </rPr>
          <t xml:space="preserve">LDIAZ:
</t>
        </r>
        <r>
          <rPr>
            <sz val="8"/>
            <color rgb="FF000000"/>
            <rFont val="Tahoma"/>
            <family val="2"/>
          </rPr>
          <t xml:space="preserve">R. EXENTA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216</xdr:row>
                <xdr:rowOff>14</xdr:rowOff>
              </xdr:from>
              <xdr:to>
                <xdr:col>6</xdr:col>
                <xdr:colOff>11</xdr:colOff>
                <xdr:row>220</xdr:row>
                <xdr:rowOff>6</xdr:rowOff>
              </xdr:to>
            </anchor>
          </commentPr>
        </mc:Choice>
        <mc:Fallback/>
      </mc:AlternateContent>
    </comment>
    <comment ref="E238" authorId="0">
      <text>
        <r>
          <rPr>
            <b val="true"/>
            <sz val="8"/>
            <color rgb="FF000000"/>
            <rFont val="Tahoma"/>
            <family val="2"/>
          </rPr>
          <t xml:space="preserve">LDIAZ:
</t>
        </r>
        <r>
          <rPr>
            <sz val="8"/>
            <color rgb="FF000000"/>
            <rFont val="Tahoma"/>
            <family val="2"/>
          </rPr>
          <t xml:space="preserve">R.EXENTA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236</xdr:row>
                <xdr:rowOff>15</xdr:rowOff>
              </xdr:from>
              <xdr:to>
                <xdr:col>6</xdr:col>
                <xdr:colOff>11</xdr:colOff>
                <xdr:row>240</xdr:row>
                <xdr:rowOff>9</xdr:rowOff>
              </xdr:to>
            </anchor>
          </commentPr>
        </mc:Choice>
        <mc:Fallback/>
      </mc:AlternateContent>
    </comment>
    <comment ref="E320" authorId="0">
      <text>
        <r>
          <rPr>
            <b val="true"/>
            <sz val="8"/>
            <color rgb="FF000000"/>
            <rFont val="Tahoma"/>
            <family val="2"/>
          </rPr>
          <t xml:space="preserve">LDIAZ:
</t>
        </r>
        <r>
          <rPr>
            <sz val="8"/>
            <color rgb="FF000000"/>
            <rFont val="Tahoma"/>
            <family val="2"/>
          </rPr>
          <t xml:space="preserve">Modificada R. EX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318</xdr:row>
                <xdr:rowOff>16</xdr:rowOff>
              </xdr:from>
              <xdr:to>
                <xdr:col>6</xdr:col>
                <xdr:colOff>10</xdr:colOff>
                <xdr:row>322</xdr:row>
                <xdr:rowOff>10</xdr:rowOff>
              </xdr:to>
            </anchor>
          </commentPr>
        </mc:Choice>
        <mc:Fallback/>
      </mc:AlternateContent>
    </comment>
    <comment ref="E322" authorId="0">
      <text>
        <r>
          <rPr>
            <b val="true"/>
            <sz val="8"/>
            <color rgb="FF000000"/>
            <rFont val="Tahoma"/>
            <family val="2"/>
          </rPr>
          <t xml:space="preserve">LDIAZ:
</t>
        </r>
        <r>
          <rPr>
            <sz val="8"/>
            <color rgb="FF000000"/>
            <rFont val="Tahoma"/>
            <family val="2"/>
          </rPr>
          <t xml:space="preserve">Modificada R. EX 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29</xdr:colOff>
                <xdr:row>320</xdr:row>
                <xdr:rowOff>14</xdr:rowOff>
              </xdr:from>
              <xdr:to>
                <xdr:col>4</xdr:col>
                <xdr:colOff>101</xdr:colOff>
                <xdr:row>324</xdr:row>
                <xdr:rowOff>10</xdr:rowOff>
              </xdr:to>
            </anchor>
          </commentPr>
        </mc:Choice>
        <mc:Fallback/>
      </mc:AlternateContent>
    </comment>
    <comment ref="E334" authorId="0">
      <text>
        <r>
          <rPr>
            <b val="true"/>
            <sz val="8"/>
            <color rgb="FF000000"/>
            <rFont val="Tahoma"/>
            <family val="2"/>
          </rPr>
          <t xml:space="preserve">LDIAZ:
</t>
        </r>
        <r>
          <rPr>
            <sz val="8"/>
            <color rgb="FF000000"/>
            <rFont val="Tahoma"/>
            <family val="2"/>
          </rPr>
          <t xml:space="preserve">R.Exent. 388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332</xdr:row>
                <xdr:rowOff>16</xdr:rowOff>
              </xdr:from>
              <xdr:to>
                <xdr:col>6</xdr:col>
                <xdr:colOff>11</xdr:colOff>
                <xdr:row>336</xdr:row>
                <xdr:rowOff>10</xdr:rowOff>
              </xdr:to>
            </anchor>
          </commentPr>
        </mc:Choice>
        <mc:Fallback/>
      </mc:AlternateContent>
    </comment>
    <comment ref="E33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388 y corregida por Res Nº 917.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148</xdr:colOff>
                <xdr:row>336</xdr:row>
                <xdr:rowOff>16</xdr:rowOff>
              </xdr:from>
              <xdr:to>
                <xdr:col>6</xdr:col>
                <xdr:colOff>10</xdr:colOff>
                <xdr:row>340</xdr:row>
                <xdr:rowOff>10</xdr:rowOff>
              </xdr:to>
            </anchor>
          </commentPr>
        </mc:Choice>
        <mc:Fallback/>
      </mc:AlternateContent>
    </comment>
    <comment ref="F6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(C ) Cede 4427.978 t a artesanales (Resolución Nº 1569)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78</xdr:colOff>
                <xdr:row>6</xdr:row>
                <xdr:rowOff>9</xdr:rowOff>
              </xdr:from>
              <xdr:to>
                <xdr:col>8</xdr:col>
                <xdr:colOff>47</xdr:colOff>
                <xdr:row>10</xdr:row>
                <xdr:rowOff>4</xdr:rowOff>
              </xdr:to>
            </anchor>
          </commentPr>
        </mc:Choice>
        <mc:Fallback/>
      </mc:AlternateContent>
    </comment>
    <comment ref="F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20000 t a artesanales (Resolución Nº2051).
(C ) Cede 5000 t a artesanales (Resolución Nº 3294).
(C ) Cede 5000 t a artesanales (Resolucion Nº 3502)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8</xdr:row>
                <xdr:rowOff>9</xdr:rowOff>
              </xdr:from>
              <xdr:to>
                <xdr:col>8</xdr:col>
                <xdr:colOff>7</xdr:colOff>
                <xdr:row>13</xdr:row>
                <xdr:rowOff>1</xdr:rowOff>
              </xdr:to>
            </anchor>
          </commentPr>
        </mc:Choice>
        <mc:Fallback/>
      </mc:AlternateContent>
    </comment>
    <comment ref="F1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794.88412 t (Resolución Nº 1248). 
(C ) Cede 554 t a artesanales t (Resolución Nª1964).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14</xdr:row>
                <xdr:rowOff>9</xdr:rowOff>
              </xdr:from>
              <xdr:to>
                <xdr:col>8</xdr:col>
                <xdr:colOff>7</xdr:colOff>
                <xdr:row>17</xdr:row>
                <xdr:rowOff>16</xdr:rowOff>
              </xdr:to>
            </anchor>
          </commentPr>
        </mc:Choice>
        <mc:Fallback/>
      </mc:AlternateContent>
    </comment>
    <comment ref="F1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4166.828 t a artesanales (Resolución Nº 1178 modf. por Res Nº1987 y modf. por Res Nº 3073).
(C ) Cede 3000 t a artesanales (Resolución Nº 1988).
(Co) Cede 1000 t (Certificado Nº 320).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16</xdr:row>
                <xdr:rowOff>10</xdr:rowOff>
              </xdr:from>
              <xdr:to>
                <xdr:col>11</xdr:col>
                <xdr:colOff>10</xdr:colOff>
                <xdr:row>19</xdr:row>
                <xdr:rowOff>8</xdr:rowOff>
              </xdr:to>
            </anchor>
          </commentPr>
        </mc:Choice>
        <mc:Fallback/>
      </mc:AlternateContent>
    </comment>
    <comment ref="F2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3.09 t (Certificado Nº 203).
(C ) Cede 5596.715 t a artesanales (Resolución Nº 1177).
(Co) Incremento de 1000 t (Certificado Nº 320).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18</xdr:row>
                <xdr:rowOff>10</xdr:rowOff>
              </xdr:from>
              <xdr:to>
                <xdr:col>8</xdr:col>
                <xdr:colOff>57</xdr:colOff>
                <xdr:row>21</xdr:row>
                <xdr:rowOff>18</xdr:rowOff>
              </xdr:to>
            </anchor>
          </commentPr>
        </mc:Choice>
        <mc:Fallback/>
      </mc:AlternateContent>
    </comment>
    <comment ref="F2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Cede 794.88412 t ( Resolución Nº 1248)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20</xdr:row>
                <xdr:rowOff>10</xdr:rowOff>
              </xdr:from>
              <xdr:to>
                <xdr:col>7</xdr:col>
                <xdr:colOff>81</xdr:colOff>
                <xdr:row>22</xdr:row>
                <xdr:rowOff>4</xdr:rowOff>
              </xdr:to>
            </anchor>
          </commentPr>
        </mc:Choice>
        <mc:Fallback/>
      </mc:AlternateContent>
    </comment>
    <comment ref="F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0.258 t (Certificado Nº 168).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24</xdr:row>
                <xdr:rowOff>10</xdr:rowOff>
              </xdr:from>
              <xdr:to>
                <xdr:col>8</xdr:col>
                <xdr:colOff>14</xdr:colOff>
                <xdr:row>26</xdr:row>
                <xdr:rowOff>6</xdr:rowOff>
              </xdr:to>
            </anchor>
          </commentPr>
        </mc:Choice>
        <mc:Fallback/>
      </mc:AlternateContent>
    </comment>
    <comment ref="F2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10.826 t a artesanales (Resolución Nº 1150).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26</xdr:row>
                <xdr:rowOff>10</xdr:rowOff>
              </xdr:from>
              <xdr:to>
                <xdr:col>8</xdr:col>
                <xdr:colOff>40</xdr:colOff>
                <xdr:row>28</xdr:row>
                <xdr:rowOff>6</xdr:rowOff>
              </xdr:to>
            </anchor>
          </commentPr>
        </mc:Choice>
        <mc:Fallback/>
      </mc:AlternateContent>
    </comment>
    <comment ref="F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0.258 t (certificado Nº 168).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30</xdr:row>
                <xdr:rowOff>10</xdr:rowOff>
              </xdr:from>
              <xdr:to>
                <xdr:col>8</xdr:col>
                <xdr:colOff>33</xdr:colOff>
                <xdr:row>32</xdr:row>
                <xdr:rowOff>13</xdr:rowOff>
              </xdr:to>
            </anchor>
          </commentPr>
        </mc:Choice>
        <mc:Fallback/>
      </mc:AlternateContent>
    </comment>
    <comment ref="F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3.09 t (Certificado Nº 203)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85</xdr:colOff>
                <xdr:row>32</xdr:row>
                <xdr:rowOff>11</xdr:rowOff>
              </xdr:from>
              <xdr:to>
                <xdr:col>7</xdr:col>
                <xdr:colOff>111</xdr:colOff>
                <xdr:row>36</xdr:row>
                <xdr:rowOff>8</xdr:rowOff>
              </xdr:to>
            </anchor>
          </commentPr>
        </mc:Choice>
        <mc:Fallback/>
      </mc:AlternateContent>
    </comment>
    <comment ref="F3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70 t a artesanales (Resolución Nº 1224).
(C ) Cede 950 t a artesanales (Resolución Nº 1225).
(C ) Cede 70 t a artesanales (Resolución Nº 1222).
(C ) Cede 70 t a artesanales (Resolución Nº 1223).
(C ) Cede 315 t a artesanales (Resolución Nº 1358).
(C ) Cede 120 t a artesanales (Resolución Nº 1356)
(C ) Cede 40 t a artesanales (Resolución Nº 1403)
(C ) Cede 40 t a artesanales (Resolución Nº 1404)
(A) Arrendamiento 207.962 t (Resolucion Nº 244).
(V) Incremento 2.492 t (Resolucion Nº 246).
(A) Incrementa 15.329 t (Resolucion Nº 248).
(NT) Incremento de 8.0655352 t (Resolución Nº 1249).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36</xdr:row>
                <xdr:rowOff>9</xdr:rowOff>
              </xdr:from>
              <xdr:to>
                <xdr:col>8</xdr:col>
                <xdr:colOff>60</xdr:colOff>
                <xdr:row>46</xdr:row>
                <xdr:rowOff>10</xdr:rowOff>
              </xdr:to>
            </anchor>
          </commentPr>
        </mc:Choice>
        <mc:Fallback/>
      </mc:AlternateContent>
    </comment>
    <comment ref="F4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-31.854 t (Certificado Nº68)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39</xdr:row>
                <xdr:rowOff>14</xdr:rowOff>
              </xdr:from>
              <xdr:to>
                <xdr:col>7</xdr:col>
                <xdr:colOff>74</xdr:colOff>
                <xdr:row>42</xdr:row>
                <xdr:rowOff>2</xdr:rowOff>
              </xdr:to>
            </anchor>
          </commentPr>
        </mc:Choice>
        <mc:Fallback/>
      </mc:AlternateContent>
    </comment>
    <comment ref="F4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680 t a artesanales (Resolución Nº 732).
(C ) Cede 340 t a artesanales (Resolucion Nº 793).
(C ) Cede 70 t a artesanales (Resolución Nº 801).
(C ) Cede 160 t a artesanales (resolución Nº 1005)
(C ) Cede 20 t a artesanales (resolución Nº 1442)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98</xdr:colOff>
                <xdr:row>42</xdr:row>
                <xdr:rowOff>17</xdr:rowOff>
              </xdr:from>
              <xdr:to>
                <xdr:col>8</xdr:col>
                <xdr:colOff>74</xdr:colOff>
                <xdr:row>49</xdr:row>
                <xdr:rowOff>2</xdr:rowOff>
              </xdr:to>
            </anchor>
          </commentPr>
        </mc:Choice>
        <mc:Fallback/>
      </mc:AlternateContent>
    </comment>
    <comment ref="F4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130 t a artesanales (Resolución Nº733).
(C ) Cede 30 t a artesanales (Resolución Nº921).
(C ) Cede 5 t a artesanales (Resolucion Nº 1088).
(C ) Cede 37 t a artesanales (Resolucion Nº 3000).
(C ) Cede 20 t a artesanales (Resolución Nº 3368).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45</xdr:row>
                <xdr:rowOff>11</xdr:rowOff>
              </xdr:from>
              <xdr:to>
                <xdr:col>8</xdr:col>
                <xdr:colOff>51</xdr:colOff>
                <xdr:row>50</xdr:row>
                <xdr:rowOff>15</xdr:rowOff>
              </xdr:to>
            </anchor>
          </commentPr>
        </mc:Choice>
        <mc:Fallback/>
      </mc:AlternateContent>
    </comment>
    <comment ref="F5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Cede 8.0655352 t (Resolución Nº 1249).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48</xdr:row>
                <xdr:rowOff>10</xdr:rowOff>
              </xdr:from>
              <xdr:to>
                <xdr:col>7</xdr:col>
                <xdr:colOff>94</xdr:colOff>
                <xdr:row>50</xdr:row>
                <xdr:rowOff>3</xdr:rowOff>
              </xdr:to>
            </anchor>
          </commentPr>
        </mc:Choice>
        <mc:Fallback/>
      </mc:AlternateContent>
    </comment>
    <comment ref="F5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46.272 t a artesanales (Resolucion Nº734).
(C ) Cede 22.364 t a artesanales (Resolución Nº 941).
(C ) Cede 64.547 t a artesanales (Resolución Nº 942).
(C ) Cede 40.181 t a artesanales (Resolución Nº 1006).
(A) Incremento de 4.546 t (Cetificado Nº 347)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51</xdr:row>
                <xdr:rowOff>11</xdr:rowOff>
              </xdr:from>
              <xdr:to>
                <xdr:col>8</xdr:col>
                <xdr:colOff>71</xdr:colOff>
                <xdr:row>57</xdr:row>
                <xdr:rowOff>3</xdr:rowOff>
              </xdr:to>
            </anchor>
          </commentPr>
        </mc:Choice>
        <mc:Fallback/>
      </mc:AlternateContent>
    </comment>
    <comment ref="F5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40 t a artesanales (Resolución Nº 879). 
(C ) Cede 80 t a artesanales (Resolución Nº 954).
(C ) Cede 40 t a artesanales (Resolución Nº 1203).
(C ) Cede 13 t a artesanales (Resolución Nº 1195).
(C ) Cede 13 t a artesanales (Resolución Nº 1196).
(C ) cede 40 t a artesanales (Resolucion Nº 2077).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54</xdr:row>
                <xdr:rowOff>12</xdr:rowOff>
              </xdr:from>
              <xdr:to>
                <xdr:col>8</xdr:col>
                <xdr:colOff>33</xdr:colOff>
                <xdr:row>60</xdr:row>
                <xdr:rowOff>3</xdr:rowOff>
              </xdr:to>
            </anchor>
          </commentPr>
        </mc:Choice>
        <mc:Fallback/>
      </mc:AlternateContent>
    </comment>
    <comment ref="F5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-2.755 t (Certificado nº 58)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57</xdr:row>
                <xdr:rowOff>14</xdr:rowOff>
              </xdr:from>
              <xdr:to>
                <xdr:col>7</xdr:col>
                <xdr:colOff>88</xdr:colOff>
                <xdr:row>59</xdr:row>
                <xdr:rowOff>16</xdr:rowOff>
              </xdr:to>
            </anchor>
          </commentPr>
        </mc:Choice>
        <mc:Fallback/>
      </mc:AlternateContent>
    </comment>
    <comment ref="F6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-8.5319 t (Certificado Nº 148).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60</xdr:row>
                <xdr:rowOff>14</xdr:rowOff>
              </xdr:from>
              <xdr:to>
                <xdr:col>7</xdr:col>
                <xdr:colOff>111</xdr:colOff>
                <xdr:row>64</xdr:row>
                <xdr:rowOff>9</xdr:rowOff>
              </xdr:to>
            </anchor>
          </commentPr>
        </mc:Choice>
        <mc:Fallback/>
      </mc:AlternateContent>
    </comment>
    <comment ref="F6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71.637 t a artesanales (Resolución Nº919).
(C ) Cede 62.637 t a artesanales (Resolución Nº 920).
(A) Cede 4.546 t (Certificado Nº 347),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63</xdr:row>
                <xdr:rowOff>11</xdr:rowOff>
              </xdr:from>
              <xdr:to>
                <xdr:col>8</xdr:col>
                <xdr:colOff>59</xdr:colOff>
                <xdr:row>70</xdr:row>
                <xdr:rowOff>6</xdr:rowOff>
              </xdr:to>
            </anchor>
          </commentPr>
        </mc:Choice>
        <mc:Fallback/>
      </mc:AlternateContent>
    </comment>
    <comment ref="F6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 Cede -20 t a artesanales (Resolución Nº 1357).
(C )  Cede -40 t a artesanales (Resolución Nº 1406)
(A) Cede 36.72036 t (Resolucion Nº 72).
(A) Cede 15.329 t (Resolucion Nº 248).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66</xdr:row>
                <xdr:rowOff>10</xdr:rowOff>
              </xdr:from>
              <xdr:to>
                <xdr:col>8</xdr:col>
                <xdr:colOff>13</xdr:colOff>
                <xdr:row>76</xdr:row>
                <xdr:rowOff>6</xdr:rowOff>
              </xdr:to>
            </anchor>
          </commentPr>
        </mc:Choice>
        <mc:Fallback/>
      </mc:AlternateContent>
    </comment>
    <comment ref="F7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50.728 t (Resolución Nº798).
(C ) Incremento de 50 t (Resoluciòn Nº 1966)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69</xdr:row>
                <xdr:rowOff>11</xdr:rowOff>
              </xdr:from>
              <xdr:to>
                <xdr:col>8</xdr:col>
                <xdr:colOff>40</xdr:colOff>
                <xdr:row>72</xdr:row>
                <xdr:rowOff>6</xdr:rowOff>
              </xdr:to>
            </anchor>
          </commentPr>
        </mc:Choice>
        <mc:Fallback/>
      </mc:AlternateContent>
    </comment>
    <comment ref="F7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2.755 t (Certificado nº 58).
(A) Incremento de 31.854 t (Certificado Nº68).
(A) Incremento de 8.5319 t (Certificado Nº 148)
(C ) Incremento de 93.335 t de artesanales (Resolución Nº 1779).
(C ) Incremento de 27 t de artesanales (Resolución Nº 2255).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72</xdr:row>
                <xdr:rowOff>14</xdr:rowOff>
              </xdr:from>
              <xdr:to>
                <xdr:col>9</xdr:col>
                <xdr:colOff>7</xdr:colOff>
                <xdr:row>78</xdr:row>
                <xdr:rowOff>1</xdr:rowOff>
              </xdr:to>
            </anchor>
          </commentPr>
        </mc:Choice>
        <mc:Fallback/>
      </mc:AlternateContent>
    </comment>
    <comment ref="F77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(C ) Cede -35 t a artesanales (Resolución Nº 1405).
(A) Cede 2.492 t (Resolucion Nº 246).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75</xdr:row>
                <xdr:rowOff>10</xdr:rowOff>
              </xdr:from>
              <xdr:to>
                <xdr:col>8</xdr:col>
                <xdr:colOff>6</xdr:colOff>
                <xdr:row>79</xdr:row>
                <xdr:rowOff>4</xdr:rowOff>
              </xdr:to>
            </anchor>
          </commentPr>
        </mc:Choice>
        <mc:Fallback/>
      </mc:AlternateContent>
    </comment>
    <comment ref="F80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(C ) Cede 298.955 t a artesanales (Resolución Nº 1485).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78</xdr:row>
                <xdr:rowOff>10</xdr:rowOff>
              </xdr:from>
              <xdr:to>
                <xdr:col>7</xdr:col>
                <xdr:colOff>34</xdr:colOff>
                <xdr:row>82</xdr:row>
                <xdr:rowOff>15</xdr:rowOff>
              </xdr:to>
            </anchor>
          </commentPr>
        </mc:Choice>
        <mc:Fallback/>
      </mc:AlternateContent>
    </comment>
    <comment ref="F8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(V) Cede 36.72036 t (Resolucion Nº 72).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81</xdr:row>
                <xdr:rowOff>11</xdr:rowOff>
              </xdr:from>
              <xdr:to>
                <xdr:col>7</xdr:col>
                <xdr:colOff>112</xdr:colOff>
                <xdr:row>83</xdr:row>
                <xdr:rowOff>10</xdr:rowOff>
              </xdr:to>
            </anchor>
          </commentPr>
        </mc:Choice>
        <mc:Fallback/>
      </mc:AlternateContent>
    </comment>
    <comment ref="F86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(A) Arriendo 207.962 t (Resolucion Nº 244).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84</xdr:row>
                <xdr:rowOff>10</xdr:rowOff>
              </xdr:from>
              <xdr:to>
                <xdr:col>7</xdr:col>
                <xdr:colOff>90</xdr:colOff>
                <xdr:row>88</xdr:row>
                <xdr:rowOff>4</xdr:rowOff>
              </xdr:to>
            </anchor>
          </commentPr>
        </mc:Choice>
        <mc:Fallback/>
      </mc:AlternateContent>
    </comment>
    <comment ref="F8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(V) Cede 36.72036 t (Resolucion Nº 72).
(C ) Cede 35.636 t a artesanales (Resolución Nº 1006).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91</xdr:colOff>
                <xdr:row>87</xdr:row>
                <xdr:rowOff>11</xdr:rowOff>
              </xdr:from>
              <xdr:to>
                <xdr:col>8</xdr:col>
                <xdr:colOff>67</xdr:colOff>
                <xdr:row>90</xdr:row>
                <xdr:rowOff>4</xdr:rowOff>
              </xdr:to>
            </anchor>
          </commentPr>
        </mc:Choice>
        <mc:Fallback/>
      </mc:AlternateContent>
    </comment>
    <comment ref="F94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(C ) Cede 167.24 t a artesanales (Resolución Nº 1569).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92</xdr:row>
                <xdr:rowOff>10</xdr:rowOff>
              </xdr:from>
              <xdr:to>
                <xdr:col>8</xdr:col>
                <xdr:colOff>7</xdr:colOff>
                <xdr:row>94</xdr:row>
                <xdr:rowOff>2</xdr:rowOff>
              </xdr:to>
            </anchor>
          </commentPr>
        </mc:Choice>
        <mc:Fallback/>
      </mc:AlternateContent>
    </comment>
    <comment ref="F9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Cde 1520.294 ton (Certificado Nº 299).
(A) Cede 300 ton (Certificado Nº 322)
(A) Cede 399.6 t (Certificado N°338).
(A) Cede 1700 t (Certificado Nº 323)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94</xdr:row>
                <xdr:rowOff>10</xdr:rowOff>
              </xdr:from>
              <xdr:to>
                <xdr:col>7</xdr:col>
                <xdr:colOff>74</xdr:colOff>
                <xdr:row>99</xdr:row>
                <xdr:rowOff>5</xdr:rowOff>
              </xdr:to>
            </anchor>
          </commentPr>
        </mc:Choice>
        <mc:Fallback/>
      </mc:AlternateContent>
    </comment>
    <comment ref="F9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1000 t a artesanales (Resolución Nº 1801). 
(A) Cede 3000 t (Certificado N°325)
(A) Cede 3000 t (Certificado N°336)
(A) Cede 2000 t (Certificado N°337)
(C ) Cede 1000 t a artesanales (Resolución Nº 3423)
(A) Cede 1500 t (Certificado Nº 344).
(A) Cede 1500 t (Certificado Nº 345).
(A) Cede 3000 t (certificado Nº 346).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96</xdr:row>
                <xdr:rowOff>10</xdr:rowOff>
              </xdr:from>
              <xdr:to>
                <xdr:col>8</xdr:col>
                <xdr:colOff>41</xdr:colOff>
                <xdr:row>103</xdr:row>
                <xdr:rowOff>12</xdr:rowOff>
              </xdr:to>
            </anchor>
          </commentPr>
        </mc:Choice>
        <mc:Fallback/>
      </mc:AlternateContent>
    </comment>
    <comment ref="F10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128.38421 t (Certificado Nº 1254).
(T) Cede 128.247 t (Certificado Nº 305).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102</xdr:row>
                <xdr:rowOff>10</xdr:rowOff>
              </xdr:from>
              <xdr:to>
                <xdr:col>8</xdr:col>
                <xdr:colOff>9</xdr:colOff>
                <xdr:row>105</xdr:row>
                <xdr:rowOff>15</xdr:rowOff>
              </xdr:to>
            </anchor>
          </commentPr>
        </mc:Choice>
        <mc:Fallback/>
      </mc:AlternateContent>
    </comment>
    <comment ref="F1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1100 t (Certificado Nº 262).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108</xdr:row>
                <xdr:rowOff>10</xdr:rowOff>
              </xdr:from>
              <xdr:to>
                <xdr:col>7</xdr:col>
                <xdr:colOff>107</xdr:colOff>
                <xdr:row>114</xdr:row>
                <xdr:rowOff>9</xdr:rowOff>
              </xdr:to>
            </anchor>
          </commentPr>
        </mc:Choice>
        <mc:Fallback/>
      </mc:AlternateContent>
    </comment>
    <comment ref="F11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150.265 t (Certificado Nº 261).
(NT) Cede 128.38421 (Resolución Nº 1254).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110</xdr:row>
                <xdr:rowOff>10</xdr:rowOff>
              </xdr:from>
              <xdr:to>
                <xdr:col>7</xdr:col>
                <xdr:colOff>81</xdr:colOff>
                <xdr:row>114</xdr:row>
                <xdr:rowOff>4</xdr:rowOff>
              </xdr:to>
            </anchor>
          </commentPr>
        </mc:Choice>
        <mc:Fallback/>
      </mc:AlternateContent>
    </comment>
    <comment ref="F11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-4.954 t (Certificado Nº 290).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115</xdr:row>
                <xdr:rowOff>10</xdr:rowOff>
              </xdr:from>
              <xdr:to>
                <xdr:col>7</xdr:col>
                <xdr:colOff>58</xdr:colOff>
                <xdr:row>119</xdr:row>
                <xdr:rowOff>4</xdr:rowOff>
              </xdr:to>
            </anchor>
          </commentPr>
        </mc:Choice>
        <mc:Fallback/>
      </mc:AlternateContent>
    </comment>
    <comment ref="F11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48.443 t (Certificado Nº 167)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116</xdr:row>
                <xdr:rowOff>11</xdr:rowOff>
              </xdr:from>
              <xdr:to>
                <xdr:col>8</xdr:col>
                <xdr:colOff>0</xdr:colOff>
                <xdr:row>118</xdr:row>
                <xdr:rowOff>10</xdr:rowOff>
              </xdr:to>
            </anchor>
          </commentPr>
        </mc:Choice>
        <mc:Fallback/>
      </mc:AlternateContent>
    </comment>
    <comment ref="F12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4.335 t (certificado Nº 206).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120</xdr:row>
                <xdr:rowOff>11</xdr:rowOff>
              </xdr:from>
              <xdr:to>
                <xdr:col>8</xdr:col>
                <xdr:colOff>34</xdr:colOff>
                <xdr:row>122</xdr:row>
                <xdr:rowOff>9</xdr:rowOff>
              </xdr:to>
            </anchor>
          </commentPr>
        </mc:Choice>
        <mc:Fallback/>
      </mc:AlternateContent>
    </comment>
    <comment ref="F12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4.335 t (Certificado Nº 206).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122</xdr:row>
                <xdr:rowOff>11</xdr:rowOff>
              </xdr:from>
              <xdr:to>
                <xdr:col>7</xdr:col>
                <xdr:colOff>109</xdr:colOff>
                <xdr:row>124</xdr:row>
                <xdr:rowOff>18</xdr:rowOff>
              </xdr:to>
            </anchor>
          </commentPr>
        </mc:Choice>
        <mc:Fallback/>
      </mc:AlternateContent>
    </comment>
    <comment ref="F1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7000 t (Certificado Nº 202). Anulado por Res Nº 1349.
(T) Cede 4000 t (Certificado Nº228). Anulado por Res Nº 1349.
(T) Cede 900 t (Certificado Nº 258)
(T) Cede 33.958 t (Certificado N°328)
(T) Cede 116.042 t (Certificado N°329)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124</xdr:row>
                <xdr:rowOff>10</xdr:rowOff>
              </xdr:from>
              <xdr:to>
                <xdr:col>9</xdr:col>
                <xdr:colOff>42</xdr:colOff>
                <xdr:row>130</xdr:row>
                <xdr:rowOff>10</xdr:rowOff>
              </xdr:to>
            </anchor>
          </commentPr>
        </mc:Choice>
        <mc:Fallback/>
      </mc:AlternateContent>
    </comment>
    <comment ref="F12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300 t (Certificado Nº 322).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126</xdr:row>
                <xdr:rowOff>10</xdr:rowOff>
              </xdr:from>
              <xdr:to>
                <xdr:col>7</xdr:col>
                <xdr:colOff>86</xdr:colOff>
                <xdr:row>130</xdr:row>
                <xdr:rowOff>4</xdr:rowOff>
              </xdr:to>
            </anchor>
          </commentPr>
        </mc:Choice>
        <mc:Fallback/>
      </mc:AlternateContent>
    </comment>
    <comment ref="F1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48.443 t (Certificado Nº 167).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130</xdr:row>
                <xdr:rowOff>11</xdr:rowOff>
              </xdr:from>
              <xdr:to>
                <xdr:col>8</xdr:col>
                <xdr:colOff>33</xdr:colOff>
                <xdr:row>132</xdr:row>
                <xdr:rowOff>11</xdr:rowOff>
              </xdr:to>
            </anchor>
          </commentPr>
        </mc:Choice>
        <mc:Fallback/>
      </mc:AlternateContent>
    </comment>
    <comment ref="F13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1496.234 t (Certificado Nº 238).
(A) Incremento de 541.3662 t (Certificado Nº 239).
(A) Incremento de 2531.0515 t (Certificado Nº 240).
(A) Incremento de 56.887 t (Certificado Nº 241).
(A) Incremento de 40.4 t (Certificado Nº 282).
(C ) Incremento de 345 t de artesanales (Resolución Nº 1641).
(T) Incremento de 128.247 t (Certificado Nº 305).
(T) Incremento de 106.5 t (Certificado Nº 306)
(C ) Incremento de 673 t de artesanales ((Resolución Nº 3346).
(A) Incremento de 1500 t (Certificado Nº 345)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134</xdr:row>
                <xdr:rowOff>11</xdr:rowOff>
              </xdr:from>
              <xdr:to>
                <xdr:col>9</xdr:col>
                <xdr:colOff>49</xdr:colOff>
                <xdr:row>143</xdr:row>
                <xdr:rowOff>11</xdr:rowOff>
              </xdr:to>
            </anchor>
          </commentPr>
        </mc:Choice>
        <mc:Fallback/>
      </mc:AlternateContent>
    </comment>
    <comment ref="F13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-276.285 ton (Certificado Nº 66).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136</xdr:row>
                <xdr:rowOff>14</xdr:rowOff>
              </xdr:from>
              <xdr:to>
                <xdr:col>7</xdr:col>
                <xdr:colOff>114</xdr:colOff>
                <xdr:row>140</xdr:row>
                <xdr:rowOff>9</xdr:rowOff>
              </xdr:to>
            </anchor>
          </commentPr>
        </mc:Choice>
        <mc:Fallback/>
      </mc:AlternateContent>
    </comment>
    <comment ref="F14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1100 t (certificado Nº 262).
(T) Incremento de 200 t (Certificado Nº 289).
(A) Incrementa en 3000 t (Certificado N°336)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138</xdr:row>
                <xdr:rowOff>10</xdr:rowOff>
              </xdr:from>
              <xdr:to>
                <xdr:col>7</xdr:col>
                <xdr:colOff>94</xdr:colOff>
                <xdr:row>141</xdr:row>
                <xdr:rowOff>18</xdr:rowOff>
              </xdr:to>
            </anchor>
          </commentPr>
        </mc:Choice>
        <mc:Fallback/>
      </mc:AlternateContent>
    </comment>
    <comment ref="F14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146.792 t (Certificado Nº 259).
(A) Incremento de 510.5598 t (certificado Nº 260).
(A) Incremento de 150.265 t (Certificado Nº 261).
(C ) Incremento de 190 t de artesanales (Resolución Nº 2182).
(A) Incremento de 1520.294 ton (Certificado nº 298)
(A) Incremento de 2000 t (Certificado N°337)
(A) Incremento de 399.6 t (Certificado N°338)
(A) Incremento de 1700 t (Certificado Nº 323)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139</xdr:row>
                <xdr:rowOff>11</xdr:rowOff>
              </xdr:from>
              <xdr:to>
                <xdr:col>8</xdr:col>
                <xdr:colOff>55</xdr:colOff>
                <xdr:row>147</xdr:row>
                <xdr:rowOff>1</xdr:rowOff>
              </xdr:to>
            </anchor>
          </commentPr>
        </mc:Choice>
        <mc:Fallback/>
      </mc:AlternateContent>
    </comment>
    <comment ref="F14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510.5598 t (Certificado Nº 260).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142</xdr:row>
                <xdr:rowOff>10</xdr:rowOff>
              </xdr:from>
              <xdr:to>
                <xdr:col>7</xdr:col>
                <xdr:colOff>70</xdr:colOff>
                <xdr:row>147</xdr:row>
                <xdr:rowOff>5</xdr:rowOff>
              </xdr:to>
            </anchor>
          </commentPr>
        </mc:Choice>
        <mc:Fallback/>
      </mc:AlternateContent>
    </comment>
    <comment ref="F14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(Co) Cede 2000.578 t (Certificado Nº 224).
(Co) Incrementa 1008.541t (Certificado Nº 249).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144</xdr:row>
                <xdr:rowOff>11</xdr:rowOff>
              </xdr:from>
              <xdr:to>
                <xdr:col>8</xdr:col>
                <xdr:colOff>2</xdr:colOff>
                <xdr:row>148</xdr:row>
                <xdr:rowOff>19</xdr:rowOff>
              </xdr:to>
            </anchor>
          </commentPr>
        </mc:Choice>
        <mc:Fallback/>
      </mc:AlternateContent>
    </comment>
    <comment ref="F15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-5.92288 t (Certificado Nº126).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148</xdr:row>
                <xdr:rowOff>14</xdr:rowOff>
              </xdr:from>
              <xdr:to>
                <xdr:col>7</xdr:col>
                <xdr:colOff>114</xdr:colOff>
                <xdr:row>152</xdr:row>
                <xdr:rowOff>9</xdr:rowOff>
              </xdr:to>
            </anchor>
          </commentPr>
        </mc:Choice>
        <mc:Fallback/>
      </mc:AlternateContent>
    </comment>
    <comment ref="F15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1300 (Certificado Nº 236).
(A) Cede 40.4 t (Certificado Nº 282).
(C ) Incremento de 400 t de artesanales (Resolución Nº 1793),
(T) Incremento de 4.954 t (Certificado Nº 290).
(T) Incremento de 48.608 t (Certificado Nº 291).
(C ) Incremento de 673 t de artesanales ((Resolución Nº 3346).
(A) Incremento de 1500 t (Certificado Nº 344)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152</xdr:row>
                <xdr:rowOff>10</xdr:rowOff>
              </xdr:from>
              <xdr:to>
                <xdr:col>9</xdr:col>
                <xdr:colOff>52</xdr:colOff>
                <xdr:row>158</xdr:row>
                <xdr:rowOff>15</xdr:rowOff>
              </xdr:to>
            </anchor>
          </commentPr>
        </mc:Choice>
        <mc:Fallback/>
      </mc:AlternateContent>
    </comment>
    <comment ref="F15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-27.689021 ton (certificado nº56)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154</xdr:row>
                <xdr:rowOff>14</xdr:rowOff>
              </xdr:from>
              <xdr:to>
                <xdr:col>7</xdr:col>
                <xdr:colOff>105</xdr:colOff>
                <xdr:row>157</xdr:row>
                <xdr:rowOff>3</xdr:rowOff>
              </xdr:to>
            </anchor>
          </commentPr>
        </mc:Choice>
        <mc:Fallback/>
      </mc:AlternateContent>
    </comment>
    <comment ref="F15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-32.76839 t (Certificado Nº 145).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156</xdr:row>
                <xdr:rowOff>14</xdr:rowOff>
              </xdr:from>
              <xdr:to>
                <xdr:col>8</xdr:col>
                <xdr:colOff>4</xdr:colOff>
                <xdr:row>159</xdr:row>
                <xdr:rowOff>2</xdr:rowOff>
              </xdr:to>
            </anchor>
          </commentPr>
        </mc:Choice>
        <mc:Fallback/>
      </mc:AlternateContent>
    </comment>
    <comment ref="F16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1400 t (Resolucion Nº 460 modf por Nº 516).
(Co) Incremento de 919.3121 t (certificado Nº 222).
(Co) Incremento de 2000.578 t (Certificado Nº 224)
(Co) Cede 1008.541 t (Certificado Nº 249).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158</xdr:row>
                <xdr:rowOff>14</xdr:rowOff>
              </xdr:from>
              <xdr:to>
                <xdr:col>9</xdr:col>
                <xdr:colOff>12</xdr:colOff>
                <xdr:row>165</xdr:row>
                <xdr:rowOff>11</xdr:rowOff>
              </xdr:to>
            </anchor>
          </commentPr>
        </mc:Choice>
        <mc:Fallback/>
      </mc:AlternateContent>
    </comment>
    <comment ref="F16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1496.234 t (Certificado Nº 238).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160</xdr:row>
                <xdr:rowOff>9</xdr:rowOff>
              </xdr:from>
              <xdr:to>
                <xdr:col>7</xdr:col>
                <xdr:colOff>105</xdr:colOff>
                <xdr:row>162</xdr:row>
                <xdr:rowOff>3</xdr:rowOff>
              </xdr:to>
            </anchor>
          </commentPr>
        </mc:Choice>
        <mc:Fallback/>
      </mc:AlternateContent>
    </comment>
    <comment ref="F16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2600.9342 t (Certificado Nº207).
(S) Incremento de 32.76839 t (Certificado Nº 209).
(S) Incremento de 27.689 t (Certificado Nº 211).
(S) Incremento de 13.58779 t (Certificado Nº 213).
(S) Incremento de 5.92288 t (Certificado Nº 215).
(T) Incremento de 700 t (Certificado Nº 237).
(T) Cede 145 t (Certificado Nº 265).
(C ) Incremento de 2300 t de artesanales (Resolución Nº 1814).
(T) Incremento de 200 t (Certificado Nº 293).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162</xdr:row>
                <xdr:rowOff>11</xdr:rowOff>
              </xdr:from>
              <xdr:to>
                <xdr:col>9</xdr:col>
                <xdr:colOff>7</xdr:colOff>
                <xdr:row>170</xdr:row>
                <xdr:rowOff>6</xdr:rowOff>
              </xdr:to>
            </anchor>
          </commentPr>
        </mc:Choice>
        <mc:Fallback/>
      </mc:AlternateContent>
    </comment>
    <comment ref="F16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27.689  ton. (certificado nº 56).
(A) Incremento de 276.285 ton (certificado Nº 66). 
(A) Incremento de 5.92288 t (Certificado Nº126). 
(A) Incremento de 13.58779 t (Certificado Nº127).
(A) Incremento de 32.76839 t (Certificado Nº 145).
(A) Cede 2600.9342 t (Certificado Nº 207)
(S) Cede 32.76839 (Certificado Nº209).
(S) Cede 27.689 t (Certificado Nº 211).
(S) Cede 13.58779 t (Certificado Nº213).
(S) Cede 5.92288 t (Certificado Nº 215).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164</xdr:row>
                <xdr:rowOff>14</xdr:rowOff>
              </xdr:from>
              <xdr:to>
                <xdr:col>8</xdr:col>
                <xdr:colOff>50</xdr:colOff>
                <xdr:row>173</xdr:row>
                <xdr:rowOff>6</xdr:rowOff>
              </xdr:to>
            </anchor>
          </commentPr>
        </mc:Choice>
        <mc:Fallback/>
      </mc:AlternateContent>
    </comment>
    <comment ref="F16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2531.05157 t (Certificado Nº 240).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166</xdr:row>
                <xdr:rowOff>10</xdr:rowOff>
              </xdr:from>
              <xdr:to>
                <xdr:col>7</xdr:col>
                <xdr:colOff>108</xdr:colOff>
                <xdr:row>168</xdr:row>
                <xdr:rowOff>10</xdr:rowOff>
              </xdr:to>
            </anchor>
          </commentPr>
        </mc:Choice>
        <mc:Fallback/>
      </mc:AlternateContent>
    </comment>
    <comment ref="F17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- 13.58779 t (Certificado Nº127).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168</xdr:row>
                <xdr:rowOff>14</xdr:rowOff>
              </xdr:from>
              <xdr:to>
                <xdr:col>7</xdr:col>
                <xdr:colOff>111</xdr:colOff>
                <xdr:row>170</xdr:row>
                <xdr:rowOff>13</xdr:rowOff>
              </xdr:to>
            </anchor>
          </commentPr>
        </mc:Choice>
        <mc:Fallback/>
      </mc:AlternateContent>
    </comment>
    <comment ref="F17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7000 t (Certificado Nº 202) anulado por Res Nº1349. 
(T) Incremento de 2500 t(Certificado Nº 243).
(T) Incremento de 900 t (Certificado Nº 258).
(A) Incremento de 3000 t (Certificado N°325)
(T) Incremento de 33.958 t (Certificado N°328)
(T) Incremento de 116.042 t (Certificado N°329)
(T) Incremento de 70 t (Certificado N°330).
(A) Incremento de 3000 t (Certificado Nº 346).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170</xdr:row>
                <xdr:rowOff>11</xdr:rowOff>
              </xdr:from>
              <xdr:to>
                <xdr:col>8</xdr:col>
                <xdr:colOff>68</xdr:colOff>
                <xdr:row>177</xdr:row>
                <xdr:rowOff>13</xdr:rowOff>
              </xdr:to>
            </anchor>
          </commentPr>
        </mc:Choice>
        <mc:Fallback/>
      </mc:AlternateContent>
    </comment>
    <comment ref="F17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(V) Cede 919.312 t (Resolucion Nº 70).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172</xdr:row>
                <xdr:rowOff>11</xdr:rowOff>
              </xdr:from>
              <xdr:to>
                <xdr:col>7</xdr:col>
                <xdr:colOff>109</xdr:colOff>
                <xdr:row>174</xdr:row>
                <xdr:rowOff>10</xdr:rowOff>
              </xdr:to>
            </anchor>
          </commentPr>
        </mc:Choice>
        <mc:Fallback/>
      </mc:AlternateContent>
    </comment>
    <comment ref="F17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541.3662 t (Certificado Nº 239).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56</xdr:colOff>
                <xdr:row>174</xdr:row>
                <xdr:rowOff>9</xdr:rowOff>
              </xdr:from>
              <xdr:to>
                <xdr:col>7</xdr:col>
                <xdr:colOff>85</xdr:colOff>
                <xdr:row>176</xdr:row>
                <xdr:rowOff>2</xdr:rowOff>
              </xdr:to>
            </anchor>
          </commentPr>
        </mc:Choice>
        <mc:Fallback/>
      </mc:AlternateContent>
    </comment>
    <comment ref="F18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(V) Incremento 919.3121 t (Resolucion Nº 70).
(Co) Cede 919.3121 t (Certificado Nº 222).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180</xdr:row>
                <xdr:rowOff>11</xdr:rowOff>
              </xdr:from>
              <xdr:to>
                <xdr:col>8</xdr:col>
                <xdr:colOff>37</xdr:colOff>
                <xdr:row>183</xdr:row>
                <xdr:rowOff>2</xdr:rowOff>
              </xdr:to>
            </anchor>
          </commentPr>
        </mc:Choice>
        <mc:Fallback/>
      </mc:AlternateContent>
    </comment>
    <comment ref="F20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100 ton de artesanales  (Resolución Nº795).
C ) Incremento de 900 t de artesanales (Resolución Nº 1193).
(NT) Incremento de 163.75873 (Resolución Nº 1250).
(T) Cede 106.5 t (Certificado Nº 306).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200</xdr:row>
                <xdr:rowOff>11</xdr:rowOff>
              </xdr:from>
              <xdr:to>
                <xdr:col>9</xdr:col>
                <xdr:colOff>11</xdr:colOff>
                <xdr:row>204</xdr:row>
                <xdr:rowOff>8</xdr:rowOff>
              </xdr:to>
            </anchor>
          </commentPr>
        </mc:Choice>
        <mc:Fallback/>
      </mc:AlternateContent>
    </comment>
    <comment ref="F20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-23.6298 ton (Certificado Nº67).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204</xdr:row>
                <xdr:rowOff>14</xdr:rowOff>
              </xdr:from>
              <xdr:to>
                <xdr:col>8</xdr:col>
                <xdr:colOff>6</xdr:colOff>
                <xdr:row>208</xdr:row>
                <xdr:rowOff>9</xdr:rowOff>
              </xdr:to>
            </anchor>
          </commentPr>
        </mc:Choice>
        <mc:Fallback/>
      </mc:AlternateContent>
    </comment>
    <comment ref="F2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-200 t (Certificado Nº 289).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209</xdr:row>
                <xdr:rowOff>10</xdr:rowOff>
              </xdr:from>
              <xdr:to>
                <xdr:col>7</xdr:col>
                <xdr:colOff>49</xdr:colOff>
                <xdr:row>211</xdr:row>
                <xdr:rowOff>6</xdr:rowOff>
              </xdr:to>
            </anchor>
          </commentPr>
        </mc:Choice>
        <mc:Fallback/>
      </mc:AlternateContent>
    </comment>
    <comment ref="F21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146.792 t (Certificado Nº 259).
(NT) Cede 163.75873 (Resolucion Nº 1250)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212</xdr:row>
                <xdr:rowOff>10</xdr:rowOff>
              </xdr:from>
              <xdr:to>
                <xdr:col>7</xdr:col>
                <xdr:colOff>90</xdr:colOff>
                <xdr:row>216</xdr:row>
                <xdr:rowOff>4</xdr:rowOff>
              </xdr:to>
            </anchor>
          </commentPr>
        </mc:Choice>
        <mc:Fallback/>
      </mc:AlternateContent>
    </comment>
    <comment ref="F22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-2.239 t (Certificado Nº 129).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218</xdr:row>
                <xdr:rowOff>13</xdr:rowOff>
              </xdr:from>
              <xdr:to>
                <xdr:col>7</xdr:col>
                <xdr:colOff>107</xdr:colOff>
                <xdr:row>222</xdr:row>
                <xdr:rowOff>6</xdr:rowOff>
              </xdr:to>
            </anchor>
          </commentPr>
        </mc:Choice>
        <mc:Fallback/>
      </mc:AlternateContent>
    </comment>
    <comment ref="F22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-1300 t (Certificado Nº 236).
(T) Cede 48.608 t (Certificado Nº291)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222</xdr:row>
                <xdr:rowOff>6</xdr:rowOff>
              </xdr:from>
              <xdr:to>
                <xdr:col>8</xdr:col>
                <xdr:colOff>77</xdr:colOff>
                <xdr:row>224</xdr:row>
                <xdr:rowOff>14</xdr:rowOff>
              </xdr:to>
            </anchor>
          </commentPr>
        </mc:Choice>
        <mc:Fallback/>
      </mc:AlternateContent>
    </comment>
    <comment ref="F2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-7.249 ton (certificado Nº 57).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224</xdr:row>
                <xdr:rowOff>15</xdr:rowOff>
              </xdr:from>
              <xdr:to>
                <xdr:col>7</xdr:col>
                <xdr:colOff>100</xdr:colOff>
                <xdr:row>228</xdr:row>
                <xdr:rowOff>6</xdr:rowOff>
              </xdr:to>
            </anchor>
          </commentPr>
        </mc:Choice>
        <mc:Fallback/>
      </mc:AlternateContent>
    </comment>
    <comment ref="F22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-7.70428 t (Certificado Nº 146).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226</xdr:row>
                <xdr:rowOff>15</xdr:rowOff>
              </xdr:from>
              <xdr:to>
                <xdr:col>8</xdr:col>
                <xdr:colOff>13</xdr:colOff>
                <xdr:row>228</xdr:row>
                <xdr:rowOff>13</xdr:rowOff>
              </xdr:to>
            </anchor>
          </commentPr>
        </mc:Choice>
        <mc:Fallback/>
      </mc:AlternateContent>
    </comment>
    <comment ref="F23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(Co) Incremento de 171.23946 t (Certificado Nº 223).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228</xdr:row>
                <xdr:rowOff>13</xdr:rowOff>
              </xdr:from>
              <xdr:to>
                <xdr:col>8</xdr:col>
                <xdr:colOff>27</xdr:colOff>
                <xdr:row>232</xdr:row>
                <xdr:rowOff>6</xdr:rowOff>
              </xdr:to>
            </anchor>
          </commentPr>
        </mc:Choice>
        <mc:Fallback/>
      </mc:AlternateContent>
    </comment>
    <comment ref="F2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1185.712 t (Certificado Nº 208).
(S) Incremento de 7.70438 t (Certificado Nº 210).
(S) Incremento de 7.249 t (Certificado Nº 212).
(S) Incremento de 5.1465 t (Certificado Nº 214).
(S) Incremento de 2.23907 t (Certificado Nº 216)
(T) Cede 700 t (Certificado Nº 237).
(T) Incremento de 145 t (Certificado Nª145).
(C ) Incremento de 220 ton de artesanales (Resolucion Nº 1966).
(C) Cede 200 t (Certificado Nº 293).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29</xdr:colOff>
                <xdr:row>224</xdr:row>
                <xdr:rowOff>6</xdr:rowOff>
              </xdr:from>
              <xdr:to>
                <xdr:col>9</xdr:col>
                <xdr:colOff>68</xdr:colOff>
                <xdr:row>232</xdr:row>
                <xdr:rowOff>10</xdr:rowOff>
              </xdr:to>
            </anchor>
          </commentPr>
        </mc:Choice>
        <mc:Fallback/>
      </mc:AlternateContent>
    </comment>
    <comment ref="F2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7.249 t  (certificado Nº57.   
(A) Incremento de 23.6298 ton (certificado Nº 67).
 (A) Incremento de 5.1465 t (Certificado Nº128). 
 (A) Incremento de 2.239 t (Certificado Nº 129).
(A) Incremento de 7.70438 t (Certificado Nº 146).
(A) Cede 1185.712 t (Certificado Nº 208).
(S) Cede 7.70438 t (Certificado Nº 210).
(S) Cede 7.249 t (Certificado Nº 212).
(S) Cede 5.1465 t (Certificado Nº 214).
(S) Cede 2.239 t (Certificado Nº 216).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232</xdr:row>
                <xdr:rowOff>15</xdr:rowOff>
              </xdr:from>
              <xdr:to>
                <xdr:col>8</xdr:col>
                <xdr:colOff>43</xdr:colOff>
                <xdr:row>241</xdr:row>
                <xdr:rowOff>1</xdr:rowOff>
              </xdr:to>
            </anchor>
          </commentPr>
        </mc:Choice>
        <mc:Fallback/>
      </mc:AlternateContent>
    </comment>
    <comment ref="F23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-5.1465 t (Certificado Nº128).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234</xdr:row>
                <xdr:rowOff>15</xdr:rowOff>
              </xdr:from>
              <xdr:to>
                <xdr:col>7</xdr:col>
                <xdr:colOff>107</xdr:colOff>
                <xdr:row>238</xdr:row>
                <xdr:rowOff>9</xdr:rowOff>
              </xdr:to>
            </anchor>
          </commentPr>
        </mc:Choice>
        <mc:Fallback/>
      </mc:AlternateContent>
    </comment>
    <comment ref="F23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4000 t (Certificado Nº 228). Anulada por Res Nº 1349.
(T ) Traspaso 2500  t a  Certificado N° 243.
(T) Traspaso 70 t (Certificado N°330)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236</xdr:row>
                <xdr:rowOff>13</xdr:rowOff>
              </xdr:from>
              <xdr:to>
                <xdr:col>9</xdr:col>
                <xdr:colOff>40</xdr:colOff>
                <xdr:row>240</xdr:row>
                <xdr:rowOff>9</xdr:rowOff>
              </xdr:to>
            </anchor>
          </commentPr>
        </mc:Choice>
        <mc:Fallback/>
      </mc:AlternateContent>
    </comment>
    <comment ref="F24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(V) Cede 176.00888 t (Resolucion Nº 71).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238</xdr:row>
                <xdr:rowOff>13</xdr:rowOff>
              </xdr:from>
              <xdr:to>
                <xdr:col>8</xdr:col>
                <xdr:colOff>7</xdr:colOff>
                <xdr:row>240</xdr:row>
                <xdr:rowOff>14</xdr:rowOff>
              </xdr:to>
            </anchor>
          </commentPr>
        </mc:Choice>
        <mc:Fallback/>
      </mc:AlternateContent>
    </comment>
    <comment ref="F24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56.887 t (Certificado Nº 241).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240</xdr:row>
                <xdr:rowOff>10</xdr:rowOff>
              </xdr:from>
              <xdr:to>
                <xdr:col>7</xdr:col>
                <xdr:colOff>63</xdr:colOff>
                <xdr:row>242</xdr:row>
                <xdr:rowOff>8</xdr:rowOff>
              </xdr:to>
            </anchor>
          </commentPr>
        </mc:Choice>
        <mc:Fallback/>
      </mc:AlternateContent>
    </comment>
    <comment ref="F24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(V) Incremento de 171.23946 t (Resolución Nº 71).
(Co) Cede 171.23946 t (Certificado Nº 223)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246</xdr:row>
                <xdr:rowOff>13</xdr:rowOff>
              </xdr:from>
              <xdr:to>
                <xdr:col>8</xdr:col>
                <xdr:colOff>63</xdr:colOff>
                <xdr:row>250</xdr:row>
                <xdr:rowOff>16</xdr:rowOff>
              </xdr:to>
            </anchor>
          </commentPr>
        </mc:Choice>
        <mc:Fallback/>
      </mc:AlternateContent>
    </comment>
    <comment ref="F25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4050 t a artesanales (Resolucion Nº 1225).
(C ) Cede -1885 t a artesanales (Resolución Nº 1358).
(C ) Cede -1730 t a artesanales (Resolución Nº 1356).
(C ) Cede -260 t a artesanales (Resolución Nº 1403).
(C ) Cede -660 t a artesanales (Resolución Nº 1404).
(A)  Incremento 459.232 t (Certificado Nº 245).
(A) Incrementa 22.43t (Certificado Nº 247).
(A) Incrementa 27.803 t (certificado Nº 250).
(NT) Incremento de 109.34865 t (Resolución Nº 1253)
(Co) Incremento de 40.7 t (Certificado N°335)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252</xdr:row>
                <xdr:rowOff>10</xdr:rowOff>
              </xdr:from>
              <xdr:to>
                <xdr:col>8</xdr:col>
                <xdr:colOff>34</xdr:colOff>
                <xdr:row>262</xdr:row>
                <xdr:rowOff>10</xdr:rowOff>
              </xdr:to>
            </anchor>
          </commentPr>
        </mc:Choice>
        <mc:Fallback/>
      </mc:AlternateContent>
    </comment>
    <comment ref="F25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-2143.026337 t (Certificado Nº 69).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255</xdr:row>
                <xdr:rowOff>16</xdr:rowOff>
              </xdr:from>
              <xdr:to>
                <xdr:col>7</xdr:col>
                <xdr:colOff>93</xdr:colOff>
                <xdr:row>259</xdr:row>
                <xdr:rowOff>10</xdr:rowOff>
              </xdr:to>
            </anchor>
          </commentPr>
        </mc:Choice>
        <mc:Fallback/>
      </mc:AlternateContent>
    </comment>
    <comment ref="F26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6800 t a artesanales (Resolución Nº 732).
(C ) Cede 6800 t a artesanales (Resolución Nº 793).
(C ) Cede 1600 t a artesanales (Resolución Nº 801).
(C ) Cede 4640 t a artesanales (Resolución Nº 1005).
(C ) Cede 4700 t a artesanales (Resolución Nº 1442).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258</xdr:row>
                <xdr:rowOff>13</xdr:rowOff>
              </xdr:from>
              <xdr:to>
                <xdr:col>8</xdr:col>
                <xdr:colOff>77</xdr:colOff>
                <xdr:row>264</xdr:row>
                <xdr:rowOff>16</xdr:rowOff>
              </xdr:to>
            </anchor>
          </commentPr>
        </mc:Choice>
        <mc:Fallback/>
      </mc:AlternateContent>
    </comment>
    <comment ref="F26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1870 t a artesanales (Resolución Nº 733).
(C ) Cede 2065 t a artesanales (Resolución Nº 921).
(C ) Cede 400 t a artesanales (Resolución Nº 1088). 
(C ) Cede 1230 t a artesanales (Resolución Nº 3000).
(C ) Cede 100 t a artesanales (Resolución Nº 3368)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261</xdr:row>
                <xdr:rowOff>13</xdr:rowOff>
              </xdr:from>
              <xdr:to>
                <xdr:col>8</xdr:col>
                <xdr:colOff>53</xdr:colOff>
                <xdr:row>266</xdr:row>
                <xdr:rowOff>16</xdr:rowOff>
              </xdr:to>
            </anchor>
          </commentPr>
        </mc:Choice>
        <mc:Fallback/>
      </mc:AlternateContent>
    </comment>
    <comment ref="F26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Cede 109.34865 t (resolución Nº 1253)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264</xdr:row>
                <xdr:rowOff>10</xdr:rowOff>
              </xdr:from>
              <xdr:to>
                <xdr:col>7</xdr:col>
                <xdr:colOff>107</xdr:colOff>
                <xdr:row>268</xdr:row>
                <xdr:rowOff>6</xdr:rowOff>
              </xdr:to>
            </anchor>
          </commentPr>
        </mc:Choice>
        <mc:Fallback/>
      </mc:AlternateContent>
    </comment>
    <comment ref="F26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-995.503 t a artesanales (Resolución Nº 734).
(C ) Cede 477.647 t a artesanales (Resolución Nº 941)
(C ) Cede 1439.374 t a artesanales (Resolución Nº 942)
(NT) Cede 731.168 t ( Resolución Nº 2554).
(C ) Cede 101.112 t (Resolución Nº 3252).
(C ) Cede 520.356 t (Resolución Nº3072).
(A) Incremento de 184.961 t (Certificado Nº 348).
( C) Cede 200.99 ton a Artesanales VIII (Res N°72 ) emitida en enero de 2015, pero operativa solo para el 2014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268</xdr:row>
                <xdr:rowOff>1</xdr:rowOff>
              </xdr:from>
              <xdr:to>
                <xdr:col>8</xdr:col>
                <xdr:colOff>70</xdr:colOff>
                <xdr:row>275</xdr:row>
                <xdr:rowOff>10</xdr:rowOff>
              </xdr:to>
            </anchor>
          </commentPr>
        </mc:Choice>
        <mc:Fallback/>
      </mc:AlternateContent>
    </comment>
    <comment ref="F27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260 t a artesanales (Resolución Nº 879).
(C ) Cede 520 t a artesanales (Resolución Nº 954).
(C ) Cede 260 t  a artesanales (Resolución Nº 1203).
(C ) Cede 87 t a artesanales (Resolución Nº 1195).
(C ) Cede 87 t a artesanales (Resolución Nº 1196).
(C ) Cede 260 t a artesanales (Resolución Nº2077).
(Co) Cede 40.7 t (Certificado N°335)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270</xdr:row>
                <xdr:rowOff>13</xdr:rowOff>
              </xdr:from>
              <xdr:to>
                <xdr:col>8</xdr:col>
                <xdr:colOff>50</xdr:colOff>
                <xdr:row>280</xdr:row>
                <xdr:rowOff>5</xdr:rowOff>
              </xdr:to>
            </anchor>
          </commentPr>
        </mc:Choice>
        <mc:Fallback/>
      </mc:AlternateContent>
    </comment>
    <comment ref="F27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-41.8503958 ton (Certificado Nº59).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273</xdr:row>
                <xdr:rowOff>16</xdr:rowOff>
              </xdr:from>
              <xdr:to>
                <xdr:col>8</xdr:col>
                <xdr:colOff>2</xdr:colOff>
                <xdr:row>275</xdr:row>
                <xdr:rowOff>10</xdr:rowOff>
              </xdr:to>
            </anchor>
          </commentPr>
        </mc:Choice>
        <mc:Fallback/>
      </mc:AlternateContent>
    </comment>
    <comment ref="F27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-223.0377 t (Certificado Nº 147).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276</xdr:row>
                <xdr:rowOff>15</xdr:rowOff>
              </xdr:from>
              <xdr:to>
                <xdr:col>8</xdr:col>
                <xdr:colOff>10</xdr:colOff>
                <xdr:row>278</xdr:row>
                <xdr:rowOff>19</xdr:rowOff>
              </xdr:to>
            </anchor>
          </commentPr>
        </mc:Choice>
        <mc:Fallback/>
      </mc:AlternateContent>
    </comment>
    <comment ref="F28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1528.633 t a artesanales (Resolución Nº 919).
(C ) Cede 1338.056 t a artesanales (Resolución Nº 920).
(C ) Cede 765.524 t a artesanales (Resolución Nº 1006).
(C ) Cede 1001.253 t a artesanales (Resolución Nº 2222).
(NT) Cede 224.781 t (Resolución Nº2533 modf, por 2724).
(C ) Cede 972.894 t a artesanales (Resolución Nº 3071).
(A) Cede 184.961 t (Certificado Nº 348).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279</xdr:row>
                <xdr:rowOff>13</xdr:rowOff>
              </xdr:from>
              <xdr:to>
                <xdr:col>8</xdr:col>
                <xdr:colOff>71</xdr:colOff>
                <xdr:row>286</xdr:row>
                <xdr:rowOff>6</xdr:rowOff>
              </xdr:to>
            </anchor>
          </commentPr>
        </mc:Choice>
        <mc:Fallback/>
      </mc:AlternateContent>
    </comment>
    <comment ref="F28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-250 t a artesanales (Resolución Nº 1357).
(C ) Cede -260 t a artesanales (Resolución Nº 1406).
(A) Cede 27.803 t (Certificado Nº 250).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282</xdr:row>
                <xdr:rowOff>10</xdr:rowOff>
              </xdr:from>
              <xdr:to>
                <xdr:col>8</xdr:col>
                <xdr:colOff>17</xdr:colOff>
                <xdr:row>286</xdr:row>
                <xdr:rowOff>9</xdr:rowOff>
              </xdr:to>
            </anchor>
          </commentPr>
        </mc:Choice>
        <mc:Fallback/>
      </mc:AlternateContent>
    </comment>
    <comment ref="F28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203.82 t (Resolución Nº 798).
(C ) Incremento de 5000 t (Resolución Nº 1587).
(C ) Incremento de 900 t (Resolucion Nº 1967).
(C ) Incremento de 677 t (Resolución Nº 1966).
(C ) Incremento de 350 t (Resolución Nº 1970).
(C ) Incremento de 1000 t (Resolución Nº2273).
(Co) Incremento de 12.334 t (Certificado Nº 302).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285</xdr:row>
                <xdr:rowOff>13</xdr:rowOff>
              </xdr:from>
              <xdr:to>
                <xdr:col>8</xdr:col>
                <xdr:colOff>47</xdr:colOff>
                <xdr:row>292</xdr:row>
                <xdr:rowOff>4</xdr:rowOff>
              </xdr:to>
            </anchor>
          </commentPr>
        </mc:Choice>
        <mc:Fallback/>
      </mc:AlternateContent>
    </comment>
    <comment ref="F29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41.8503958 ton (Certificado Nº59). 
(A) Incremento de 2143.026337 t (Certificado Nº 69).
(A) Incremento de 223.0377 t (Certificado Nº 147).
(C ) Incremento de 1424.29 t (Resolución Nº 1779 ).
(C ) Incremento de 318 t de artesanales (Resolución Nº 2255).
(Co) Cede 12.334 t (Certificado Nº 302).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288</xdr:row>
                <xdr:rowOff>15</xdr:rowOff>
              </xdr:from>
              <xdr:to>
                <xdr:col>8</xdr:col>
                <xdr:colOff>73</xdr:colOff>
                <xdr:row>294</xdr:row>
                <xdr:rowOff>8</xdr:rowOff>
              </xdr:to>
            </anchor>
          </commentPr>
        </mc:Choice>
        <mc:Fallback/>
      </mc:AlternateContent>
    </comment>
    <comment ref="F293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(C ) Cede 416 t a artesanales (Resolución Nº 1405).
(A) Cede 22.43 t (Certificado Nº 247).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291</xdr:row>
                <xdr:rowOff>10</xdr:rowOff>
              </xdr:from>
              <xdr:to>
                <xdr:col>8</xdr:col>
                <xdr:colOff>1</xdr:colOff>
                <xdr:row>294</xdr:row>
                <xdr:rowOff>1</xdr:rowOff>
              </xdr:to>
            </anchor>
          </commentPr>
        </mc:Choice>
        <mc:Fallback/>
      </mc:AlternateContent>
    </comment>
    <comment ref="F296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(C ) Cede 3701 t a artesanales (Resolución Nº 1485).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294</xdr:row>
                <xdr:rowOff>10</xdr:rowOff>
              </xdr:from>
              <xdr:to>
                <xdr:col>8</xdr:col>
                <xdr:colOff>7</xdr:colOff>
                <xdr:row>298</xdr:row>
                <xdr:rowOff>6</xdr:rowOff>
              </xdr:to>
            </anchor>
          </commentPr>
        </mc:Choice>
        <mc:Fallback/>
      </mc:AlternateContent>
    </comment>
    <comment ref="F29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Cede 1324.354 t (Resolución Nº73).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297</xdr:row>
                <xdr:rowOff>13</xdr:rowOff>
              </xdr:from>
              <xdr:to>
                <xdr:col>7</xdr:col>
                <xdr:colOff>101</xdr:colOff>
                <xdr:row>299</xdr:row>
                <xdr:rowOff>13</xdr:rowOff>
              </xdr:to>
            </anchor>
          </commentPr>
        </mc:Choice>
        <mc:Fallback/>
      </mc:AlternateContent>
    </comment>
    <comment ref="F302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(A) Cede   459.232 t (Certificado Nº 245).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300</xdr:row>
                <xdr:rowOff>10</xdr:rowOff>
              </xdr:from>
              <xdr:to>
                <xdr:col>8</xdr:col>
                <xdr:colOff>2</xdr:colOff>
                <xdr:row>304</xdr:row>
                <xdr:rowOff>6</xdr:rowOff>
              </xdr:to>
            </anchor>
          </commentPr>
        </mc:Choice>
        <mc:Fallback/>
      </mc:AlternateContent>
    </comment>
    <comment ref="F30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(V) Incremento de  1324.354 t (Resolución Nº73).
(C ) Cede 844.323 t a artesanales (Resolución Nº 1006).
(C ) Cede 452.537 t a artesanales (Resolucion Nº 2819).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303</xdr:row>
                <xdr:rowOff>13</xdr:rowOff>
              </xdr:from>
              <xdr:to>
                <xdr:col>8</xdr:col>
                <xdr:colOff>63</xdr:colOff>
                <xdr:row>307</xdr:row>
                <xdr:rowOff>11</xdr:rowOff>
              </xdr:to>
            </anchor>
          </commentPr>
        </mc:Choice>
        <mc:Fallback/>
      </mc:AlternateContent>
    </comment>
    <comment ref="F30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731.168 t (Resolución Nº 2554).
(C ) Cede 462.401 t a artesanales (Resolución Nº 2819).
(C ) Cede 261.41 t a artesanales (Resolución Nº 3072).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306</xdr:row>
                <xdr:rowOff>10</xdr:rowOff>
              </xdr:from>
              <xdr:to>
                <xdr:col>8</xdr:col>
                <xdr:colOff>38</xdr:colOff>
                <xdr:row>310</xdr:row>
                <xdr:rowOff>4</xdr:rowOff>
              </xdr:to>
            </anchor>
          </commentPr>
        </mc:Choice>
        <mc:Fallback/>
      </mc:AlternateContent>
    </comment>
    <comment ref="F3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224.781 t  (Resolución Nº 2533 modf por 2724).
(C ) Cede 220.719 t a artesanales (Resolución Nº3072).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309</xdr:row>
                <xdr:rowOff>10</xdr:rowOff>
              </xdr:from>
              <xdr:to>
                <xdr:col>8</xdr:col>
                <xdr:colOff>79</xdr:colOff>
                <xdr:row>313</xdr:row>
                <xdr:rowOff>4</xdr:rowOff>
              </xdr:to>
            </anchor>
          </commentPr>
        </mc:Choice>
        <mc:Fallback/>
      </mc:AlternateContent>
    </comment>
    <comment ref="F316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(C ) Cede 1.933 t a artesanales (Resolución Nº 1569).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314</xdr:row>
                <xdr:rowOff>10</xdr:rowOff>
              </xdr:from>
              <xdr:to>
                <xdr:col>8</xdr:col>
                <xdr:colOff>7</xdr:colOff>
                <xdr:row>316</xdr:row>
                <xdr:rowOff>8</xdr:rowOff>
              </xdr:to>
            </anchor>
          </commentPr>
        </mc:Choice>
        <mc:Fallback/>
      </mc:AlternateContent>
    </comment>
    <comment ref="F3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-2.002 t (Certificado Nº 139).
(NT) Incremento de 88.90847 (Resolución Nº 1251).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324</xdr:row>
                <xdr:rowOff>15</xdr:rowOff>
              </xdr:from>
              <xdr:to>
                <xdr:col>8</xdr:col>
                <xdr:colOff>27</xdr:colOff>
                <xdr:row>327</xdr:row>
                <xdr:rowOff>1</xdr:rowOff>
              </xdr:to>
            </anchor>
          </commentPr>
        </mc:Choice>
        <mc:Fallback/>
      </mc:AlternateContent>
    </comment>
    <comment ref="F33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3 t (Certificado Nº 204).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328</xdr:row>
                <xdr:rowOff>13</xdr:rowOff>
              </xdr:from>
              <xdr:to>
                <xdr:col>7</xdr:col>
                <xdr:colOff>83</xdr:colOff>
                <xdr:row>330</xdr:row>
                <xdr:rowOff>13</xdr:rowOff>
              </xdr:to>
            </anchor>
          </commentPr>
        </mc:Choice>
        <mc:Fallback/>
      </mc:AlternateContent>
    </comment>
    <comment ref="F3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Cede 88.90847 t (Resolución Nº 1251).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59</xdr:colOff>
                <xdr:row>330</xdr:row>
                <xdr:rowOff>11</xdr:rowOff>
              </xdr:from>
              <xdr:to>
                <xdr:col>7</xdr:col>
                <xdr:colOff>72</xdr:colOff>
                <xdr:row>332</xdr:row>
                <xdr:rowOff>7</xdr:rowOff>
              </xdr:to>
            </anchor>
          </commentPr>
        </mc:Choice>
        <mc:Fallback/>
      </mc:AlternateContent>
    </comment>
    <comment ref="F33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0.007 t (Certificado Nº166)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334</xdr:row>
                <xdr:rowOff>13</xdr:rowOff>
              </xdr:from>
              <xdr:to>
                <xdr:col>7</xdr:col>
                <xdr:colOff>94</xdr:colOff>
                <xdr:row>336</xdr:row>
                <xdr:rowOff>13</xdr:rowOff>
              </xdr:to>
            </anchor>
          </commentPr>
        </mc:Choice>
        <mc:Fallback/>
      </mc:AlternateContent>
    </comment>
    <comment ref="F33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-100 t a artesanales (Resolución Nº 1150).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336</xdr:row>
                <xdr:rowOff>13</xdr:rowOff>
              </xdr:from>
              <xdr:to>
                <xdr:col>8</xdr:col>
                <xdr:colOff>27</xdr:colOff>
                <xdr:row>338</xdr:row>
                <xdr:rowOff>10</xdr:rowOff>
              </xdr:to>
            </anchor>
          </commentPr>
        </mc:Choice>
        <mc:Fallback/>
      </mc:AlternateContent>
    </comment>
    <comment ref="F34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2.002 t (certificado Nº 139).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340</xdr:row>
                <xdr:rowOff>16</xdr:rowOff>
              </xdr:from>
              <xdr:to>
                <xdr:col>8</xdr:col>
                <xdr:colOff>37</xdr:colOff>
                <xdr:row>342</xdr:row>
                <xdr:rowOff>20</xdr:rowOff>
              </xdr:to>
            </anchor>
          </commentPr>
        </mc:Choice>
        <mc:Fallback/>
      </mc:AlternateContent>
    </comment>
    <comment ref="F34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0.007 t (Certificado nº 166).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342</xdr:row>
                <xdr:rowOff>13</xdr:rowOff>
              </xdr:from>
              <xdr:to>
                <xdr:col>8</xdr:col>
                <xdr:colOff>37</xdr:colOff>
                <xdr:row>344</xdr:row>
                <xdr:rowOff>10</xdr:rowOff>
              </xdr:to>
            </anchor>
          </commentPr>
        </mc:Choice>
        <mc:Fallback/>
      </mc:AlternateContent>
    </comment>
    <comment ref="F34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3 t (Certificado Nº 204).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87</xdr:colOff>
                <xdr:row>344</xdr:row>
                <xdr:rowOff>13</xdr:rowOff>
              </xdr:from>
              <xdr:to>
                <xdr:col>8</xdr:col>
                <xdr:colOff>10</xdr:colOff>
                <xdr:row>346</xdr:row>
                <xdr:rowOff>10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Res Nº 2673.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75</xdr:colOff>
                <xdr:row>6</xdr:row>
                <xdr:rowOff>13</xdr:rowOff>
              </xdr:from>
              <xdr:to>
                <xdr:col>1</xdr:col>
                <xdr:colOff>-14</xdr:colOff>
                <xdr:row>10</xdr:row>
                <xdr:rowOff>6</xdr:rowOff>
              </xdr:to>
            </anchor>
          </commentPr>
        </mc:Choice>
        <mc:Fallback/>
      </mc:AlternateContent>
    </comment>
    <comment ref="L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5.704 t (Certificado Nº 349).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16</xdr:colOff>
                <xdr:row>4</xdr:row>
                <xdr:rowOff>62</xdr:rowOff>
              </xdr:from>
              <xdr:to>
                <xdr:col>14</xdr:col>
                <xdr:colOff>75</xdr:colOff>
                <xdr:row>8</xdr:row>
                <xdr:rowOff>4</xdr:rowOff>
              </xdr:to>
            </anchor>
          </commentPr>
        </mc:Choice>
        <mc:Fallback/>
      </mc:AlternateContent>
    </comment>
    <comment ref="L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5.704 t (Certificado Nº 349).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16</xdr:colOff>
                <xdr:row>32</xdr:row>
                <xdr:rowOff>10</xdr:rowOff>
              </xdr:from>
              <xdr:to>
                <xdr:col>15</xdr:col>
                <xdr:colOff>25</xdr:colOff>
                <xdr:row>34</xdr:row>
                <xdr:rowOff>14</xdr:rowOff>
              </xdr:to>
            </anchor>
          </commentPr>
        </mc:Choice>
        <mc:Fallback/>
      </mc:AlternateContent>
    </comment>
    <comment ref="L5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6.99632 t (Certificado Nº 354).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16</xdr:colOff>
                <xdr:row>55</xdr:row>
                <xdr:rowOff>10</xdr:rowOff>
              </xdr:from>
              <xdr:to>
                <xdr:col>15</xdr:col>
                <xdr:colOff>40</xdr:colOff>
                <xdr:row>57</xdr:row>
                <xdr:rowOff>10</xdr:rowOff>
              </xdr:to>
            </anchor>
          </commentPr>
        </mc:Choice>
        <mc:Fallback/>
      </mc:AlternateContent>
    </comment>
    <comment ref="L6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6.99632 t (Certificado Nº354)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16</xdr:colOff>
                <xdr:row>67</xdr:row>
                <xdr:rowOff>11</xdr:rowOff>
              </xdr:from>
              <xdr:to>
                <xdr:col>14</xdr:col>
                <xdr:colOff>70</xdr:colOff>
                <xdr:row>69</xdr:row>
                <xdr:rowOff>9</xdr:rowOff>
              </xdr:to>
            </anchor>
          </commentPr>
        </mc:Choice>
        <mc:Fallback/>
      </mc:AlternateContent>
    </comment>
    <comment ref="R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6.417 t (Certificado Nº 288).
(A) Incremento de 2.50416 t (Certificado Nº 353).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33</xdr:colOff>
                <xdr:row>6</xdr:row>
                <xdr:rowOff>18</xdr:rowOff>
              </xdr:from>
              <xdr:to>
                <xdr:col>20</xdr:col>
                <xdr:colOff>104</xdr:colOff>
                <xdr:row>10</xdr:row>
                <xdr:rowOff>3</xdr:rowOff>
              </xdr:to>
            </anchor>
          </commentPr>
        </mc:Choice>
        <mc:Fallback/>
      </mc:AlternateContent>
    </comment>
    <comment ref="R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-6.417 t (Certificado Nº 288).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104</xdr:colOff>
                <xdr:row>9</xdr:row>
                <xdr:rowOff>10</xdr:rowOff>
              </xdr:from>
              <xdr:to>
                <xdr:col>19</xdr:col>
                <xdr:colOff>96</xdr:colOff>
                <xdr:row>11</xdr:row>
                <xdr:rowOff>13</xdr:rowOff>
              </xdr:to>
            </anchor>
          </commentPr>
        </mc:Choice>
        <mc:Fallback/>
      </mc:AlternateContent>
    </comment>
    <comment ref="R2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2.50416 t (Certificado Nº 353).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16</xdr:colOff>
                <xdr:row>21</xdr:row>
                <xdr:rowOff>11</xdr:rowOff>
              </xdr:from>
              <xdr:to>
                <xdr:col>20</xdr:col>
                <xdr:colOff>33</xdr:colOff>
                <xdr:row>23</xdr:row>
                <xdr:rowOff>16</xdr:rowOff>
              </xdr:to>
            </anchor>
          </commentPr>
        </mc:Choice>
        <mc:Fallback/>
      </mc:AlternateContent>
    </comment>
    <comment ref="R3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30 t de artesanales (Resolución Nº3123).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16</xdr:colOff>
                <xdr:row>33</xdr:row>
                <xdr:rowOff>10</xdr:rowOff>
              </xdr:from>
              <xdr:to>
                <xdr:col>21</xdr:col>
                <xdr:colOff>17</xdr:colOff>
                <xdr:row>35</xdr:row>
                <xdr:rowOff>9</xdr:rowOff>
              </xdr:to>
            </anchor>
          </commentPr>
        </mc:Choice>
        <mc:Fallback/>
      </mc:AlternateContent>
    </comment>
    <comment ref="R5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-33.805 t (Certificado Nº103).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67</xdr:colOff>
                <xdr:row>55</xdr:row>
                <xdr:rowOff>6</xdr:rowOff>
              </xdr:from>
              <xdr:to>
                <xdr:col>19</xdr:col>
                <xdr:colOff>102</xdr:colOff>
                <xdr:row>59</xdr:row>
                <xdr:rowOff>10</xdr:rowOff>
              </xdr:to>
            </anchor>
          </commentPr>
        </mc:Choice>
        <mc:Fallback/>
      </mc:AlternateContent>
    </comment>
    <comment ref="R6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30.53019 t (Certificado Nº 232).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67</xdr:colOff>
                <xdr:row>65</xdr:row>
                <xdr:rowOff>0</xdr:rowOff>
              </xdr:from>
              <xdr:to>
                <xdr:col>20</xdr:col>
                <xdr:colOff>31</xdr:colOff>
                <xdr:row>66</xdr:row>
                <xdr:rowOff>20</xdr:rowOff>
              </xdr:to>
            </anchor>
          </commentPr>
        </mc:Choice>
        <mc:Fallback/>
      </mc:AlternateContent>
    </comment>
    <comment ref="R7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-8.4048 t ( Certificado Nº 108),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67</xdr:colOff>
                <xdr:row>67</xdr:row>
                <xdr:rowOff>7</xdr:rowOff>
              </xdr:from>
              <xdr:to>
                <xdr:col>19</xdr:col>
                <xdr:colOff>96</xdr:colOff>
                <xdr:row>70</xdr:row>
                <xdr:rowOff>11</xdr:rowOff>
              </xdr:to>
            </anchor>
          </commentPr>
        </mc:Choice>
        <mc:Fallback/>
      </mc:AlternateContent>
    </comment>
    <comment ref="R7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(Co) Cede 3.7725 t (certificado Nº 177).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67</xdr:colOff>
                <xdr:row>71</xdr:row>
                <xdr:rowOff>0</xdr:rowOff>
              </xdr:from>
              <xdr:to>
                <xdr:col>19</xdr:col>
                <xdr:colOff>80</xdr:colOff>
                <xdr:row>73</xdr:row>
                <xdr:rowOff>4</xdr:rowOff>
              </xdr:to>
            </anchor>
          </commentPr>
        </mc:Choice>
        <mc:Fallback/>
      </mc:AlternateContent>
    </comment>
    <comment ref="R7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33.805 t (certificado Nº 103). 
(C ) Incremento de 8.4048 t ( Certificado Nº 108),
(Co) Incremento de 3.7725 t (certificado Nº 177).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64</xdr:colOff>
                <xdr:row>73</xdr:row>
                <xdr:rowOff>6</xdr:rowOff>
              </xdr:from>
              <xdr:to>
                <xdr:col>20</xdr:col>
                <xdr:colOff>8</xdr:colOff>
                <xdr:row>76</xdr:row>
                <xdr:rowOff>1</xdr:rowOff>
              </xdr:to>
            </anchor>
          </commentPr>
        </mc:Choice>
        <mc:Fallback/>
      </mc:AlternateContent>
    </comment>
    <comment ref="R8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-30.53019 t (Certificado Nº 232).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67</xdr:colOff>
                <xdr:row>80</xdr:row>
                <xdr:rowOff>0</xdr:rowOff>
              </xdr:from>
              <xdr:to>
                <xdr:col>19</xdr:col>
                <xdr:colOff>104</xdr:colOff>
                <xdr:row>81</xdr:row>
                <xdr:rowOff>19</xdr:rowOff>
              </xdr:to>
            </anchor>
          </commentPr>
        </mc:Choice>
        <mc:Fallback/>
      </mc:AlternateContent>
    </comment>
    <comment ref="R9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157.842 t de artesanal ( Resolucion Nº 1287).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67</xdr:colOff>
                <xdr:row>97</xdr:row>
                <xdr:rowOff>1</xdr:rowOff>
              </xdr:from>
              <xdr:to>
                <xdr:col>20</xdr:col>
                <xdr:colOff>93</xdr:colOff>
                <xdr:row>104</xdr:row>
                <xdr:rowOff>11</xdr:rowOff>
              </xdr:to>
            </anchor>
          </commentPr>
        </mc:Choice>
        <mc:Fallback/>
      </mc:AlternateContent>
    </comment>
    <comment ref="S6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 t (Certificado Nº 123).
(A) Cede 0.755 t (Certificado Nº 150).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62</xdr:colOff>
                <xdr:row>59</xdr:row>
                <xdr:rowOff>0</xdr:rowOff>
              </xdr:from>
              <xdr:to>
                <xdr:col>20</xdr:col>
                <xdr:colOff>40</xdr:colOff>
                <xdr:row>62</xdr:row>
                <xdr:rowOff>14</xdr:rowOff>
              </xdr:to>
            </anchor>
          </commentPr>
        </mc:Choice>
        <mc:Fallback/>
      </mc:AlternateContent>
    </comment>
    <comment ref="S6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 t (Certificado Nº 123)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62</xdr:colOff>
                <xdr:row>62</xdr:row>
                <xdr:rowOff>0</xdr:rowOff>
              </xdr:from>
              <xdr:to>
                <xdr:col>20</xdr:col>
                <xdr:colOff>75</xdr:colOff>
                <xdr:row>63</xdr:row>
                <xdr:rowOff>20</xdr:rowOff>
              </xdr:to>
            </anchor>
          </commentPr>
        </mc:Choice>
        <mc:Fallback/>
      </mc:AlternateContent>
    </comment>
    <comment ref="S7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-0.03 t (Certificado Nº 132).
(A) Cede -0.01198 t (Certificado Nº 196).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62</xdr:colOff>
                <xdr:row>74</xdr:row>
                <xdr:rowOff>0</xdr:rowOff>
              </xdr:from>
              <xdr:to>
                <xdr:col>20</xdr:col>
                <xdr:colOff>52</xdr:colOff>
                <xdr:row>76</xdr:row>
                <xdr:rowOff>4</xdr:rowOff>
              </xdr:to>
            </anchor>
          </commentPr>
        </mc:Choice>
        <mc:Fallback/>
      </mc:AlternateContent>
    </comment>
    <comment ref="S8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0.03 t (Certificado Nº 132).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62</xdr:colOff>
                <xdr:row>83</xdr:row>
                <xdr:rowOff>0</xdr:rowOff>
              </xdr:from>
              <xdr:to>
                <xdr:col>20</xdr:col>
                <xdr:colOff>104</xdr:colOff>
                <xdr:row>84</xdr:row>
                <xdr:rowOff>19</xdr:rowOff>
              </xdr:to>
            </anchor>
          </commentPr>
        </mc:Choice>
        <mc:Fallback/>
      </mc:AlternateContent>
    </comment>
    <comment ref="S8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0.755 t (Certificado Nº 150).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62</xdr:colOff>
                <xdr:row>86</xdr:row>
                <xdr:rowOff>0</xdr:rowOff>
              </xdr:from>
              <xdr:to>
                <xdr:col>20</xdr:col>
                <xdr:colOff>88</xdr:colOff>
                <xdr:row>88</xdr:row>
                <xdr:rowOff>4</xdr:rowOff>
              </xdr:to>
            </anchor>
          </commentPr>
        </mc:Choice>
        <mc:Fallback/>
      </mc:AlternateContent>
    </comment>
    <comment ref="S9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0.01198 t (Certificado Nº 196).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62</xdr:colOff>
                <xdr:row>89</xdr:row>
                <xdr:rowOff>0</xdr:rowOff>
              </xdr:from>
              <xdr:to>
                <xdr:col>19</xdr:col>
                <xdr:colOff>99</xdr:colOff>
                <xdr:row>92</xdr:row>
                <xdr:rowOff>14</xdr:rowOff>
              </xdr:to>
            </anchor>
          </commentPr>
        </mc:Choice>
        <mc:Fallback/>
      </mc:AlternateContent>
    </comment>
    <comment ref="X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11.68 t (Certificado Nº 288).
(A) Incremento de 4.2084 t (Certificado Nº 351).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7</xdr:colOff>
                <xdr:row>7</xdr:row>
                <xdr:rowOff>8</xdr:rowOff>
              </xdr:from>
              <xdr:to>
                <xdr:col>28</xdr:col>
                <xdr:colOff>44</xdr:colOff>
                <xdr:row>10</xdr:row>
                <xdr:rowOff>1</xdr:rowOff>
              </xdr:to>
            </anchor>
          </commentPr>
        </mc:Choice>
        <mc:Fallback/>
      </mc:AlternateContent>
    </comment>
    <comment ref="X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-11.68 t (Certificado Nº 288).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102</xdr:colOff>
                <xdr:row>9</xdr:row>
                <xdr:rowOff>10</xdr:rowOff>
              </xdr:from>
              <xdr:to>
                <xdr:col>26</xdr:col>
                <xdr:colOff>16</xdr:colOff>
                <xdr:row>11</xdr:row>
                <xdr:rowOff>8</xdr:rowOff>
              </xdr:to>
            </anchor>
          </commentPr>
        </mc:Choice>
        <mc:Fallback/>
      </mc:AlternateContent>
    </comment>
    <comment ref="X1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10 t (Certificado Nº 310).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16</xdr:colOff>
                <xdr:row>10</xdr:row>
                <xdr:rowOff>10</xdr:rowOff>
              </xdr:from>
              <xdr:to>
                <xdr:col>26</xdr:col>
                <xdr:colOff>58</xdr:colOff>
                <xdr:row>12</xdr:row>
                <xdr:rowOff>8</xdr:rowOff>
              </xdr:to>
            </anchor>
          </commentPr>
        </mc:Choice>
        <mc:Fallback/>
      </mc:AlternateContent>
    </comment>
    <comment ref="X2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4.2084 t (Certificado Nº 351).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16</xdr:colOff>
                <xdr:row>20</xdr:row>
                <xdr:rowOff>11</xdr:rowOff>
              </xdr:from>
              <xdr:to>
                <xdr:col>27</xdr:col>
                <xdr:colOff>58</xdr:colOff>
                <xdr:row>22</xdr:row>
                <xdr:rowOff>12</xdr:rowOff>
              </xdr:to>
            </anchor>
          </commentPr>
        </mc:Choice>
        <mc:Fallback/>
      </mc:AlternateContent>
    </comment>
    <comment ref="X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17.529 t (Certificado Nº 195).
(A) Incremento de 10 t (Certificado Nº 310)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19</xdr:colOff>
                <xdr:row>30</xdr:row>
                <xdr:rowOff>11</xdr:rowOff>
              </xdr:from>
              <xdr:to>
                <xdr:col>25</xdr:col>
                <xdr:colOff>58</xdr:colOff>
                <xdr:row>33</xdr:row>
                <xdr:rowOff>2</xdr:rowOff>
              </xdr:to>
            </anchor>
          </commentPr>
        </mc:Choice>
        <mc:Fallback/>
      </mc:AlternateContent>
    </comment>
    <comment ref="X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17.529 t (Certificado Nº 195).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25</xdr:colOff>
                <xdr:row>33</xdr:row>
                <xdr:rowOff>1</xdr:rowOff>
              </xdr:from>
              <xdr:to>
                <xdr:col>26</xdr:col>
                <xdr:colOff>10</xdr:colOff>
                <xdr:row>34</xdr:row>
                <xdr:rowOff>14</xdr:rowOff>
              </xdr:to>
            </anchor>
          </commentPr>
        </mc:Choice>
        <mc:Fallback/>
      </mc:AlternateContent>
    </comment>
    <comment ref="X9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157.842 t de artesanal ( Resolucion Nº 1287).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0</xdr:colOff>
                <xdr:row>97</xdr:row>
                <xdr:rowOff>1</xdr:rowOff>
              </xdr:from>
              <xdr:to>
                <xdr:col>26</xdr:col>
                <xdr:colOff>77</xdr:colOff>
                <xdr:row>102</xdr:row>
                <xdr:rowOff>11</xdr:rowOff>
              </xdr:to>
            </anchor>
          </commentPr>
        </mc:Choice>
        <mc:Fallback/>
      </mc:AlternateContent>
    </comment>
    <comment ref="X10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4.527 t (Certificado Nº 233).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0</xdr:colOff>
                <xdr:row>102</xdr:row>
                <xdr:rowOff>10</xdr:rowOff>
              </xdr:from>
              <xdr:to>
                <xdr:col>25</xdr:col>
                <xdr:colOff>77</xdr:colOff>
                <xdr:row>104</xdr:row>
                <xdr:rowOff>7</xdr:rowOff>
              </xdr:to>
            </anchor>
          </commentPr>
        </mc:Choice>
        <mc:Fallback/>
      </mc:AlternateContent>
    </comment>
    <comment ref="X1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-4.527 t (Certificado Nº 233).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0</xdr:colOff>
                <xdr:row>108</xdr:row>
                <xdr:rowOff>10</xdr:rowOff>
              </xdr:from>
              <xdr:to>
                <xdr:col>26</xdr:col>
                <xdr:colOff>11</xdr:colOff>
                <xdr:row>110</xdr:row>
                <xdr:rowOff>14</xdr:rowOff>
              </xdr:to>
            </anchor>
          </commentPr>
        </mc:Choice>
        <mc:Fallback/>
      </mc:AlternateContent>
    </comment>
    <comment ref="Y10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 ton (Certificado Nº 122).
(A) Cede 0.36 t (Certificado Nº 130).
(A) Cede 0.7504 t (Certificado Nº151)
(A) Cede 0.11 t (Certificado Nº133).
(A) Cede 0.03 t (Certificado Nº138)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84</xdr:colOff>
                <xdr:row>99</xdr:row>
                <xdr:rowOff>11</xdr:rowOff>
              </xdr:from>
              <xdr:to>
                <xdr:col>26</xdr:col>
                <xdr:colOff>35</xdr:colOff>
                <xdr:row>104</xdr:row>
                <xdr:rowOff>7</xdr:rowOff>
              </xdr:to>
            </anchor>
          </commentPr>
        </mc:Choice>
        <mc:Fallback/>
      </mc:AlternateContent>
    </comment>
    <comment ref="Y11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 ton (certificado Nº 122)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84</xdr:colOff>
                <xdr:row>111</xdr:row>
                <xdr:rowOff>1</xdr:rowOff>
              </xdr:from>
              <xdr:to>
                <xdr:col>25</xdr:col>
                <xdr:colOff>16</xdr:colOff>
                <xdr:row>114</xdr:row>
                <xdr:rowOff>16</xdr:rowOff>
              </xdr:to>
            </anchor>
          </commentPr>
        </mc:Choice>
        <mc:Fallback/>
      </mc:AlternateContent>
    </comment>
    <comment ref="Y11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0.7504 t (Certificado Nº 151).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84</xdr:colOff>
                <xdr:row>114</xdr:row>
                <xdr:rowOff>0</xdr:rowOff>
              </xdr:from>
              <xdr:to>
                <xdr:col>26</xdr:col>
                <xdr:colOff>37</xdr:colOff>
                <xdr:row>117</xdr:row>
                <xdr:rowOff>14</xdr:rowOff>
              </xdr:to>
            </anchor>
          </commentPr>
        </mc:Choice>
        <mc:Fallback/>
      </mc:AlternateContent>
    </comment>
    <comment ref="Y1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0.36 t (certificado Nº 130).
(S) Incremento de 0.11 t (certificado Nº 184).
(S) Incremento de 0.03 t (Certificado Nº 185).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84</xdr:colOff>
                <xdr:row>117</xdr:row>
                <xdr:rowOff>0</xdr:rowOff>
              </xdr:from>
              <xdr:to>
                <xdr:col>26</xdr:col>
                <xdr:colOff>35</xdr:colOff>
                <xdr:row>120</xdr:row>
                <xdr:rowOff>14</xdr:rowOff>
              </xdr:to>
            </anchor>
          </commentPr>
        </mc:Choice>
        <mc:Fallback/>
      </mc:AlternateContent>
    </comment>
    <comment ref="Y12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0.11 t (Certificado nº 133).
(S) Cede 0.11 t (certificado Nº 184)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84</xdr:colOff>
                <xdr:row>120</xdr:row>
                <xdr:rowOff>0</xdr:rowOff>
              </xdr:from>
              <xdr:to>
                <xdr:col>26</xdr:col>
                <xdr:colOff>80</xdr:colOff>
                <xdr:row>123</xdr:row>
                <xdr:rowOff>14</xdr:rowOff>
              </xdr:to>
            </anchor>
          </commentPr>
        </mc:Choice>
        <mc:Fallback/>
      </mc:AlternateContent>
    </comment>
    <comment ref="Y12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0.03 t (certificado nº 138).
(S) Cede 0.03 t (Certificado Nº 185).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84</xdr:colOff>
                <xdr:row>123</xdr:row>
                <xdr:rowOff>0</xdr:rowOff>
              </xdr:from>
              <xdr:to>
                <xdr:col>27</xdr:col>
                <xdr:colOff>3</xdr:colOff>
                <xdr:row>126</xdr:row>
                <xdr:rowOff>14</xdr:rowOff>
              </xdr:to>
            </anchor>
          </commentPr>
        </mc:Choice>
        <mc:Fallback/>
      </mc:AlternateContent>
    </comment>
    <comment ref="AD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5.495 t (Certificado Nº 288).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69</xdr:colOff>
                <xdr:row>5</xdr:row>
                <xdr:rowOff>15</xdr:rowOff>
              </xdr:from>
              <xdr:to>
                <xdr:col>32</xdr:col>
                <xdr:colOff>48</xdr:colOff>
                <xdr:row>7</xdr:row>
                <xdr:rowOff>13</xdr:rowOff>
              </xdr:to>
            </anchor>
          </commentPr>
        </mc:Choice>
        <mc:Fallback/>
      </mc:AlternateContent>
    </comment>
    <comment ref="AD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-5.495 t (Certificado Nº 288).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65</xdr:colOff>
                <xdr:row>9</xdr:row>
                <xdr:rowOff>10</xdr:rowOff>
              </xdr:from>
              <xdr:to>
                <xdr:col>32</xdr:col>
                <xdr:colOff>0</xdr:colOff>
                <xdr:row>11</xdr:row>
                <xdr:rowOff>13</xdr:rowOff>
              </xdr:to>
            </anchor>
          </commentPr>
        </mc:Choice>
        <mc:Fallback/>
      </mc:AlternateContent>
    </comment>
    <comment ref="AD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17.529 t (certificado Nº 194).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51</xdr:colOff>
                <xdr:row>30</xdr:row>
                <xdr:rowOff>10</xdr:rowOff>
              </xdr:from>
              <xdr:to>
                <xdr:col>31</xdr:col>
                <xdr:colOff>54</xdr:colOff>
                <xdr:row>32</xdr:row>
                <xdr:rowOff>14</xdr:rowOff>
              </xdr:to>
            </anchor>
          </commentPr>
        </mc:Choice>
        <mc:Fallback/>
      </mc:AlternateContent>
    </comment>
    <comment ref="AD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-17.529 t t (Certificado Nº 194.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51</xdr:colOff>
                <xdr:row>32</xdr:row>
                <xdr:rowOff>10</xdr:rowOff>
              </xdr:from>
              <xdr:to>
                <xdr:col>31</xdr:col>
                <xdr:colOff>21</xdr:colOff>
                <xdr:row>34</xdr:row>
                <xdr:rowOff>10</xdr:rowOff>
              </xdr:to>
            </anchor>
          </commentPr>
        </mc:Choice>
        <mc:Fallback/>
      </mc:AlternateContent>
    </comment>
    <comment ref="AJ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16.664 t (Certificado Nº 288).
(A) Cede 4.904 t (Certificado Nº 350).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69</xdr:colOff>
                <xdr:row>5</xdr:row>
                <xdr:rowOff>10</xdr:rowOff>
              </xdr:from>
              <xdr:to>
                <xdr:col>39</xdr:col>
                <xdr:colOff>20</xdr:colOff>
                <xdr:row>8</xdr:row>
                <xdr:rowOff>4</xdr:rowOff>
              </xdr:to>
            </anchor>
          </commentPr>
        </mc:Choice>
        <mc:Fallback/>
      </mc:AlternateContent>
    </comment>
    <comment ref="AJ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-16.664 t (Certificado Nº 288).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69</xdr:colOff>
                <xdr:row>9</xdr:row>
                <xdr:rowOff>10</xdr:rowOff>
              </xdr:from>
              <xdr:to>
                <xdr:col>38</xdr:col>
                <xdr:colOff>17</xdr:colOff>
                <xdr:row>11</xdr:row>
                <xdr:rowOff>1</xdr:rowOff>
              </xdr:to>
            </anchor>
          </commentPr>
        </mc:Choice>
        <mc:Fallback/>
      </mc:AlternateContent>
    </comment>
    <comment ref="AJ1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10 t (Certificado Nº309)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16</xdr:colOff>
                <xdr:row>10</xdr:row>
                <xdr:rowOff>10</xdr:rowOff>
              </xdr:from>
              <xdr:to>
                <xdr:col>39</xdr:col>
                <xdr:colOff>4</xdr:colOff>
                <xdr:row>12</xdr:row>
                <xdr:rowOff>5</xdr:rowOff>
              </xdr:to>
            </anchor>
          </commentPr>
        </mc:Choice>
        <mc:Fallback/>
      </mc:AlternateContent>
    </comment>
    <comment ref="AJ2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4.904 t (Certificado Nº350).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16</xdr:colOff>
                <xdr:row>21</xdr:row>
                <xdr:rowOff>10</xdr:rowOff>
              </xdr:from>
              <xdr:to>
                <xdr:col>39</xdr:col>
                <xdr:colOff>25</xdr:colOff>
                <xdr:row>25</xdr:row>
                <xdr:rowOff>4</xdr:rowOff>
              </xdr:to>
            </anchor>
          </commentPr>
        </mc:Choice>
        <mc:Fallback/>
      </mc:AlternateContent>
    </comment>
    <comment ref="AJ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10 t (Certificado Nº 309).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16</xdr:colOff>
                <xdr:row>30</xdr:row>
                <xdr:rowOff>10</xdr:rowOff>
              </xdr:from>
              <xdr:to>
                <xdr:col>38</xdr:col>
                <xdr:colOff>53</xdr:colOff>
                <xdr:row>32</xdr:row>
                <xdr:rowOff>10</xdr:rowOff>
              </xdr:to>
            </anchor>
          </commentPr>
        </mc:Choice>
        <mc:Fallback/>
      </mc:AlternateContent>
    </comment>
    <comment ref="AP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16.236 t (Certificado Nº 288).
(A) Incremento de 4.2084 t (Certificado Nº 352).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41</xdr:col>
                <xdr:colOff>80</xdr:colOff>
                <xdr:row>5</xdr:row>
                <xdr:rowOff>10</xdr:rowOff>
              </xdr:from>
              <xdr:to>
                <xdr:col>45</xdr:col>
                <xdr:colOff>72</xdr:colOff>
                <xdr:row>7</xdr:row>
                <xdr:rowOff>18</xdr:rowOff>
              </xdr:to>
            </anchor>
          </commentPr>
        </mc:Choice>
        <mc:Fallback/>
      </mc:AlternateContent>
    </comment>
    <comment ref="AP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-16.236 t (Certificado Nº 288).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41</xdr:col>
                <xdr:colOff>80</xdr:colOff>
                <xdr:row>9</xdr:row>
                <xdr:rowOff>10</xdr:rowOff>
              </xdr:from>
              <xdr:to>
                <xdr:col>44</xdr:col>
                <xdr:colOff>10</xdr:colOff>
                <xdr:row>11</xdr:row>
                <xdr:rowOff>9</xdr:rowOff>
              </xdr:to>
            </anchor>
          </commentPr>
        </mc:Choice>
        <mc:Fallback/>
      </mc:AlternateContent>
    </comment>
    <comment ref="AP2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4.2084 t (Certificado Nº 352).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42</xdr:col>
                <xdr:colOff>16</xdr:colOff>
                <xdr:row>20</xdr:row>
                <xdr:rowOff>11</xdr:rowOff>
              </xdr:from>
              <xdr:to>
                <xdr:col>44</xdr:col>
                <xdr:colOff>72</xdr:colOff>
                <xdr:row>22</xdr:row>
                <xdr:rowOff>9</xdr:rowOff>
              </xdr:to>
            </anchor>
          </commentPr>
        </mc:Choice>
        <mc:Fallback/>
      </mc:AlternateContent>
    </comment>
    <comment ref="AV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68.969 t (Certificado Nº 186).
(A) Incremento de 56.492 t (Certificado Nº 288).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4</xdr:row>
                <xdr:rowOff>64</xdr:rowOff>
              </xdr:from>
              <xdr:to>
                <xdr:col>49</xdr:col>
                <xdr:colOff>36</xdr:colOff>
                <xdr:row>7</xdr:row>
                <xdr:rowOff>4</xdr:rowOff>
              </xdr:to>
            </anchor>
          </commentPr>
        </mc:Choice>
        <mc:Fallback/>
      </mc:AlternateContent>
    </comment>
    <comment ref="AV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-243.611 t (Certificado Nº 102).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6</xdr:row>
                <xdr:rowOff>10</xdr:rowOff>
              </xdr:from>
              <xdr:to>
                <xdr:col>48</xdr:col>
                <xdr:colOff>107</xdr:colOff>
                <xdr:row>10</xdr:row>
                <xdr:rowOff>4</xdr:rowOff>
              </xdr:to>
            </anchor>
          </commentPr>
        </mc:Choice>
        <mc:Fallback/>
      </mc:AlternateContent>
    </comment>
    <comment ref="AV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-56.492 t (Certificado Nº 288).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9</xdr:row>
                <xdr:rowOff>10</xdr:rowOff>
              </xdr:from>
              <xdr:to>
                <xdr:col>49</xdr:col>
                <xdr:colOff>67</xdr:colOff>
                <xdr:row>11</xdr:row>
                <xdr:rowOff>4</xdr:rowOff>
              </xdr:to>
            </anchor>
          </commentPr>
        </mc:Choice>
        <mc:Fallback/>
      </mc:AlternateContent>
    </comment>
    <comment ref="AV1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-89.071 t (Certificado Nº 226).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16</xdr:row>
                <xdr:rowOff>10</xdr:rowOff>
              </xdr:from>
              <xdr:to>
                <xdr:col>48</xdr:col>
                <xdr:colOff>93</xdr:colOff>
                <xdr:row>18</xdr:row>
                <xdr:rowOff>7</xdr:rowOff>
              </xdr:to>
            </anchor>
          </commentPr>
        </mc:Choice>
        <mc:Fallback/>
      </mc:AlternateContent>
    </comment>
    <comment ref="AV2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89.071 t (Certificado Nº 226).
(A) Incremento de 158.761 t (Certificado Nº 231).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20</xdr:row>
                <xdr:rowOff>11</xdr:rowOff>
              </xdr:from>
              <xdr:to>
                <xdr:col>49</xdr:col>
                <xdr:colOff>30</xdr:colOff>
                <xdr:row>23</xdr:row>
                <xdr:rowOff>14</xdr:rowOff>
              </xdr:to>
            </anchor>
          </commentPr>
        </mc:Choice>
        <mc:Fallback/>
      </mc:AlternateContent>
    </comment>
    <comment ref="AV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-139.725 t (Certificado Nº 104).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24</xdr:row>
                <xdr:rowOff>11</xdr:rowOff>
              </xdr:from>
              <xdr:to>
                <xdr:col>49</xdr:col>
                <xdr:colOff>16</xdr:colOff>
                <xdr:row>28</xdr:row>
                <xdr:rowOff>5</xdr:rowOff>
              </xdr:to>
            </anchor>
          </commentPr>
        </mc:Choice>
        <mc:Fallback/>
      </mc:AlternateContent>
    </comment>
    <comment ref="AV2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315.133 t (Certificado Nº 176).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26</xdr:row>
                <xdr:rowOff>11</xdr:rowOff>
              </xdr:from>
              <xdr:to>
                <xdr:col>48</xdr:col>
                <xdr:colOff>101</xdr:colOff>
                <xdr:row>28</xdr:row>
                <xdr:rowOff>6</xdr:rowOff>
              </xdr:to>
            </anchor>
          </commentPr>
        </mc:Choice>
        <mc:Fallback/>
      </mc:AlternateContent>
    </comment>
    <comment ref="AV3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75.442 t (Certificado Nº178).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28</xdr:row>
                <xdr:rowOff>10</xdr:rowOff>
              </xdr:from>
              <xdr:to>
                <xdr:col>48</xdr:col>
                <xdr:colOff>107</xdr:colOff>
                <xdr:row>30</xdr:row>
                <xdr:rowOff>16</xdr:rowOff>
              </xdr:to>
            </anchor>
          </commentPr>
        </mc:Choice>
        <mc:Fallback/>
      </mc:AlternateContent>
    </comment>
    <comment ref="AV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243.611 t (Certificado Nº 102). 
(C ) Incremento de 139.725 t (Certificado Nº 104).
(C ) Incremento de 315.133 t (Certificado Nº 176).
(C ) Incremento de 75.442 t (Certificado Nº 178).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30</xdr:row>
                <xdr:rowOff>10</xdr:rowOff>
              </xdr:from>
              <xdr:to>
                <xdr:col>49</xdr:col>
                <xdr:colOff>35</xdr:colOff>
                <xdr:row>34</xdr:row>
                <xdr:rowOff>5</xdr:rowOff>
              </xdr:to>
            </anchor>
          </commentPr>
        </mc:Choice>
        <mc:Fallback/>
      </mc:AlternateContent>
    </comment>
    <comment ref="AV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68.969 t (Certificado Nº186).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32</xdr:row>
                <xdr:rowOff>10</xdr:rowOff>
              </xdr:from>
              <xdr:to>
                <xdr:col>49</xdr:col>
                <xdr:colOff>8</xdr:colOff>
                <xdr:row>36</xdr:row>
                <xdr:rowOff>5</xdr:rowOff>
              </xdr:to>
            </anchor>
          </commentPr>
        </mc:Choice>
        <mc:Fallback/>
      </mc:AlternateContent>
    </comment>
    <comment ref="AV3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-158.761 t (Certificado Nº 231)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66</xdr:colOff>
                <xdr:row>34</xdr:row>
                <xdr:rowOff>10</xdr:rowOff>
              </xdr:from>
              <xdr:to>
                <xdr:col>48</xdr:col>
                <xdr:colOff>96</xdr:colOff>
                <xdr:row>36</xdr:row>
                <xdr:rowOff>10</xdr:rowOff>
              </xdr:to>
            </anchor>
          </commentPr>
        </mc:Choice>
        <mc:Fallback/>
      </mc:AlternateContent>
    </comment>
    <comment ref="AW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18 t (Certificado Nº169).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108</xdr:colOff>
                <xdr:row>4</xdr:row>
                <xdr:rowOff>64</xdr:rowOff>
              </xdr:from>
              <xdr:to>
                <xdr:col>50</xdr:col>
                <xdr:colOff>54</xdr:colOff>
                <xdr:row>7</xdr:row>
                <xdr:rowOff>10</xdr:rowOff>
              </xdr:to>
            </anchor>
          </commentPr>
        </mc:Choice>
        <mc:Fallback/>
      </mc:AlternateContent>
    </comment>
    <comment ref="AW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-0.7652 t (Certificado Nº 152).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8</xdr:row>
                <xdr:rowOff>10</xdr:rowOff>
              </xdr:from>
              <xdr:to>
                <xdr:col>49</xdr:col>
                <xdr:colOff>95</xdr:colOff>
                <xdr:row>12</xdr:row>
                <xdr:rowOff>4</xdr:rowOff>
              </xdr:to>
            </anchor>
          </commentPr>
        </mc:Choice>
        <mc:Fallback/>
      </mc:AlternateContent>
    </comment>
    <comment ref="AW1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-0.06964 t (Certificado Nº 229).
(A) Cede -0.06964 t (Certificado Nº 234).
(A) Cede -0.06964 t (Certificado Nº286).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12</xdr:row>
                <xdr:rowOff>10</xdr:rowOff>
              </xdr:from>
              <xdr:to>
                <xdr:col>49</xdr:col>
                <xdr:colOff>96</xdr:colOff>
                <xdr:row>15</xdr:row>
                <xdr:rowOff>18</xdr:rowOff>
              </xdr:to>
            </anchor>
          </commentPr>
        </mc:Choice>
        <mc:Fallback/>
      </mc:AlternateContent>
    </comment>
    <comment ref="AW1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18 t (Certificado Nº169).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14</xdr:row>
                <xdr:rowOff>10</xdr:rowOff>
              </xdr:from>
              <xdr:to>
                <xdr:col>49</xdr:col>
                <xdr:colOff>62</xdr:colOff>
                <xdr:row>16</xdr:row>
                <xdr:rowOff>10</xdr:rowOff>
              </xdr:to>
            </anchor>
          </commentPr>
        </mc:Choice>
        <mc:Fallback/>
      </mc:AlternateContent>
    </comment>
    <comment ref="AW2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-0.03478 t (Certificado Nº 219).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20</xdr:row>
                <xdr:rowOff>11</xdr:rowOff>
              </xdr:from>
              <xdr:to>
                <xdr:col>49</xdr:col>
                <xdr:colOff>104</xdr:colOff>
                <xdr:row>22</xdr:row>
                <xdr:rowOff>12</xdr:rowOff>
              </xdr:to>
            </anchor>
          </commentPr>
        </mc:Choice>
        <mc:Fallback/>
      </mc:AlternateContent>
    </comment>
    <comment ref="AW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
(A) Cede 0.0348 t (certificado Nº197).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30</xdr:row>
                <xdr:rowOff>10</xdr:rowOff>
              </xdr:from>
              <xdr:to>
                <xdr:col>50</xdr:col>
                <xdr:colOff>3</xdr:colOff>
                <xdr:row>34</xdr:row>
                <xdr:rowOff>5</xdr:rowOff>
              </xdr:to>
            </anchor>
          </commentPr>
        </mc:Choice>
        <mc:Fallback/>
      </mc:AlternateContent>
    </comment>
    <comment ref="AW3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0.7652 t (Certificado Nº 152).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36</xdr:row>
                <xdr:rowOff>10</xdr:rowOff>
              </xdr:from>
              <xdr:to>
                <xdr:col>50</xdr:col>
                <xdr:colOff>30</xdr:colOff>
                <xdr:row>38</xdr:row>
                <xdr:rowOff>10</xdr:rowOff>
              </xdr:to>
            </anchor>
          </commentPr>
        </mc:Choice>
        <mc:Fallback/>
      </mc:AlternateContent>
    </comment>
    <comment ref="AW4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0.0348 t (Certificado Nº 197).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38</xdr:row>
                <xdr:rowOff>10</xdr:rowOff>
              </xdr:from>
              <xdr:to>
                <xdr:col>50</xdr:col>
                <xdr:colOff>28</xdr:colOff>
                <xdr:row>40</xdr:row>
                <xdr:rowOff>10</xdr:rowOff>
              </xdr:to>
            </anchor>
          </commentPr>
        </mc:Choice>
        <mc:Fallback/>
      </mc:AlternateContent>
    </comment>
    <comment ref="AW4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0.03478 t (Certificado Nº 219).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40</xdr:row>
                <xdr:rowOff>10</xdr:rowOff>
              </xdr:from>
              <xdr:to>
                <xdr:col>50</xdr:col>
                <xdr:colOff>40</xdr:colOff>
                <xdr:row>42</xdr:row>
                <xdr:rowOff>10</xdr:rowOff>
              </xdr:to>
            </anchor>
          </commentPr>
        </mc:Choice>
        <mc:Fallback/>
      </mc:AlternateContent>
    </comment>
    <comment ref="AW4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0.0694 t (Certificado Nº 229).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42</xdr:row>
                <xdr:rowOff>10</xdr:rowOff>
              </xdr:from>
              <xdr:to>
                <xdr:col>50</xdr:col>
                <xdr:colOff>45</xdr:colOff>
                <xdr:row>43</xdr:row>
                <xdr:rowOff>19</xdr:rowOff>
              </xdr:to>
            </anchor>
          </commentPr>
        </mc:Choice>
        <mc:Fallback/>
      </mc:AlternateContent>
    </comment>
    <comment ref="AW4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0.06964 t (Certificado Nº 234).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44</xdr:row>
                <xdr:rowOff>10</xdr:rowOff>
              </xdr:from>
              <xdr:to>
                <xdr:col>50</xdr:col>
                <xdr:colOff>17</xdr:colOff>
                <xdr:row>46</xdr:row>
                <xdr:rowOff>10</xdr:rowOff>
              </xdr:to>
            </anchor>
          </commentPr>
        </mc:Choice>
        <mc:Fallback/>
      </mc:AlternateContent>
    </comment>
    <comment ref="AW4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0.06964 t (Certificado Nº 286).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99</xdr:colOff>
                <xdr:row>46</xdr:row>
                <xdr:rowOff>10</xdr:rowOff>
              </xdr:from>
              <xdr:to>
                <xdr:col>50</xdr:col>
                <xdr:colOff>30</xdr:colOff>
                <xdr:row>50</xdr:row>
                <xdr:rowOff>5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(IU) Incremento de 0.949 t (Certificado Nº 271)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5</xdr:row>
                <xdr:rowOff>44</xdr:rowOff>
              </xdr:from>
              <xdr:to>
                <xdr:col>9</xdr:col>
                <xdr:colOff>17</xdr:colOff>
                <xdr:row>8</xdr:row>
                <xdr:rowOff>19</xdr:rowOff>
              </xdr:to>
            </anchor>
          </commentPr>
        </mc:Choice>
        <mc:Fallback/>
      </mc:AlternateContent>
    </comment>
    <comment ref="F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(IU) Cede 0.949 t (Certificado Nº 271).
(NT) Cede 192.308 t (Resolución Nº 3178)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7</xdr:row>
                <xdr:rowOff>14</xdr:rowOff>
              </xdr:from>
              <xdr:to>
                <xdr:col>9</xdr:col>
                <xdr:colOff>22</xdr:colOff>
                <xdr:row>10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(Co) Incremento de 95 t (Certificado Nº 333).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11</xdr:row>
                <xdr:rowOff>11</xdr:rowOff>
              </xdr:from>
              <xdr:to>
                <xdr:col>8</xdr:col>
                <xdr:colOff>54</xdr:colOff>
                <xdr:row>12</xdr:row>
                <xdr:rowOff>21</xdr:rowOff>
              </xdr:to>
            </anchor>
          </commentPr>
        </mc:Choice>
        <mc:Fallback/>
      </mc:AlternateContent>
    </comment>
    <comment ref="F1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(Co) Incremento de 95 t (Certificado Nº 332).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13</xdr:row>
                <xdr:rowOff>11</xdr:rowOff>
              </xdr:from>
              <xdr:to>
                <xdr:col>8</xdr:col>
                <xdr:colOff>58</xdr:colOff>
                <xdr:row>16</xdr:row>
                <xdr:rowOff>21</xdr:rowOff>
              </xdr:to>
            </anchor>
          </commentPr>
        </mc:Choice>
        <mc:Fallback/>
      </mc:AlternateContent>
    </comment>
    <comment ref="F1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192.308 t (Resolución Nº 3178).
(Co) Cede 95 t (Certificado Nº 332).
(Co) Cede 95 t (Certificado Nº333).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15</xdr:row>
                <xdr:rowOff>11</xdr:rowOff>
              </xdr:from>
              <xdr:to>
                <xdr:col>9</xdr:col>
                <xdr:colOff>3</xdr:colOff>
                <xdr:row>18</xdr:row>
                <xdr:rowOff>18</xdr:rowOff>
              </xdr:to>
            </anchor>
          </commentPr>
        </mc:Choice>
        <mc:Fallback/>
      </mc:AlternateContent>
    </comment>
    <comment ref="F2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0.285 t (Certificado Nº 269).
(NT) Cede 18.688 t (Resolución Nº 3122)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22</xdr:row>
                <xdr:rowOff>7</xdr:rowOff>
              </xdr:from>
              <xdr:to>
                <xdr:col>8</xdr:col>
                <xdr:colOff>70</xdr:colOff>
                <xdr:row>25</xdr:row>
                <xdr:rowOff>13</xdr:rowOff>
              </xdr:to>
            </anchor>
          </commentPr>
        </mc:Choice>
        <mc:Fallback/>
      </mc:AlternateContent>
    </comment>
    <comment ref="F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0.285 t (Certificado Nº 269).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24</xdr:row>
                <xdr:rowOff>7</xdr:rowOff>
              </xdr:from>
              <xdr:to>
                <xdr:col>8</xdr:col>
                <xdr:colOff>5</xdr:colOff>
                <xdr:row>26</xdr:row>
                <xdr:rowOff>3</xdr:rowOff>
              </xdr:to>
            </anchor>
          </commentPr>
        </mc:Choice>
        <mc:Fallback/>
      </mc:AlternateContent>
    </comment>
    <comment ref="F3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18.688 t (Resolución Nº 3122).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28</xdr:row>
                <xdr:rowOff>3</xdr:rowOff>
              </xdr:from>
              <xdr:to>
                <xdr:col>9</xdr:col>
                <xdr:colOff>0</xdr:colOff>
                <xdr:row>30</xdr:row>
                <xdr:rowOff>6</xdr:rowOff>
              </xdr:to>
            </anchor>
          </commentPr>
        </mc:Choice>
        <mc:Fallback/>
      </mc:AlternateContent>
    </comment>
    <comment ref="F3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300 t (Certificado Nº 175).
(C ) Incremento de 192.829 t de artesanales (Resolución Nº916).
(A) Incremento de 276.77 t (Certificado Nº 200).
(C ) Incremento de 195.151 t de artesanales (Resolución Nº 1152).
(C ) Incremento de 164.278 t de artesanales (Resolución Nº 1510).
(C ) Incremento de 38.575 t de artesanales (Resolución Nº 2221).
(C ) Incremento de 26.13 t (Certificado Nº 280).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39</xdr:colOff>
                <xdr:row>30</xdr:row>
                <xdr:rowOff>13</xdr:rowOff>
              </xdr:from>
              <xdr:to>
                <xdr:col>10</xdr:col>
                <xdr:colOff>19</xdr:colOff>
                <xdr:row>36</xdr:row>
                <xdr:rowOff>7</xdr:rowOff>
              </xdr:to>
            </anchor>
          </commentPr>
        </mc:Choice>
        <mc:Fallback/>
      </mc:AlternateContent>
    </comment>
    <comment ref="F3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276.798 ton (Resolución Nº 730).
(A) Cede 276.77 t (Certificado Nº 200).
(IU) Cede 106.195 t (Certificado Nº 272).
(T) Incremento de 200 t (Certificado Nº 287).
(NT) Cede 166.162 t (Resolución Nº 3175)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32</xdr:row>
                <xdr:rowOff>7</xdr:rowOff>
              </xdr:from>
              <xdr:to>
                <xdr:col>9</xdr:col>
                <xdr:colOff>56</xdr:colOff>
                <xdr:row>38</xdr:row>
                <xdr:rowOff>12</xdr:rowOff>
              </xdr:to>
            </anchor>
          </commentPr>
        </mc:Choice>
        <mc:Fallback/>
      </mc:AlternateContent>
    </comment>
    <comment ref="F3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450 ton (certificado Nº 153).
Incremento de 22.13 t (Resolución Nº 725).
(C ) Incremento de 79.516 t (Resolución Nº1221).
(C ) Incremento de 32.373 de artesanales (Resolución Nº 1954).
(C ) Incremento de 39.11 t de artesanales (Resolución Nº 2441).
(C ) Incremento de 28.017 t de artesanales (Resolución Nº 2615).
(Co) Incremento de 163 t (Certificado Nº 321).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36</xdr:row>
                <xdr:rowOff>7</xdr:rowOff>
              </xdr:from>
              <xdr:to>
                <xdr:col>9</xdr:col>
                <xdr:colOff>62</xdr:colOff>
                <xdr:row>43</xdr:row>
                <xdr:rowOff>4</xdr:rowOff>
              </xdr:to>
            </anchor>
          </commentPr>
        </mc:Choice>
        <mc:Fallback/>
      </mc:AlternateContent>
    </comment>
    <comment ref="F4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450 ton (certificado nº 153).
Incremento de 627.822 ton (Resolución Nº 264)
Incremento de 135.478 ton (Resolucion Nº 540).
Incremento de 166.633 ton (Resolución Nº 455).
(A) Cede 0.75 t (Certificado Nº 192).
Incremento de 18.622 ton (Resolucion Nº 725).
(C ) Cede 26.13 ton (Certificado Nº 280)
(A) Cede 10 ton (Certificado Nº 298).
(Co) Incremento de 92 t (Certificado Nº 319).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38</xdr:row>
                <xdr:rowOff>7</xdr:rowOff>
              </xdr:from>
              <xdr:to>
                <xdr:col>9</xdr:col>
                <xdr:colOff>32</xdr:colOff>
                <xdr:row>46</xdr:row>
                <xdr:rowOff>12</xdr:rowOff>
              </xdr:to>
            </anchor>
          </commentPr>
        </mc:Choice>
        <mc:Fallback/>
      </mc:AlternateContent>
    </comment>
    <comment ref="F4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0.75 t (Certificado Nº 192)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40</xdr:row>
                <xdr:rowOff>7</xdr:rowOff>
              </xdr:from>
              <xdr:to>
                <xdr:col>8</xdr:col>
                <xdr:colOff>51</xdr:colOff>
                <xdr:row>43</xdr:row>
                <xdr:rowOff>18</xdr:rowOff>
              </xdr:to>
            </anchor>
          </commentPr>
        </mc:Choice>
        <mc:Fallback/>
      </mc:AlternateContent>
    </comment>
    <comment ref="F4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166.162 t (Resolución Nº 3175).
(Co) Cede 163 t (Certificado Nº 321).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42</xdr:row>
                <xdr:rowOff>11</xdr:rowOff>
              </xdr:from>
              <xdr:to>
                <xdr:col>8</xdr:col>
                <xdr:colOff>85</xdr:colOff>
                <xdr:row>44</xdr:row>
                <xdr:rowOff>14</xdr:rowOff>
              </xdr:to>
            </anchor>
          </commentPr>
        </mc:Choice>
        <mc:Fallback/>
      </mc:AlternateContent>
    </comment>
    <comment ref="F4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300 t (Certificado Nº 175).
(IU) Incremento de 106.195 t (Certificado Nº 272).
(A) Incremento de 10 ton (Certificado Nº 298).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46</xdr:row>
                <xdr:rowOff>12</xdr:rowOff>
              </xdr:from>
              <xdr:to>
                <xdr:col>9</xdr:col>
                <xdr:colOff>5</xdr:colOff>
                <xdr:row>49</xdr:row>
                <xdr:rowOff>13</xdr:rowOff>
              </xdr:to>
            </anchor>
          </commentPr>
        </mc:Choice>
        <mc:Fallback/>
      </mc:AlternateContent>
    </comment>
    <comment ref="F5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200 t (Certificado Nº 287).
(NT) Cede 225.649 (Resolucion Nº 3120).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49</xdr:row>
                <xdr:rowOff>11</xdr:rowOff>
              </xdr:from>
              <xdr:to>
                <xdr:col>8</xdr:col>
                <xdr:colOff>30</xdr:colOff>
                <xdr:row>52</xdr:row>
                <xdr:rowOff>10</xdr:rowOff>
              </xdr:to>
            </anchor>
          </commentPr>
        </mc:Choice>
        <mc:Fallback/>
      </mc:AlternateContent>
    </comment>
    <comment ref="F5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225.649 t (Resolución Nº3120)
(Co) Cede 92 t ( Certificado Nº 319).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55</xdr:row>
                <xdr:rowOff>11</xdr:rowOff>
              </xdr:from>
              <xdr:to>
                <xdr:col>8</xdr:col>
                <xdr:colOff>83</xdr:colOff>
                <xdr:row>58</xdr:row>
                <xdr:rowOff>21</xdr:rowOff>
              </xdr:to>
            </anchor>
          </commentPr>
        </mc:Choice>
        <mc:Fallback/>
      </mc:AlternateContent>
    </comment>
    <comment ref="F6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(IU) Cede 144.345 t (Certificado Nº 273).
(C ) Cede 714.215 t (Certificado Nº 276).
(C ) Cede 714.215 t /Certificado Nº 279).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57</xdr:row>
                <xdr:rowOff>8</xdr:rowOff>
              </xdr:from>
              <xdr:to>
                <xdr:col>8</xdr:col>
                <xdr:colOff>26</xdr:colOff>
                <xdr:row>60</xdr:row>
                <xdr:rowOff>11</xdr:rowOff>
              </xdr:to>
            </anchor>
          </commentPr>
        </mc:Choice>
        <mc:Fallback/>
      </mc:AlternateContent>
    </comment>
    <comment ref="F6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0.4 t (certificado Nº 268).
(IU) Incremento de 144.345 t (Certificado Nº 273)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61</xdr:row>
                <xdr:rowOff>0</xdr:rowOff>
              </xdr:from>
              <xdr:to>
                <xdr:col>8</xdr:col>
                <xdr:colOff>69</xdr:colOff>
                <xdr:row>63</xdr:row>
                <xdr:rowOff>11</xdr:rowOff>
              </xdr:to>
            </anchor>
          </commentPr>
        </mc:Choice>
        <mc:Fallback/>
      </mc:AlternateContent>
    </comment>
    <comment ref="F6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714.215 t (Certificado Nº 276).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63</xdr:row>
                <xdr:rowOff>0</xdr:rowOff>
              </xdr:from>
              <xdr:to>
                <xdr:col>8</xdr:col>
                <xdr:colOff>76</xdr:colOff>
                <xdr:row>64</xdr:row>
                <xdr:rowOff>16</xdr:rowOff>
              </xdr:to>
            </anchor>
          </commentPr>
        </mc:Choice>
        <mc:Fallback/>
      </mc:AlternateContent>
    </comment>
    <comment ref="F6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0.4 t (Certificado Nº 268).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65</xdr:row>
                <xdr:rowOff>0</xdr:rowOff>
              </xdr:from>
              <xdr:to>
                <xdr:col>8</xdr:col>
                <xdr:colOff>45</xdr:colOff>
                <xdr:row>66</xdr:row>
                <xdr:rowOff>11</xdr:rowOff>
              </xdr:to>
            </anchor>
          </commentPr>
        </mc:Choice>
        <mc:Fallback/>
      </mc:AlternateContent>
    </comment>
    <comment ref="F72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(A) Cede 3087.84 t (Certificado  Nº 251).
(NT) Incremento de 16.105776 t (Resolución Nº 1252).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67</xdr:row>
                <xdr:rowOff>14</xdr:rowOff>
              </xdr:from>
              <xdr:to>
                <xdr:col>9</xdr:col>
                <xdr:colOff>26</xdr:colOff>
                <xdr:row>70</xdr:row>
                <xdr:rowOff>14</xdr:rowOff>
              </xdr:to>
            </anchor>
          </commentPr>
        </mc:Choice>
        <mc:Fallback/>
      </mc:AlternateContent>
    </comment>
    <comment ref="F7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260.858 t (Certificado Nº 162).
(C ) Cede 1976.4006 (Certificado Nº158).
(A) Incremento de 0.293 t (Certificado Nº 284).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69</xdr:row>
                <xdr:rowOff>6</xdr:rowOff>
              </xdr:from>
              <xdr:to>
                <xdr:col>8</xdr:col>
                <xdr:colOff>85</xdr:colOff>
                <xdr:row>73</xdr:row>
                <xdr:rowOff>5</xdr:rowOff>
              </xdr:to>
            </anchor>
          </commentPr>
        </mc:Choice>
        <mc:Fallback/>
      </mc:AlternateContent>
    </comment>
    <comment ref="F7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-0.239 t (Certificado Nº135).
(C ) Cede 5368.1178 t (Certificado Nº 155).
(A) Incremento de 0.24 t (Certificado Nº 278).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71</xdr:row>
                <xdr:rowOff>5</xdr:rowOff>
              </xdr:from>
              <xdr:to>
                <xdr:col>9</xdr:col>
                <xdr:colOff>22</xdr:colOff>
                <xdr:row>75</xdr:row>
                <xdr:rowOff>6</xdr:rowOff>
              </xdr:to>
            </anchor>
          </commentPr>
        </mc:Choice>
        <mc:Fallback/>
      </mc:AlternateContent>
    </comment>
    <comment ref="F7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Cede 16.105776 t (Resolución Nº 1252).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73</xdr:row>
                <xdr:rowOff>7</xdr:rowOff>
              </xdr:from>
              <xdr:to>
                <xdr:col>8</xdr:col>
                <xdr:colOff>53</xdr:colOff>
                <xdr:row>75</xdr:row>
                <xdr:rowOff>6</xdr:rowOff>
              </xdr:to>
            </anchor>
          </commentPr>
        </mc:Choice>
        <mc:Fallback/>
      </mc:AlternateContent>
    </comment>
    <comment ref="F8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793.573 t (Certificado Nº 188).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75</xdr:row>
                <xdr:rowOff>5</xdr:rowOff>
              </xdr:from>
              <xdr:to>
                <xdr:col>8</xdr:col>
                <xdr:colOff>19</xdr:colOff>
                <xdr:row>77</xdr:row>
                <xdr:rowOff>6</xdr:rowOff>
              </xdr:to>
            </anchor>
          </commentPr>
        </mc:Choice>
        <mc:Fallback/>
      </mc:AlternateContent>
    </comment>
    <comment ref="F8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-1239.368 (Certificado Nº159).
(A) Cede -1239.368 (Certificado Nº160)
(A) Cede 130.46 t (Certificado Nº 255).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77</xdr:row>
                <xdr:rowOff>5</xdr:rowOff>
              </xdr:from>
              <xdr:to>
                <xdr:col>9</xdr:col>
                <xdr:colOff>32</xdr:colOff>
                <xdr:row>81</xdr:row>
                <xdr:rowOff>16</xdr:rowOff>
              </xdr:to>
            </anchor>
          </commentPr>
        </mc:Choice>
        <mc:Fallback/>
      </mc:AlternateContent>
    </comment>
    <comment ref="F8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 t (Certificado Nº 125). 
(A) Incremento de 1239.368 (Certificado Nº159).
(A) Cede -0.24 t (Certificado Nº140)
(A) Cede -0.24 t (Certificado Nº141)
(A) Cede -0.24 t (Certificado Nº142).
(A) Incremento de 126.962 t (Certificado Nº 187).
(A) Incremento de 793.573 t (Certificado Nº 188).
(A) Incremento de 61.489 t (Certificado Nº 189).
(A) Incremento de 2000 t (Certificado Nº 190).
(T) Cede 1100 t (Certificado Nº256).
(C ) Cede 680 t (Certificado Nº 257).
(T) Incremento 290 t (Certificado Nº292).
(A) Incremento de 400 t (Certificado Nº 300).
(Co) Cede 200 t (Certificado N°334)
(Co) Incremento de 80 t (Certificado N°331)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79</xdr:row>
                <xdr:rowOff>5</xdr:rowOff>
              </xdr:from>
              <xdr:to>
                <xdr:col>8</xdr:col>
                <xdr:colOff>85</xdr:colOff>
                <xdr:row>91</xdr:row>
                <xdr:rowOff>6</xdr:rowOff>
              </xdr:to>
            </anchor>
          </commentPr>
        </mc:Choice>
        <mc:Fallback/>
      </mc:AlternateContent>
    </comment>
    <comment ref="F8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-7.223 t (Certificado Nº 149).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81</xdr:row>
                <xdr:rowOff>5</xdr:rowOff>
              </xdr:from>
              <xdr:to>
                <xdr:col>8</xdr:col>
                <xdr:colOff>49</xdr:colOff>
                <xdr:row>84</xdr:row>
                <xdr:rowOff>16</xdr:rowOff>
              </xdr:to>
            </anchor>
          </commentPr>
        </mc:Choice>
        <mc:Fallback/>
      </mc:AlternateContent>
    </comment>
    <comment ref="F8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126.962 t (Certificado Nº 187).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83</xdr:row>
                <xdr:rowOff>5</xdr:rowOff>
              </xdr:from>
              <xdr:to>
                <xdr:col>7</xdr:col>
                <xdr:colOff>107</xdr:colOff>
                <xdr:row>87</xdr:row>
                <xdr:rowOff>6</xdr:rowOff>
              </xdr:to>
            </anchor>
          </commentPr>
        </mc:Choice>
        <mc:Fallback/>
      </mc:AlternateContent>
    </comment>
    <comment ref="F90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(A) Cede 226.253 t (Certificado  Nº 254).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85</xdr:row>
                <xdr:rowOff>7</xdr:rowOff>
              </xdr:from>
              <xdr:to>
                <xdr:col>7</xdr:col>
                <xdr:colOff>44</xdr:colOff>
                <xdr:row>89</xdr:row>
                <xdr:rowOff>6</xdr:rowOff>
              </xdr:to>
            </anchor>
          </commentPr>
        </mc:Choice>
        <mc:Fallback/>
      </mc:AlternateContent>
    </comment>
    <comment ref="F9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1077 t (Certificado Nº 218).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87</xdr:row>
                <xdr:rowOff>7</xdr:rowOff>
              </xdr:from>
              <xdr:to>
                <xdr:col>8</xdr:col>
                <xdr:colOff>26</xdr:colOff>
                <xdr:row>89</xdr:row>
                <xdr:rowOff>11</xdr:rowOff>
              </xdr:to>
            </anchor>
          </commentPr>
        </mc:Choice>
        <mc:Fallback/>
      </mc:AlternateContent>
    </comment>
    <comment ref="F9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7.223 t (Certificado Nº 149).
(A) Cede 700.0848 t (Certificado Nº 199)
(S) Cede 0.24077 t (Certificado Nº 205).
(S) Cede 0.24077 t (Certificado Nº 217).
(S) Cede 0.24077 t (Certificado Nº220).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89</xdr:row>
                <xdr:rowOff>5</xdr:rowOff>
              </xdr:from>
              <xdr:to>
                <xdr:col>8</xdr:col>
                <xdr:colOff>63</xdr:colOff>
                <xdr:row>95</xdr:row>
                <xdr:rowOff>6</xdr:rowOff>
              </xdr:to>
            </anchor>
          </commentPr>
        </mc:Choice>
        <mc:Fallback/>
      </mc:AlternateContent>
    </comment>
    <comment ref="F96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(A) Cede 170.725 certificado  Nº 253).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91</xdr:row>
                <xdr:rowOff>7</xdr:rowOff>
              </xdr:from>
              <xdr:to>
                <xdr:col>7</xdr:col>
                <xdr:colOff>44</xdr:colOff>
                <xdr:row>95</xdr:row>
                <xdr:rowOff>6</xdr:rowOff>
              </xdr:to>
            </anchor>
          </commentPr>
        </mc:Choice>
        <mc:Fallback/>
      </mc:AlternateContent>
    </comment>
    <comment ref="F9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-5000 t (Certificado Nº 235)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0</xdr:colOff>
                <xdr:row>93</xdr:row>
                <xdr:rowOff>7</xdr:rowOff>
              </xdr:from>
              <xdr:to>
                <xdr:col>7</xdr:col>
                <xdr:colOff>106</xdr:colOff>
                <xdr:row>97</xdr:row>
                <xdr:rowOff>6</xdr:rowOff>
              </xdr:to>
            </anchor>
          </commentPr>
        </mc:Choice>
        <mc:Fallback/>
      </mc:AlternateContent>
    </comment>
    <comment ref="F10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Cede 86.523 ton (Resolución Nº 3119)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95</xdr:row>
                <xdr:rowOff>9</xdr:rowOff>
              </xdr:from>
              <xdr:to>
                <xdr:col>8</xdr:col>
                <xdr:colOff>38</xdr:colOff>
                <xdr:row>100</xdr:row>
                <xdr:rowOff>11</xdr:rowOff>
              </xdr:to>
            </anchor>
          </commentPr>
        </mc:Choice>
        <mc:Fallback/>
      </mc:AlternateContent>
    </comment>
    <comment ref="F10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(V) Cede 61.489347 t (Resolución Nº 74)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97</xdr:row>
                <xdr:rowOff>5</xdr:rowOff>
              </xdr:from>
              <xdr:to>
                <xdr:col>7</xdr:col>
                <xdr:colOff>107</xdr:colOff>
                <xdr:row>101</xdr:row>
                <xdr:rowOff>6</xdr:rowOff>
              </xdr:to>
            </anchor>
          </commentPr>
        </mc:Choice>
        <mc:Fallback/>
      </mc:AlternateContent>
    </comment>
    <comment ref="F104" authorId="0">
      <text>
        <r>
          <rPr>
            <b val="true"/>
            <sz val="8"/>
            <color rgb="FF000000"/>
            <rFont val="Tahoma"/>
            <family val="2"/>
          </rPr>
          <t xml:space="preserve">jjorquera:
</t>
        </r>
        <r>
          <rPr>
            <sz val="8"/>
            <color rgb="FF000000"/>
            <rFont val="Tahoma"/>
            <family val="2"/>
          </rPr>
          <t xml:space="preserve">(A) Cede 63.833 t (Certificado Nº 252).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99</xdr:row>
                <xdr:rowOff>7</xdr:rowOff>
              </xdr:from>
              <xdr:to>
                <xdr:col>8</xdr:col>
                <xdr:colOff>32</xdr:colOff>
                <xdr:row>103</xdr:row>
                <xdr:rowOff>6</xdr:rowOff>
              </xdr:to>
            </anchor>
          </commentPr>
        </mc:Choice>
        <mc:Fallback/>
      </mc:AlternateContent>
    </comment>
    <comment ref="F10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1239.368 t (Certificado Nº 160).
(A) Incremento de 1700 t (Certificado Nº 193).
(C ) Incremento de 680 t (Certificado Nº 257).
(T) Incremento de 290 t (Certificado Nº 295).
(A) Incremento de 400 t (Certificado Nº 301).
(Co) Incremento de 200 t (Certificado N°334)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101</xdr:row>
                <xdr:rowOff>5</xdr:rowOff>
              </xdr:from>
              <xdr:to>
                <xdr:col>8</xdr:col>
                <xdr:colOff>76</xdr:colOff>
                <xdr:row>107</xdr:row>
                <xdr:rowOff>1</xdr:rowOff>
              </xdr:to>
            </anchor>
          </commentPr>
        </mc:Choice>
        <mc:Fallback/>
      </mc:AlternateContent>
    </comment>
    <comment ref="F10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-0.23913 t (Certificado Nº136).
(A) Cede -0.23913 t (Certificado Nº 137).
(A) Cede -1784.885 t (Certificado Nº 198)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103</xdr:row>
                <xdr:rowOff>5</xdr:rowOff>
              </xdr:from>
              <xdr:to>
                <xdr:col>8</xdr:col>
                <xdr:colOff>30</xdr:colOff>
                <xdr:row>108</xdr:row>
                <xdr:rowOff>1</xdr:rowOff>
              </xdr:to>
            </anchor>
          </commentPr>
        </mc:Choice>
        <mc:Fallback/>
      </mc:AlternateContent>
    </comment>
    <comment ref="F1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 t (Certificado Nº 125).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105</xdr:row>
                <xdr:rowOff>5</xdr:rowOff>
              </xdr:from>
              <xdr:to>
                <xdr:col>8</xdr:col>
                <xdr:colOff>5</xdr:colOff>
                <xdr:row>107</xdr:row>
                <xdr:rowOff>16</xdr:rowOff>
              </xdr:to>
            </anchor>
          </commentPr>
        </mc:Choice>
        <mc:Fallback/>
      </mc:AlternateContent>
    </comment>
    <comment ref="F11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0.239 t (Certificado Nº135).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107</xdr:row>
                <xdr:rowOff>5</xdr:rowOff>
              </xdr:from>
              <xdr:to>
                <xdr:col>8</xdr:col>
                <xdr:colOff>30</xdr:colOff>
                <xdr:row>109</xdr:row>
                <xdr:rowOff>11</xdr:rowOff>
              </xdr:to>
            </anchor>
          </commentPr>
        </mc:Choice>
        <mc:Fallback/>
      </mc:AlternateContent>
    </comment>
    <comment ref="F11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0.23913 t (Certificado Nº136).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109</xdr:row>
                <xdr:rowOff>5</xdr:rowOff>
              </xdr:from>
              <xdr:to>
                <xdr:col>8</xdr:col>
                <xdr:colOff>35</xdr:colOff>
                <xdr:row>111</xdr:row>
                <xdr:rowOff>16</xdr:rowOff>
              </xdr:to>
            </anchor>
          </commentPr>
        </mc:Choice>
        <mc:Fallback/>
      </mc:AlternateContent>
    </comment>
    <comment ref="F11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0.23913 t (Certificado Nº 137)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111</xdr:row>
                <xdr:rowOff>5</xdr:rowOff>
              </xdr:from>
              <xdr:to>
                <xdr:col>8</xdr:col>
                <xdr:colOff>35</xdr:colOff>
                <xdr:row>113</xdr:row>
                <xdr:rowOff>11</xdr:rowOff>
              </xdr:to>
            </anchor>
          </commentPr>
        </mc:Choice>
        <mc:Fallback/>
      </mc:AlternateContent>
    </comment>
    <comment ref="F11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0.24 t (certificado Nº 140).
(A) Cede 0.24 t (Certificado Nº 183)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113</xdr:row>
                <xdr:rowOff>5</xdr:rowOff>
              </xdr:from>
              <xdr:to>
                <xdr:col>8</xdr:col>
                <xdr:colOff>30</xdr:colOff>
                <xdr:row>117</xdr:row>
                <xdr:rowOff>6</xdr:rowOff>
              </xdr:to>
            </anchor>
          </commentPr>
        </mc:Choice>
        <mc:Fallback/>
      </mc:AlternateContent>
    </comment>
    <comment ref="F12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0.24 t (Certificado Nº 142).
(A) Incremento de 0.24 t (Certificado Nº 182).
(A) Incremento de 0.24 t (Certificado Nº 183)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115</xdr:row>
                <xdr:rowOff>8</xdr:rowOff>
              </xdr:from>
              <xdr:to>
                <xdr:col>9</xdr:col>
                <xdr:colOff>3</xdr:colOff>
                <xdr:row>121</xdr:row>
                <xdr:rowOff>11</xdr:rowOff>
              </xdr:to>
            </anchor>
          </commentPr>
        </mc:Choice>
        <mc:Fallback/>
      </mc:AlternateContent>
    </comment>
    <comment ref="F12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0.24 t (certificado Nº 141).
(A) Cede 0.24 t (Certificado Nº 182)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117</xdr:row>
                <xdr:rowOff>5</xdr:rowOff>
              </xdr:from>
              <xdr:to>
                <xdr:col>8</xdr:col>
                <xdr:colOff>32</xdr:colOff>
                <xdr:row>120</xdr:row>
                <xdr:rowOff>1</xdr:rowOff>
              </xdr:to>
            </anchor>
          </commentPr>
        </mc:Choice>
        <mc:Fallback/>
      </mc:AlternateContent>
    </comment>
    <comment ref="F12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260.858 t (Certificado Nº 162).
(A) Cede 2000t (Certificado Nº 190).
(C ) Incremento de 5368.1178 t (Certificado Nº 155).
(C ) Incremento de 1976.4006 t (Certificado Nº 158).
(A) Cede 1700 t (Certificado Nº 193).
(A) Incremento de 700.0848 t (Certificado Nº 199).
(A) Incremento de 1077 t (Certificado Nº 218).
(A) Cede 0.24 t (Certificado Nº 278).
(A) Cede 0.293 t (Certificado Nº 284).
(A) Cede 400 t (Certificado Nº 300)
(A) Cede 400 t (Certificado Nº 301).
(T) Incremento de 6.032 t (Certificado Nº 307).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119</xdr:row>
                <xdr:rowOff>5</xdr:rowOff>
              </xdr:from>
              <xdr:to>
                <xdr:col>8</xdr:col>
                <xdr:colOff>83</xdr:colOff>
                <xdr:row>128</xdr:row>
                <xdr:rowOff>11</xdr:rowOff>
              </xdr:to>
            </anchor>
          </commentPr>
        </mc:Choice>
        <mc:Fallback/>
      </mc:AlternateContent>
    </comment>
    <comment ref="F1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(V) Incremento de 61.489347 t (Resolución Nº 74).
(A) Cede 61.489347 t (certificado Nº 189).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121</xdr:row>
                <xdr:rowOff>5</xdr:rowOff>
              </xdr:from>
              <xdr:to>
                <xdr:col>9</xdr:col>
                <xdr:colOff>3</xdr:colOff>
                <xdr:row>124</xdr:row>
                <xdr:rowOff>1</xdr:rowOff>
              </xdr:to>
            </anchor>
          </commentPr>
        </mc:Choice>
        <mc:Fallback/>
      </mc:AlternateContent>
    </comment>
    <comment ref="F12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123</xdr:row>
                <xdr:rowOff>7</xdr:rowOff>
              </xdr:from>
              <xdr:to>
                <xdr:col>9</xdr:col>
                <xdr:colOff>70</xdr:colOff>
                <xdr:row>131</xdr:row>
                <xdr:rowOff>1</xdr:rowOff>
              </xdr:to>
            </anchor>
          </commentPr>
        </mc:Choice>
        <mc:Fallback/>
      </mc:AlternateContent>
    </comment>
    <comment ref="F13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(S) Incremento de 0.24077 t (certificado Nº 205)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125</xdr:row>
                <xdr:rowOff>7</xdr:rowOff>
              </xdr:from>
              <xdr:to>
                <xdr:col>8</xdr:col>
                <xdr:colOff>48</xdr:colOff>
                <xdr:row>129</xdr:row>
                <xdr:rowOff>6</xdr:rowOff>
              </xdr:to>
            </anchor>
          </commentPr>
        </mc:Choice>
        <mc:Fallback/>
      </mc:AlternateContent>
    </comment>
    <comment ref="F1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(S) Incremento de 0.24077 t (Certificado Nº 217).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127</xdr:row>
                <xdr:rowOff>7</xdr:rowOff>
              </xdr:from>
              <xdr:to>
                <xdr:col>8</xdr:col>
                <xdr:colOff>76</xdr:colOff>
                <xdr:row>130</xdr:row>
                <xdr:rowOff>16</xdr:rowOff>
              </xdr:to>
            </anchor>
          </commentPr>
        </mc:Choice>
        <mc:Fallback/>
      </mc:AlternateContent>
    </comment>
    <comment ref="F1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(S) Incremento de 0.24077 t (Certificado Nº 220)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129</xdr:row>
                <xdr:rowOff>7</xdr:rowOff>
              </xdr:from>
              <xdr:to>
                <xdr:col>8</xdr:col>
                <xdr:colOff>72</xdr:colOff>
                <xdr:row>134</xdr:row>
                <xdr:rowOff>1</xdr:rowOff>
              </xdr:to>
            </anchor>
          </commentPr>
        </mc:Choice>
        <mc:Fallback/>
      </mc:AlternateContent>
    </comment>
    <comment ref="F13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86.523 t (Resolución Nº 3119)
(Co) Cede -80 t (Certificado N°331)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131</xdr:row>
                <xdr:rowOff>9</xdr:rowOff>
              </xdr:from>
              <xdr:to>
                <xdr:col>8</xdr:col>
                <xdr:colOff>85</xdr:colOff>
                <xdr:row>137</xdr:row>
                <xdr:rowOff>11</xdr:rowOff>
              </xdr:to>
            </anchor>
          </commentPr>
        </mc:Choice>
        <mc:Fallback/>
      </mc:AlternateContent>
    </comment>
    <comment ref="F13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(Co) Cede 6.032 t (Certificado Nº 297).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137</xdr:row>
                <xdr:rowOff>11</xdr:rowOff>
              </xdr:from>
              <xdr:to>
                <xdr:col>8</xdr:col>
                <xdr:colOff>28</xdr:colOff>
                <xdr:row>142</xdr:row>
                <xdr:rowOff>6</xdr:rowOff>
              </xdr:to>
            </anchor>
          </commentPr>
        </mc:Choice>
        <mc:Fallback/>
      </mc:AlternateContent>
    </comment>
    <comment ref="F14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1784.885 t (Certificado Nº 198).
(A) Incremento de 5000 t (Certificado Nº 235).
(A) Incrementa 3087.84 t (Certificado Nº 251).
(A) Incrementa  63.833 t (certificado  Nº 252).
(A) Incrementa  170.725 t (certificado  Nº 253).
(A) Incrementa  226.253 t (certificado Nº 254).
(A)Incrementa 130.46 t (certificado Nº 255).
(C ) Cede 937 t (Certificado Nº 263).
(C ) Cede 1777 t (Certificado Nº 264).
(IU) Cede 234.949 t (Certificado Nº 274).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137</xdr:row>
                <xdr:rowOff>11</xdr:rowOff>
              </xdr:from>
              <xdr:to>
                <xdr:col>9</xdr:col>
                <xdr:colOff>30</xdr:colOff>
                <xdr:row>154</xdr:row>
                <xdr:rowOff>10</xdr:rowOff>
              </xdr:to>
            </anchor>
          </commentPr>
        </mc:Choice>
        <mc:Fallback/>
      </mc:AlternateContent>
    </comment>
    <comment ref="F14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1100 t (Certificado Nº 256).
(C ) Incremento de 937 t (Certificado Nº 263).
(A) Incremento de 500 ton (Certificado Nº 281).
(T) Cede 290 ton (Certificado Nº 292).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7</xdr:colOff>
                <xdr:row>137</xdr:row>
                <xdr:rowOff>11</xdr:rowOff>
              </xdr:from>
              <xdr:to>
                <xdr:col>9</xdr:col>
                <xdr:colOff>88</xdr:colOff>
                <xdr:row>148</xdr:row>
                <xdr:rowOff>6</xdr:rowOff>
              </xdr:to>
            </anchor>
          </commentPr>
        </mc:Choice>
        <mc:Fallback/>
      </mc:AlternateContent>
    </comment>
    <comment ref="F14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0.4 t (Certificado Nº 267).
(IU) Incremento de 234.949 t (Certificado Nº 274).
(A) Cede 500 ton (Certificado Nº 281)
(NT) Cede 353.354 t (Resolución Nº 3177).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140</xdr:row>
                <xdr:rowOff>14</xdr:rowOff>
              </xdr:from>
              <xdr:to>
                <xdr:col>8</xdr:col>
                <xdr:colOff>78</xdr:colOff>
                <xdr:row>144</xdr:row>
                <xdr:rowOff>16</xdr:rowOff>
              </xdr:to>
            </anchor>
          </commentPr>
        </mc:Choice>
        <mc:Fallback/>
      </mc:AlternateContent>
    </comment>
    <comment ref="F14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1777 t (Certificado Nº 264).
(T) Cede 200 ton (Certificado Nº 295)
(Co) Incremento de 353.35 t (Certificado Nº 308 mod Nº 324).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30</xdr:colOff>
                <xdr:row>143</xdr:row>
                <xdr:rowOff>14</xdr:rowOff>
              </xdr:from>
              <xdr:to>
                <xdr:col>9</xdr:col>
                <xdr:colOff>74</xdr:colOff>
                <xdr:row>147</xdr:row>
                <xdr:rowOff>10</xdr:rowOff>
              </xdr:to>
            </anchor>
          </commentPr>
        </mc:Choice>
        <mc:Fallback/>
      </mc:AlternateContent>
    </comment>
    <comment ref="F14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0.4 t (Certificado Nº 267).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143</xdr:row>
                <xdr:rowOff>11</xdr:rowOff>
              </xdr:from>
              <xdr:to>
                <xdr:col>8</xdr:col>
                <xdr:colOff>53</xdr:colOff>
                <xdr:row>145</xdr:row>
                <xdr:rowOff>6</xdr:rowOff>
              </xdr:to>
            </anchor>
          </commentPr>
        </mc:Choice>
        <mc:Fallback/>
      </mc:AlternateContent>
    </comment>
    <comment ref="F15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(Co) Incremento de 6.032 t (Certificado Nº 297).
(T) Cede 6.032 t (Certificado Nº 307).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146</xdr:row>
                <xdr:rowOff>9</xdr:rowOff>
              </xdr:from>
              <xdr:to>
                <xdr:col>8</xdr:col>
                <xdr:colOff>67</xdr:colOff>
                <xdr:row>154</xdr:row>
                <xdr:rowOff>10</xdr:rowOff>
              </xdr:to>
            </anchor>
          </commentPr>
        </mc:Choice>
        <mc:Fallback/>
      </mc:AlternateContent>
    </comment>
    <comment ref="F15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353.354 t (Resolución Nº 3177).
(Co) Cede 353.35 t (Certificado Nº 308 mod Nº324).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150</xdr:row>
                <xdr:rowOff>9</xdr:rowOff>
              </xdr:from>
              <xdr:to>
                <xdr:col>9</xdr:col>
                <xdr:colOff>0</xdr:colOff>
                <xdr:row>154</xdr:row>
                <xdr:rowOff>3</xdr:rowOff>
              </xdr:to>
            </anchor>
          </commentPr>
        </mc:Choice>
        <mc:Fallback/>
      </mc:AlternateContent>
    </comment>
    <comment ref="F15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94.701 t (Certificado Nº 266).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150</xdr:row>
                <xdr:rowOff>11</xdr:rowOff>
              </xdr:from>
              <xdr:to>
                <xdr:col>8</xdr:col>
                <xdr:colOff>19</xdr:colOff>
                <xdr:row>154</xdr:row>
                <xdr:rowOff>10</xdr:rowOff>
              </xdr:to>
            </anchor>
          </commentPr>
        </mc:Choice>
        <mc:Fallback/>
      </mc:AlternateContent>
    </comment>
    <comment ref="F15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19.544 t (Certificado Nº 179).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154</xdr:row>
                <xdr:rowOff>10</xdr:rowOff>
              </xdr:from>
              <xdr:to>
                <xdr:col>7</xdr:col>
                <xdr:colOff>99</xdr:colOff>
                <xdr:row>162</xdr:row>
                <xdr:rowOff>5</xdr:rowOff>
              </xdr:to>
            </anchor>
          </commentPr>
        </mc:Choice>
        <mc:Fallback/>
      </mc:AlternateContent>
    </comment>
    <comment ref="F16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-0.11166 t (Certificado Nº134).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154</xdr:row>
                <xdr:rowOff>10</xdr:rowOff>
              </xdr:from>
              <xdr:to>
                <xdr:col>7</xdr:col>
                <xdr:colOff>106</xdr:colOff>
                <xdr:row>159</xdr:row>
                <xdr:rowOff>16</xdr:rowOff>
              </xdr:to>
            </anchor>
          </commentPr>
        </mc:Choice>
        <mc:Fallback/>
      </mc:AlternateContent>
    </comment>
    <comment ref="F16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3298.995 t (certificado Nº 163).
(C ) Incremento de 0.1117 t (Certificado Nº 283).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155</xdr:row>
                <xdr:rowOff>16</xdr:rowOff>
              </xdr:from>
              <xdr:to>
                <xdr:col>8</xdr:col>
                <xdr:colOff>62</xdr:colOff>
                <xdr:row>160</xdr:row>
                <xdr:rowOff>1</xdr:rowOff>
              </xdr:to>
            </anchor>
          </commentPr>
        </mc:Choice>
        <mc:Fallback/>
      </mc:AlternateContent>
    </comment>
    <comment ref="F16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-3466.444 t (Certificado Nº154).
(A) Incremento de 0.112 t (Certificado Nº 277).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157</xdr:row>
                <xdr:rowOff>16</xdr:rowOff>
              </xdr:from>
              <xdr:to>
                <xdr:col>8</xdr:col>
                <xdr:colOff>67</xdr:colOff>
                <xdr:row>160</xdr:row>
                <xdr:rowOff>6</xdr:rowOff>
              </xdr:to>
            </anchor>
          </commentPr>
        </mc:Choice>
        <mc:Fallback/>
      </mc:AlternateContent>
    </comment>
    <comment ref="F16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189.4568 t (Certificado Nº 161). (A) Incremento de 189.99953 t (Certificado Nº 170).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159</xdr:row>
                <xdr:rowOff>16</xdr:rowOff>
              </xdr:from>
              <xdr:to>
                <xdr:col>8</xdr:col>
                <xdr:colOff>49</xdr:colOff>
                <xdr:row>163</xdr:row>
                <xdr:rowOff>16</xdr:rowOff>
              </xdr:to>
            </anchor>
          </commentPr>
        </mc:Choice>
        <mc:Fallback/>
      </mc:AlternateContent>
    </comment>
    <comment ref="F16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59.3618 t (certificado Nº 221)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161</xdr:row>
                <xdr:rowOff>18</xdr:rowOff>
              </xdr:from>
              <xdr:to>
                <xdr:col>9</xdr:col>
                <xdr:colOff>3</xdr:colOff>
                <xdr:row>165</xdr:row>
                <xdr:rowOff>16</xdr:rowOff>
              </xdr:to>
            </anchor>
          </commentPr>
        </mc:Choice>
        <mc:Fallback/>
      </mc:AlternateContent>
    </comment>
    <comment ref="F17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19.544 t (Certificado Nº 172).
(A) Incremento de 328 t (Certificado Nº 173).
(A) Incremento de 155.675 t (Certificado Nº 174). 
(A) Incremento de 19.544 t (Certificado Nº 179).
(C ) Incremento de 15.3 t (Resolución Nº 1618).
(A) Incremento de 94.701 (certificado Nº 266)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163</xdr:row>
                <xdr:rowOff>16</xdr:rowOff>
              </xdr:from>
              <xdr:to>
                <xdr:col>8</xdr:col>
                <xdr:colOff>83</xdr:colOff>
                <xdr:row>169</xdr:row>
                <xdr:rowOff>6</xdr:rowOff>
              </xdr:to>
            </anchor>
          </commentPr>
        </mc:Choice>
        <mc:Fallback/>
      </mc:AlternateContent>
    </comment>
    <comment ref="F17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189.99953 t (Certificado Nº 170).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165</xdr:row>
                <xdr:rowOff>16</xdr:rowOff>
              </xdr:from>
              <xdr:to>
                <xdr:col>8</xdr:col>
                <xdr:colOff>30</xdr:colOff>
                <xdr:row>168</xdr:row>
                <xdr:rowOff>6</xdr:rowOff>
              </xdr:to>
            </anchor>
          </commentPr>
        </mc:Choice>
        <mc:Fallback/>
      </mc:AlternateContent>
    </comment>
    <comment ref="F17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328 t (Certificado Nº 173).
(C) Cede 2 t a artesanales (Resolución N°3338)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167</xdr:row>
                <xdr:rowOff>16</xdr:rowOff>
              </xdr:from>
              <xdr:to>
                <xdr:col>8</xdr:col>
                <xdr:colOff>78</xdr:colOff>
                <xdr:row>171</xdr:row>
                <xdr:rowOff>6</xdr:rowOff>
              </xdr:to>
            </anchor>
          </commentPr>
        </mc:Choice>
        <mc:Fallback/>
      </mc:AlternateContent>
    </comment>
    <comment ref="F17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-10 t (Certificado Nº 124). 
(A) Cede -0.177 t (Certificado Nº 131).
(A) Cede -0.111 t (Certificado Nº 143).
(A) Cede -0.111 t (Certificado Nº 144).
(A) Cede -1 000t (Certificado Nº 191).
(Co) Incrementa 140 t (Certificado N°327)
(Co) Incremento de 64.11 t (Certificado Nº326).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169</xdr:row>
                <xdr:rowOff>16</xdr:rowOff>
              </xdr:from>
              <xdr:to>
                <xdr:col>8</xdr:col>
                <xdr:colOff>83</xdr:colOff>
                <xdr:row>176</xdr:row>
                <xdr:rowOff>16</xdr:rowOff>
              </xdr:to>
            </anchor>
          </commentPr>
        </mc:Choice>
        <mc:Fallback/>
      </mc:AlternateContent>
    </comment>
    <comment ref="F17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19.544 t (certificado Nº 172).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171</xdr:row>
                <xdr:rowOff>16</xdr:rowOff>
              </xdr:from>
              <xdr:to>
                <xdr:col>7</xdr:col>
                <xdr:colOff>100</xdr:colOff>
                <xdr:row>173</xdr:row>
                <xdr:rowOff>16</xdr:rowOff>
              </xdr:to>
            </anchor>
          </commentPr>
        </mc:Choice>
        <mc:Fallback/>
      </mc:AlternateContent>
    </comment>
    <comment ref="F18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Cede 65.433877 ton (Resolucion Nº 1867 y 1868).
(A) Cede 744 ton (Certificado Nº 285).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48</xdr:colOff>
                <xdr:row>173</xdr:row>
                <xdr:rowOff>9</xdr:rowOff>
              </xdr:from>
              <xdr:to>
                <xdr:col>9</xdr:col>
                <xdr:colOff>88</xdr:colOff>
                <xdr:row>177</xdr:row>
                <xdr:rowOff>6</xdr:rowOff>
              </xdr:to>
            </anchor>
          </commentPr>
        </mc:Choice>
        <mc:Fallback/>
      </mc:AlternateContent>
    </comment>
    <comment ref="F18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189.4568 t (Certificado Nº161).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177</xdr:row>
                <xdr:rowOff>16</xdr:rowOff>
              </xdr:from>
              <xdr:to>
                <xdr:col>8</xdr:col>
                <xdr:colOff>3</xdr:colOff>
                <xdr:row>181</xdr:row>
                <xdr:rowOff>16</xdr:rowOff>
              </xdr:to>
            </anchor>
          </commentPr>
        </mc:Choice>
        <mc:Fallback/>
      </mc:AlternateContent>
    </comment>
    <comment ref="F18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59.3618 t (Certificado Nº 221).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179</xdr:row>
                <xdr:rowOff>18</xdr:rowOff>
              </xdr:from>
              <xdr:to>
                <xdr:col>8</xdr:col>
                <xdr:colOff>16</xdr:colOff>
                <xdr:row>182</xdr:row>
                <xdr:rowOff>1</xdr:rowOff>
              </xdr:to>
            </anchor>
          </commentPr>
        </mc:Choice>
        <mc:Fallback/>
      </mc:AlternateContent>
    </comment>
    <comment ref="F18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65.433877 ton (Resolucion Nº 1867 y 1868)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182</xdr:row>
                <xdr:rowOff>0</xdr:rowOff>
              </xdr:from>
              <xdr:to>
                <xdr:col>7</xdr:col>
                <xdr:colOff>44</xdr:colOff>
                <xdr:row>185</xdr:row>
                <xdr:rowOff>16</xdr:rowOff>
              </xdr:to>
            </anchor>
          </commentPr>
        </mc:Choice>
        <mc:Fallback/>
      </mc:AlternateContent>
    </comment>
    <comment ref="F19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Cede 64.108 t (Resolución Nº 3121).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185</xdr:row>
                <xdr:rowOff>9</xdr:rowOff>
              </xdr:from>
              <xdr:to>
                <xdr:col>8</xdr:col>
                <xdr:colOff>30</xdr:colOff>
                <xdr:row>187</xdr:row>
                <xdr:rowOff>11</xdr:rowOff>
              </xdr:to>
            </anchor>
          </commentPr>
        </mc:Choice>
        <mc:Fallback/>
      </mc:AlternateContent>
    </comment>
    <comment ref="F19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155.675 t (Certificado Nº 174)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185</xdr:row>
                <xdr:rowOff>16</xdr:rowOff>
              </xdr:from>
              <xdr:to>
                <xdr:col>7</xdr:col>
                <xdr:colOff>106</xdr:colOff>
                <xdr:row>188</xdr:row>
                <xdr:rowOff>11</xdr:rowOff>
              </xdr:to>
            </anchor>
          </commentPr>
        </mc:Choice>
        <mc:Fallback/>
      </mc:AlternateContent>
    </comment>
    <comment ref="F194" authorId="0">
      <text>
        <r>
          <rPr>
            <b val="true"/>
            <sz val="8"/>
            <color rgb="FF000000"/>
            <rFont val="Tahoma"/>
            <family val="2"/>
          </rPr>
          <t xml:space="preserve">mmendoza:
 </t>
        </r>
        <r>
          <rPr>
            <sz val="8"/>
            <color rgb="FF000000"/>
            <rFont val="Tahoma"/>
            <family val="2"/>
          </rPr>
          <t xml:space="preserve">(Co) Cede 140 t (Certificado N°327)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189</xdr:row>
                <xdr:rowOff>9</xdr:rowOff>
              </xdr:from>
              <xdr:to>
                <xdr:col>8</xdr:col>
                <xdr:colOff>8</xdr:colOff>
                <xdr:row>193</xdr:row>
                <xdr:rowOff>6</xdr:rowOff>
              </xdr:to>
            </anchor>
          </commentPr>
        </mc:Choice>
        <mc:Fallback/>
      </mc:AlternateContent>
    </comment>
    <comment ref="F19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10 t (Certificado Nº 124).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189</xdr:row>
                <xdr:rowOff>16</xdr:rowOff>
              </xdr:from>
              <xdr:to>
                <xdr:col>8</xdr:col>
                <xdr:colOff>30</xdr:colOff>
                <xdr:row>193</xdr:row>
                <xdr:rowOff>16</xdr:rowOff>
              </xdr:to>
            </anchor>
          </commentPr>
        </mc:Choice>
        <mc:Fallback/>
      </mc:AlternateContent>
    </comment>
    <comment ref="F19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0.177 t (Certificado Nº 131).
(A) Incremento de 0.111 t (Certificado Nº 180).
(A) Incremento de 0.111 t (Certificado Nº 181)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191</xdr:row>
                <xdr:rowOff>16</xdr:rowOff>
              </xdr:from>
              <xdr:to>
                <xdr:col>8</xdr:col>
                <xdr:colOff>30</xdr:colOff>
                <xdr:row>195</xdr:row>
                <xdr:rowOff>6</xdr:rowOff>
              </xdr:to>
            </anchor>
          </commentPr>
        </mc:Choice>
        <mc:Fallback/>
      </mc:AlternateContent>
    </comment>
    <comment ref="F20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0.11166 t (Certificado Nº134).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193</xdr:row>
                <xdr:rowOff>16</xdr:rowOff>
              </xdr:from>
              <xdr:to>
                <xdr:col>8</xdr:col>
                <xdr:colOff>30</xdr:colOff>
                <xdr:row>195</xdr:row>
                <xdr:rowOff>16</xdr:rowOff>
              </xdr:to>
            </anchor>
          </commentPr>
        </mc:Choice>
        <mc:Fallback/>
      </mc:AlternateContent>
    </comment>
    <comment ref="F20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0.111 t (Certificado Nº143).
(A) Cede 0.111 t (Certificado Nº 181)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195</xdr:row>
                <xdr:rowOff>16</xdr:rowOff>
              </xdr:from>
              <xdr:to>
                <xdr:col>8</xdr:col>
                <xdr:colOff>21</xdr:colOff>
                <xdr:row>198</xdr:row>
                <xdr:rowOff>1</xdr:rowOff>
              </xdr:to>
            </anchor>
          </commentPr>
        </mc:Choice>
        <mc:Fallback/>
      </mc:AlternateContent>
    </comment>
    <comment ref="F20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0.111 t (certificado Nº144).
(A) Cede 0.111 t (Certificado Nº 180).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197</xdr:row>
                <xdr:rowOff>15</xdr:rowOff>
              </xdr:from>
              <xdr:to>
                <xdr:col>8</xdr:col>
                <xdr:colOff>67</xdr:colOff>
                <xdr:row>200</xdr:row>
                <xdr:rowOff>6</xdr:rowOff>
              </xdr:to>
            </anchor>
          </commentPr>
        </mc:Choice>
        <mc:Fallback/>
      </mc:AlternateContent>
    </comment>
    <comment ref="F20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3466.444 t (certificado Nº154).
(A) Incremento de 1000 t (Certificado Nº 191).
(A) Incremento de 3298.995 t (Certificado Nº163).
(A) Cede 0.78162 t (Certificado Nº 225).
(A) Cede 0.11166 t (Certificado Nº 227).
(A) Cede 0.117 t (Certificado Nº  230).
(A) Cede 0.112 t (Certificado Nº 277).
(A ) Cede 0.1117 t (Certificado Nº 283).
(A) Incremento de 744 t (Certificado Nº285).
(A) Cede -10.05 t (Certificado Nº 294).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199</xdr:row>
                <xdr:rowOff>15</xdr:rowOff>
              </xdr:from>
              <xdr:to>
                <xdr:col>8</xdr:col>
                <xdr:colOff>70</xdr:colOff>
                <xdr:row>207</xdr:row>
                <xdr:rowOff>15</xdr:rowOff>
              </xdr:to>
            </anchor>
          </commentPr>
        </mc:Choice>
        <mc:Fallback/>
      </mc:AlternateContent>
    </comment>
    <comment ref="F20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0.78162 t (Certificado Nº 225).
(A) Incremento de 10.05 t (Certificado Nº 294).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201</xdr:row>
                <xdr:rowOff>18</xdr:rowOff>
              </xdr:from>
              <xdr:to>
                <xdr:col>8</xdr:col>
                <xdr:colOff>74</xdr:colOff>
                <xdr:row>204</xdr:row>
                <xdr:rowOff>6</xdr:rowOff>
              </xdr:to>
            </anchor>
          </commentPr>
        </mc:Choice>
        <mc:Fallback/>
      </mc:AlternateContent>
    </comment>
    <comment ref="F2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0.11166 t (Certificado Nº227).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203</xdr:row>
                <xdr:rowOff>18</xdr:rowOff>
              </xdr:from>
              <xdr:to>
                <xdr:col>8</xdr:col>
                <xdr:colOff>67</xdr:colOff>
                <xdr:row>205</xdr:row>
                <xdr:rowOff>15</xdr:rowOff>
              </xdr:to>
            </anchor>
          </commentPr>
        </mc:Choice>
        <mc:Fallback/>
      </mc:AlternateContent>
    </comment>
    <comment ref="F21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0.1117 t (Certificado Nº 230).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205</xdr:row>
                <xdr:rowOff>18</xdr:rowOff>
              </xdr:from>
              <xdr:to>
                <xdr:col>8</xdr:col>
                <xdr:colOff>67</xdr:colOff>
                <xdr:row>208</xdr:row>
                <xdr:rowOff>1</xdr:rowOff>
              </xdr:to>
            </anchor>
          </commentPr>
        </mc:Choice>
        <mc:Fallback/>
      </mc:AlternateContent>
    </comment>
    <comment ref="F21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(NT) Incremento de 64.108 t (Resolución Nº 3121).
(Co) Cede 64.11 t (Certificado Nº 326).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209</xdr:row>
                <xdr:rowOff>9</xdr:rowOff>
              </xdr:from>
              <xdr:to>
                <xdr:col>9</xdr:col>
                <xdr:colOff>16</xdr:colOff>
                <xdr:row>213</xdr:row>
                <xdr:rowOff>6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Modificada por D.Ex. Nº 114-14.
Modificado por D.Ex  Nº 569-14.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141</xdr:colOff>
                <xdr:row>2</xdr:row>
                <xdr:rowOff>8</xdr:rowOff>
              </xdr:from>
              <xdr:to>
                <xdr:col>2</xdr:col>
                <xdr:colOff>54</xdr:colOff>
                <xdr:row>5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<sst xmlns="http://schemas.openxmlformats.org/spreadsheetml/2006/main" count="1067" uniqueCount="486">
  <si>
    <t xml:space="preserve">Informe </t>
  </si>
  <si>
    <t xml:space="preserve">Resumen LTP 2014</t>
  </si>
  <si>
    <t xml:space="preserve">Al 31 de Diciembre de 2014</t>
  </si>
  <si>
    <t xml:space="preserve">Unidad de Pesquería</t>
  </si>
  <si>
    <t xml:space="preserve">Zona</t>
  </si>
  <si>
    <t xml:space="preserve">Cuota LTP D.Ex Nº 3789</t>
  </si>
  <si>
    <t xml:space="preserve">Arriendos u otro</t>
  </si>
  <si>
    <t xml:space="preserve">Cuota Final </t>
  </si>
  <si>
    <t xml:space="preserve">Desembarque total (t)</t>
  </si>
  <si>
    <t xml:space="preserve">Aguas internacionales</t>
  </si>
  <si>
    <t xml:space="preserve">Saldo total (t)</t>
  </si>
  <si>
    <t xml:space="preserve">% consumido 2014</t>
  </si>
  <si>
    <t xml:space="preserve">Anchoveta</t>
  </si>
  <si>
    <t xml:space="preserve">XV- I - II</t>
  </si>
  <si>
    <t xml:space="preserve">III - IV</t>
  </si>
  <si>
    <t xml:space="preserve">V - X</t>
  </si>
  <si>
    <t xml:space="preserve">Camarón nailon</t>
  </si>
  <si>
    <t xml:space="preserve">II-VIII</t>
  </si>
  <si>
    <t xml:space="preserve">Congrio dorado</t>
  </si>
  <si>
    <t xml:space="preserve">NE F + H</t>
  </si>
  <si>
    <t xml:space="preserve"> SE</t>
  </si>
  <si>
    <t xml:space="preserve">Jurel</t>
  </si>
  <si>
    <t xml:space="preserve">XV - I - II</t>
  </si>
  <si>
    <t xml:space="preserve">V - IX</t>
  </si>
  <si>
    <t xml:space="preserve">XIV - X</t>
  </si>
  <si>
    <t xml:space="preserve">Langostino amarillo</t>
  </si>
  <si>
    <t xml:space="preserve">III-IV</t>
  </si>
  <si>
    <t xml:space="preserve">Langostino colorado</t>
  </si>
  <si>
    <t xml:space="preserve">I -IV</t>
  </si>
  <si>
    <t xml:space="preserve">Merluza común</t>
  </si>
  <si>
    <t xml:space="preserve">IV- 41º 28, 6</t>
  </si>
  <si>
    <t xml:space="preserve">Merluza de cola</t>
  </si>
  <si>
    <t xml:space="preserve">V -X </t>
  </si>
  <si>
    <t xml:space="preserve">XI -XII</t>
  </si>
  <si>
    <t xml:space="preserve">Merluza de tres aletas</t>
  </si>
  <si>
    <t xml:space="preserve">41º28,6 - XII</t>
  </si>
  <si>
    <t xml:space="preserve">Merluza del sur</t>
  </si>
  <si>
    <t xml:space="preserve">Sardina común</t>
  </si>
  <si>
    <t xml:space="preserve">V -X</t>
  </si>
  <si>
    <t xml:space="preserve">Sardina española</t>
  </si>
  <si>
    <t xml:space="preserve">Nota: desembarque aguas internacionales Jurel desde III a X regiones, esta incorporado en la columna de desembarque total, solo se incorpora el dato para tenerlo de referencia</t>
  </si>
  <si>
    <r>
      <rPr>
        <b val="true"/>
        <sz val="18"/>
        <rFont val="Calibri"/>
        <family val="2"/>
      </rPr>
      <t xml:space="preserve">2014. CUOTAS LTP Y SU CONSUMO DE </t>
    </r>
    <r>
      <rPr>
        <b val="true"/>
        <sz val="18"/>
        <color rgb="FFFFFF00"/>
        <rFont val="Calibri"/>
        <family val="2"/>
      </rPr>
      <t xml:space="preserve">RECURSOS PELÁGICOS</t>
    </r>
    <r>
      <rPr>
        <b val="true"/>
        <sz val="18"/>
        <rFont val="Calibri"/>
        <family val="2"/>
      </rPr>
      <t xml:space="preserve">      al 31 de diciembre de 2014</t>
    </r>
  </si>
  <si>
    <t xml:space="preserve">Periodo</t>
  </si>
  <si>
    <t xml:space="preserve">Cuota (t)</t>
  </si>
  <si>
    <t xml:space="preserve">Operación</t>
  </si>
  <si>
    <t xml:space="preserve">Global </t>
  </si>
  <si>
    <t xml:space="preserve">Unidad de pesquería </t>
  </si>
  <si>
    <t xml:space="preserve">Titular de cuota LTP</t>
  </si>
  <si>
    <t xml:space="preserve">Inicial</t>
  </si>
  <si>
    <t xml:space="preserve">Final </t>
  </si>
  <si>
    <t xml:space="preserve">Cuota Asignada </t>
  </si>
  <si>
    <t xml:space="preserve">Traspaso, Cesion, Arriendo, etc)</t>
  </si>
  <si>
    <t xml:space="preserve">Cuota Efectiva</t>
  </si>
  <si>
    <t xml:space="preserve">Desembarque (t)</t>
  </si>
  <si>
    <t xml:space="preserve">Saldo (t)</t>
  </si>
  <si>
    <t xml:space="preserve">% consumido</t>
  </si>
  <si>
    <t xml:space="preserve">Anchoveta XV - I - II</t>
  </si>
  <si>
    <t xml:space="preserve">Arica Seafood Producer S.A.</t>
  </si>
  <si>
    <t xml:space="preserve">Camanchaca S.A. Cia. Pesq.</t>
  </si>
  <si>
    <t xml:space="preserve">Corpesca S.A.</t>
  </si>
  <si>
    <t xml:space="preserve">Orizón S.A</t>
  </si>
  <si>
    <t xml:space="preserve">Anchoveta III - IV</t>
  </si>
  <si>
    <t xml:space="preserve">Alimentos Marinos S.A., </t>
  </si>
  <si>
    <t xml:space="preserve">Bahia Caldera S.A. Pesq.</t>
  </si>
  <si>
    <t xml:space="preserve">Blumar S.A.</t>
  </si>
  <si>
    <t xml:space="preserve">Camanchaca S.A. Cia. Pesq. </t>
  </si>
  <si>
    <t xml:space="preserve">Corpesca S.A., </t>
  </si>
  <si>
    <t xml:space="preserve">Inversiones Pesqueras S.A.</t>
  </si>
  <si>
    <t xml:space="preserve">Orizón S.A.</t>
  </si>
  <si>
    <t xml:space="preserve">Camanchaca Pesca Sur S.A.</t>
  </si>
  <si>
    <t xml:space="preserve">Centro Sur Pesq. S.A.</t>
  </si>
  <si>
    <t xml:space="preserve">Landes S.A.</t>
  </si>
  <si>
    <t xml:space="preserve">Anchoveta V-X</t>
  </si>
  <si>
    <t xml:space="preserve">Alimentos Marinos S.A.</t>
  </si>
  <si>
    <t xml:space="preserve">Berta Elena Ltda. Soc. Pesq.</t>
  </si>
  <si>
    <t xml:space="preserve">Centro Sur S.A. Pesq.</t>
  </si>
  <si>
    <t xml:space="preserve">Foodcorp S.A.</t>
  </si>
  <si>
    <t xml:space="preserve">Genmar Ltda. Soc. Pesq. </t>
  </si>
  <si>
    <t xml:space="preserve">Inostroza Concha Pelantaro</t>
  </si>
  <si>
    <t xml:space="preserve">Inversiones Pesqueras S.A. </t>
  </si>
  <si>
    <t xml:space="preserve">Isla Quihua S.A. Pesq.</t>
  </si>
  <si>
    <t xml:space="preserve">Landes S.A. Soc. Pesq.</t>
  </si>
  <si>
    <t xml:space="preserve">Lota Protein S.A.</t>
  </si>
  <si>
    <t xml:space="preserve">Mar profundo S.A. Soc. Pesq.</t>
  </si>
  <si>
    <t xml:space="preserve">Salmoalimentos S.A. </t>
  </si>
  <si>
    <t xml:space="preserve">San Antonio S.A. Pesq. </t>
  </si>
  <si>
    <t xml:space="preserve">Inversiones Santana SpA.</t>
  </si>
  <si>
    <t xml:space="preserve">Jurel XV-I-II</t>
  </si>
  <si>
    <t xml:space="preserve">Corpesca S.A. </t>
  </si>
  <si>
    <t xml:space="preserve">Jurel III - IV</t>
  </si>
  <si>
    <t xml:space="preserve">Arica Seafood Producer S.A</t>
  </si>
  <si>
    <t xml:space="preserve">Camanchaca S.A. CIA. Pesq.</t>
  </si>
  <si>
    <t xml:space="preserve">Isladamas S.A. Pesq.</t>
  </si>
  <si>
    <t xml:space="preserve">Pesquera Litoral SpA;</t>
  </si>
  <si>
    <t xml:space="preserve">Jurel V-IX</t>
  </si>
  <si>
    <t xml:space="preserve">Desembarques en Coronel y un par en san Vicente </t>
  </si>
  <si>
    <t xml:space="preserve">Da Venezia Retamales Antonio. </t>
  </si>
  <si>
    <t xml:space="preserve">Enfemar Ltda. Soc. Pesq.</t>
  </si>
  <si>
    <t xml:space="preserve">Desembarques todos en coronel </t>
  </si>
  <si>
    <t xml:space="preserve">Lota protein S.A.</t>
  </si>
  <si>
    <t xml:space="preserve">Nordio Ltda. Soc.</t>
  </si>
  <si>
    <t xml:space="preserve">Salmoalimentos S.A.</t>
  </si>
  <si>
    <t xml:space="preserve">San Antonio S.A. Pesq.</t>
  </si>
  <si>
    <t xml:space="preserve">Sur Austral S.A. Pesq.</t>
  </si>
  <si>
    <t xml:space="preserve">Inversiones Santa Victoria SpA.</t>
  </si>
  <si>
    <t xml:space="preserve">Adustinas Inversiones SpA</t>
  </si>
  <si>
    <t xml:space="preserve">LM Inversiones SpA</t>
  </si>
  <si>
    <t xml:space="preserve">CE Inversiones SpA</t>
  </si>
  <si>
    <t xml:space="preserve">Operacionnes Sanse SpA</t>
  </si>
  <si>
    <t xml:space="preserve">ME Inversiones SpA</t>
  </si>
  <si>
    <t xml:space="preserve">Cabo Austral SpA</t>
  </si>
  <si>
    <t xml:space="preserve">Operaciones Braga SpA</t>
  </si>
  <si>
    <t xml:space="preserve">MV Inversiones</t>
  </si>
  <si>
    <t xml:space="preserve">Jurel XIV-X</t>
  </si>
  <si>
    <t xml:space="preserve">todo desembarque en coronel</t>
  </si>
  <si>
    <t xml:space="preserve">Bio Bio S.A. Pesq.</t>
  </si>
  <si>
    <t xml:space="preserve">todo desembarque en san Vicente</t>
  </si>
  <si>
    <t xml:space="preserve">Inversiones Delta SpA</t>
  </si>
  <si>
    <t xml:space="preserve">Inversiones Progreso</t>
  </si>
  <si>
    <t xml:space="preserve">Sardina común V-X</t>
  </si>
  <si>
    <t xml:space="preserve">Mar Profundo S.A. Soc. Pesq</t>
  </si>
  <si>
    <t xml:space="preserve">Inversiones Londrina SpA.</t>
  </si>
  <si>
    <t xml:space="preserve">Inversiones Aral SpA</t>
  </si>
  <si>
    <t xml:space="preserve">Operaciones calubi SpA</t>
  </si>
  <si>
    <t xml:space="preserve">Sardina española XV - I - II</t>
  </si>
  <si>
    <t xml:space="preserve">Arica Seafood Producer  S.A.</t>
  </si>
  <si>
    <t xml:space="preserve">Sardina española III - IV</t>
  </si>
  <si>
    <r>
      <rPr>
        <b val="true"/>
        <sz val="18"/>
        <rFont val="Calibri"/>
        <family val="2"/>
      </rPr>
      <t xml:space="preserve">2014. CUOTAS LTP Y SU CONSUMO DE </t>
    </r>
    <r>
      <rPr>
        <b val="true"/>
        <sz val="18"/>
        <color rgb="FFFF6600"/>
        <rFont val="Calibri"/>
        <family val="2"/>
      </rPr>
      <t xml:space="preserve">RECURSOS CRUSTÁCEOS </t>
    </r>
    <r>
      <rPr>
        <b val="true"/>
        <sz val="18"/>
        <rFont val="Calibri"/>
        <family val="2"/>
      </rPr>
      <t xml:space="preserve">al 31 de diciembre 2014</t>
    </r>
  </si>
  <si>
    <t xml:space="preserve">* registra la sumatoria de los traspasos en todas las regiones</t>
  </si>
  <si>
    <t xml:space="preserve">** registra los traspasos realizados en toda la unidad de pesqueria. Certificados que no identifican la región.</t>
  </si>
  <si>
    <t xml:space="preserve">Cuota II Región (t)</t>
  </si>
  <si>
    <t xml:space="preserve">Operación II región</t>
  </si>
  <si>
    <t xml:space="preserve">Cuota III Región (t)</t>
  </si>
  <si>
    <t xml:space="preserve">Operación III Región</t>
  </si>
  <si>
    <t xml:space="preserve">Cuota IV Región (t)</t>
  </si>
  <si>
    <t xml:space="preserve">Operación IV Región</t>
  </si>
  <si>
    <t xml:space="preserve">Cuota V Región (t)</t>
  </si>
  <si>
    <t xml:space="preserve">Operación V Región</t>
  </si>
  <si>
    <t xml:space="preserve">Cuota VI Región (t)</t>
  </si>
  <si>
    <t xml:space="preserve">Operación VI Región</t>
  </si>
  <si>
    <t xml:space="preserve">Cuota VII Región (t)</t>
  </si>
  <si>
    <t xml:space="preserve">Operación VII Región</t>
  </si>
  <si>
    <t xml:space="preserve">Cuota VIII Región (t)</t>
  </si>
  <si>
    <t xml:space="preserve">Operación VIII Región</t>
  </si>
  <si>
    <t xml:space="preserve">Cuota y Operación Camaron Nailon II-VIII</t>
  </si>
  <si>
    <t xml:space="preserve">Operación II-VIII</t>
  </si>
  <si>
    <t xml:space="preserve">Global II-VIII</t>
  </si>
  <si>
    <t xml:space="preserve">Armador </t>
  </si>
  <si>
    <t xml:space="preserve">Cuota Total</t>
  </si>
  <si>
    <t xml:space="preserve">Cuota Asignada  II-VIII</t>
  </si>
  <si>
    <t xml:space="preserve">* Traspaso, Cesion, Arriendo, etc)</t>
  </si>
  <si>
    <t xml:space="preserve">**Traspaso, Cesion, Arriendo, etc)</t>
  </si>
  <si>
    <t xml:space="preserve">Desembarque (t) II-VIII</t>
  </si>
  <si>
    <t xml:space="preserve">Camarón nailon II-VIII</t>
  </si>
  <si>
    <t xml:space="preserve">Antarctic Seafood S.A.</t>
  </si>
  <si>
    <t xml:space="preserve">Baycic Baycic Maria</t>
  </si>
  <si>
    <t xml:space="preserve">Bracpesca S.A</t>
  </si>
  <si>
    <t xml:space="preserve">Antonio Cruz Cordova nakouzi E.I.R.L. </t>
  </si>
  <si>
    <t xml:space="preserve">Costa Brava Ltda. Pesq.</t>
  </si>
  <si>
    <t xml:space="preserve">Grimar S.A. Pesq.</t>
  </si>
  <si>
    <t xml:space="preserve">Morozin Baycic Maria Ana</t>
  </si>
  <si>
    <t xml:space="preserve">Morozin Yurecic Mario</t>
  </si>
  <si>
    <t xml:space="preserve">Quintero Ltda. Soc. Pesq.</t>
  </si>
  <si>
    <t xml:space="preserve">Quintero S.A., Pesquera</t>
  </si>
  <si>
    <t xml:space="preserve">Rubio y Mauad Ltda.</t>
  </si>
  <si>
    <t xml:space="preserve">Sunrise S.A. Pesq.</t>
  </si>
  <si>
    <t xml:space="preserve">Congelados del Pacifico </t>
  </si>
  <si>
    <t xml:space="preserve">Enfemar Ltda. Soc. Pesq. </t>
  </si>
  <si>
    <t xml:space="preserve">Da venezia Retamales Antonio</t>
  </si>
  <si>
    <t xml:space="preserve">Pesquera CMK Ltda.</t>
  </si>
  <si>
    <t xml:space="preserve">Jorge Cofre Reyes</t>
  </si>
  <si>
    <t xml:space="preserve">Genmar Ltda</t>
  </si>
  <si>
    <t xml:space="preserve">Operación III región</t>
  </si>
  <si>
    <t xml:space="preserve">Cuota y Operación Langostino amarillo III-IV</t>
  </si>
  <si>
    <t xml:space="preserve">Operación III-IV</t>
  </si>
  <si>
    <t xml:space="preserve">Global III-IV</t>
  </si>
  <si>
    <t xml:space="preserve">Armador</t>
  </si>
  <si>
    <t xml:space="preserve">Cuota Asignada  III-IV</t>
  </si>
  <si>
    <t xml:space="preserve">** Traspaso, Cesion, Arriendo, etc)</t>
  </si>
  <si>
    <t xml:space="preserve">Desembarque (t) III-IV</t>
  </si>
  <si>
    <t xml:space="preserve">Langostino amarillo III-IV</t>
  </si>
  <si>
    <t xml:space="preserve">Antarctic Seafood S.A</t>
  </si>
  <si>
    <t xml:space="preserve">Grimar S.A. Pesq. </t>
  </si>
  <si>
    <t xml:space="preserve">Mororzin Yurecic Mario</t>
  </si>
  <si>
    <t xml:space="preserve">Quinteros S.A. Pesq.</t>
  </si>
  <si>
    <t xml:space="preserve">Quintero Ltda.</t>
  </si>
  <si>
    <t xml:space="preserve">Enfemar Pesq. </t>
  </si>
  <si>
    <t xml:space="preserve">Cuota y Operación Langostino colorado XV-II</t>
  </si>
  <si>
    <t xml:space="preserve">Operación XV-II</t>
  </si>
  <si>
    <t xml:space="preserve">Global XV-II</t>
  </si>
  <si>
    <t xml:space="preserve">Langostino coloradoXV- IV</t>
  </si>
  <si>
    <t xml:space="preserve">Isladamas S.A. </t>
  </si>
  <si>
    <t xml:space="preserve">Grimar S.A.</t>
  </si>
  <si>
    <t xml:space="preserve">Congelados del Pacifico</t>
  </si>
  <si>
    <t xml:space="preserve">Quintero S.A.</t>
  </si>
  <si>
    <t xml:space="preserve">Quintero Ltda</t>
  </si>
  <si>
    <r>
      <rPr>
        <b val="true"/>
        <sz val="16"/>
        <rFont val="Calibri"/>
        <family val="2"/>
      </rPr>
      <t xml:space="preserve">2014. CUOTAS LTP Y SU CONSUMO DE </t>
    </r>
    <r>
      <rPr>
        <b val="true"/>
        <sz val="16"/>
        <color rgb="FFFF6600"/>
        <rFont val="Calibri"/>
        <family val="2"/>
      </rPr>
      <t xml:space="preserve">RECURSOS PECES DEMERSALES</t>
    </r>
    <r>
      <rPr>
        <b val="true"/>
        <sz val="16"/>
        <rFont val="Calibri"/>
        <family val="2"/>
      </rPr>
      <t xml:space="preserve">      al 31 de Diciembre de 2014.</t>
    </r>
  </si>
  <si>
    <t xml:space="preserve">Cuota  (t)</t>
  </si>
  <si>
    <t xml:space="preserve">Global</t>
  </si>
  <si>
    <t xml:space="preserve">Congrio dorado NE H/F (41º28,6 LS hasta 47º)</t>
  </si>
  <si>
    <t xml:space="preserve">Emdepes S.A.</t>
  </si>
  <si>
    <t xml:space="preserve">Pesca Chile S.A.</t>
  </si>
  <si>
    <t xml:space="preserve">Pesca Cisne S.A</t>
  </si>
  <si>
    <t xml:space="preserve">Grimar S.A.Pesq.</t>
  </si>
  <si>
    <t xml:space="preserve">Deris S.A.</t>
  </si>
  <si>
    <t xml:space="preserve">Congrio dorado SE (47º hasta 57º)</t>
  </si>
  <si>
    <t xml:space="preserve">Emdepes S.A.,  </t>
  </si>
  <si>
    <t xml:space="preserve">Merluza del sur NE F/H (41º28,6 LS al 47º LS)</t>
  </si>
  <si>
    <t xml:space="preserve">Pesca Cisne S.A.</t>
  </si>
  <si>
    <t xml:space="preserve">Sur Austral S.A. Pesq. </t>
  </si>
  <si>
    <t xml:space="preserve">Merluza Del Sur SE Fabrica (47º LS al 57º LS)</t>
  </si>
  <si>
    <t xml:space="preserve">Pesca Chile S.A. </t>
  </si>
  <si>
    <t xml:space="preserve">Merluza tres aletas NE/SE (41º28,6 LS hasta 57º)</t>
  </si>
  <si>
    <t xml:space="preserve">Pesca Cisne </t>
  </si>
  <si>
    <t xml:space="preserve">Merluza cola V-X</t>
  </si>
  <si>
    <t xml:space="preserve">Bio Bio S.A.Pesq.</t>
  </si>
  <si>
    <t xml:space="preserve">Camanchaca S.A. CIA. Pesq. </t>
  </si>
  <si>
    <t xml:space="preserve">Inostroza Concha Pelantaro.</t>
  </si>
  <si>
    <t xml:space="preserve">Landes S.A. Pesq.</t>
  </si>
  <si>
    <t xml:space="preserve">Mar Profundo S.A. Soc. Pesq.</t>
  </si>
  <si>
    <t xml:space="preserve">Bracpesca</t>
  </si>
  <si>
    <t xml:space="preserve">Isladamas S.A.</t>
  </si>
  <si>
    <t xml:space="preserve">Antartic Seafood S.A.</t>
  </si>
  <si>
    <t xml:space="preserve">Quintero Ltda. Soc. Pesq</t>
  </si>
  <si>
    <t xml:space="preserve">Congelados Pacífico S.A.</t>
  </si>
  <si>
    <t xml:space="preserve">Inversiones Redina SpA.</t>
  </si>
  <si>
    <t xml:space="preserve">Pesquera Antonio Cruz Cordoba Nakouzi EIRL</t>
  </si>
  <si>
    <t xml:space="preserve">Enfemar Pesq.</t>
  </si>
  <si>
    <t xml:space="preserve">Da Venezia Retamales Antonio</t>
  </si>
  <si>
    <t xml:space="preserve">Merluza de Cola XI-XII</t>
  </si>
  <si>
    <t xml:space="preserve">Pesca Cisne</t>
  </si>
  <si>
    <t xml:space="preserve">Merluza común IV a 41°28,6'LS</t>
  </si>
  <si>
    <t xml:space="preserve">Alvarez Armijo Jaime</t>
  </si>
  <si>
    <t xml:space="preserve">Bio Bio S.A.</t>
  </si>
  <si>
    <t xml:space="preserve">Blumar S.A. </t>
  </si>
  <si>
    <t xml:space="preserve">Genmar Ltda. Soc. Pesq.</t>
  </si>
  <si>
    <t xml:space="preserve">Gonzalez Silva Marcelino.</t>
  </si>
  <si>
    <t xml:space="preserve">Leucoton Ltda. Soc Pesq.</t>
  </si>
  <si>
    <t xml:space="preserve">Pessur Ltda. Soc. Pesq.</t>
  </si>
  <si>
    <t xml:space="preserve">Sur Austral S.A. Pesq</t>
  </si>
  <si>
    <t xml:space="preserve">Quintero S.A. Pesq.</t>
  </si>
  <si>
    <t xml:space="preserve">Congelados Pacífico S.A. </t>
  </si>
  <si>
    <t xml:space="preserve">Camanchaca Pesca Sur S.A. </t>
  </si>
  <si>
    <t xml:space="preserve">Cuotas Regionales Crustaceos Industriales, 2014</t>
  </si>
  <si>
    <t xml:space="preserve">Del 1 de enero al 31 de diciembre 2014</t>
  </si>
  <si>
    <t xml:space="preserve">Cuota Global (t)</t>
  </si>
  <si>
    <t xml:space="preserve">Cuota Período</t>
  </si>
  <si>
    <t xml:space="preserve">% Disponible </t>
  </si>
  <si>
    <t xml:space="preserve">Fecha cierre /Prom (t/día)</t>
  </si>
  <si>
    <t xml:space="preserve">Período</t>
  </si>
  <si>
    <t xml:space="preserve">autorizada</t>
  </si>
  <si>
    <t xml:space="preserve">efectiva</t>
  </si>
  <si>
    <t xml:space="preserve">II</t>
  </si>
  <si>
    <t xml:space="preserve">Enero - Agosto</t>
  </si>
  <si>
    <t xml:space="preserve">Septiembre  - diciembre</t>
  </si>
  <si>
    <t xml:space="preserve">III</t>
  </si>
  <si>
    <t xml:space="preserve">IV</t>
  </si>
  <si>
    <t xml:space="preserve">V</t>
  </si>
  <si>
    <t xml:space="preserve">23.05.14</t>
  </si>
  <si>
    <t xml:space="preserve">VI</t>
  </si>
  <si>
    <t xml:space="preserve">20.06.14</t>
  </si>
  <si>
    <t xml:space="preserve">VII</t>
  </si>
  <si>
    <t xml:space="preserve">30.06.14</t>
  </si>
  <si>
    <t xml:space="preserve">VIII</t>
  </si>
  <si>
    <t xml:space="preserve">abril - junio</t>
  </si>
  <si>
    <t xml:space="preserve">julio - septiembre</t>
  </si>
  <si>
    <t xml:space="preserve">octubre - diciembre</t>
  </si>
  <si>
    <t xml:space="preserve">Langostino amarillo                                            Licitado</t>
  </si>
  <si>
    <t xml:space="preserve">10.05.14</t>
  </si>
  <si>
    <t xml:space="preserve">Chafic</t>
  </si>
  <si>
    <t xml:space="preserve">21.07.14</t>
  </si>
  <si>
    <t xml:space="preserve">octubre - noviembre</t>
  </si>
  <si>
    <t xml:space="preserve">23.07.14</t>
  </si>
  <si>
    <t xml:space="preserve">VI-VII-VIII</t>
  </si>
  <si>
    <t xml:space="preserve">09.06.14</t>
  </si>
  <si>
    <t xml:space="preserve">Antartic Seafood</t>
  </si>
  <si>
    <t xml:space="preserve">Langostino colorado                                           Licitado</t>
  </si>
  <si>
    <t xml:space="preserve">16.05.14</t>
  </si>
  <si>
    <t xml:space="preserve">18.10.14</t>
  </si>
  <si>
    <t xml:space="preserve">22.08.14</t>
  </si>
  <si>
    <t xml:space="preserve">Cuotas globales Sin LTP (en conjunto con artesanales), 2014</t>
  </si>
  <si>
    <t xml:space="preserve">Al 31 de diciembre  de 2014</t>
  </si>
  <si>
    <t xml:space="preserve">Cuotas globales Fuera Unidad de Pesquería</t>
  </si>
  <si>
    <t xml:space="preserve">Fracción</t>
  </si>
  <si>
    <t xml:space="preserve">Fecha cierre</t>
  </si>
  <si>
    <t xml:space="preserve">Desembarques</t>
  </si>
  <si>
    <t xml:space="preserve">Industrial</t>
  </si>
  <si>
    <t xml:space="preserve">Artesanal</t>
  </si>
  <si>
    <t xml:space="preserve">Objetivo</t>
  </si>
  <si>
    <t xml:space="preserve">Ene- Dic.</t>
  </si>
  <si>
    <t xml:space="preserve">Ene -Dic.</t>
  </si>
  <si>
    <t xml:space="preserve">F. Acompañante</t>
  </si>
  <si>
    <t xml:space="preserve">27.01.14</t>
  </si>
  <si>
    <t xml:space="preserve">Congrio Dorado</t>
  </si>
  <si>
    <t xml:space="preserve">V Región</t>
  </si>
  <si>
    <t xml:space="preserve">Enero-Junio</t>
  </si>
  <si>
    <t xml:space="preserve">Julio-Diciembre</t>
  </si>
  <si>
    <t xml:space="preserve">VI Región</t>
  </si>
  <si>
    <t xml:space="preserve">VII Región</t>
  </si>
  <si>
    <t xml:space="preserve">21.03.14</t>
  </si>
  <si>
    <t xml:space="preserve">VIII Región</t>
  </si>
  <si>
    <t xml:space="preserve">06.02.14</t>
  </si>
  <si>
    <t xml:space="preserve">IX Región</t>
  </si>
  <si>
    <t xml:space="preserve">XIV Región</t>
  </si>
  <si>
    <t xml:space="preserve">25.02.14</t>
  </si>
  <si>
    <t xml:space="preserve">X Región (al norte del 41º28,6´S)</t>
  </si>
  <si>
    <t xml:space="preserve">24.02.14</t>
  </si>
  <si>
    <t xml:space="preserve">Recursos sin cuota</t>
  </si>
  <si>
    <t xml:space="preserve">Cuota</t>
  </si>
  <si>
    <t xml:space="preserve">Sector</t>
  </si>
  <si>
    <t xml:space="preserve">Desem. (ton)</t>
  </si>
  <si>
    <t xml:space="preserve">Total Desem. (ton)</t>
  </si>
  <si>
    <t xml:space="preserve">Caballa XV-XII</t>
  </si>
  <si>
    <t xml:space="preserve">S/cuota</t>
  </si>
  <si>
    <t xml:space="preserve">enero  - diciembre</t>
  </si>
  <si>
    <t xml:space="preserve">Pez espada XV-XII</t>
  </si>
  <si>
    <t xml:space="preserve">Reineta</t>
  </si>
  <si>
    <t xml:space="preserve">Recursos con cuota Global </t>
  </si>
  <si>
    <t xml:space="preserve">Saldo</t>
  </si>
  <si>
    <t xml:space="preserve">Fecha de Cierre</t>
  </si>
  <si>
    <t xml:space="preserve">Jibia o calamar rojo XV-XII</t>
  </si>
  <si>
    <t xml:space="preserve">Investigación</t>
  </si>
  <si>
    <t xml:space="preserve">Ene- 07.08.14</t>
  </si>
  <si>
    <t xml:space="preserve">Artesanal e industrial</t>
  </si>
  <si>
    <t xml:space="preserve">F. Acompañante (al 7 de agosto)</t>
  </si>
  <si>
    <t xml:space="preserve">07.08.14</t>
  </si>
  <si>
    <t xml:space="preserve">Objetivo (al 7 de agosto)</t>
  </si>
  <si>
    <t xml:space="preserve">F. Acompañante (desde el 8.08.14)</t>
  </si>
  <si>
    <t xml:space="preserve">08.08.14-Dic</t>
  </si>
  <si>
    <t xml:space="preserve">Objetivo Artesanal (desde el  8.08.14)</t>
  </si>
  <si>
    <t xml:space="preserve">Objetivo  Industrial (desde el  8.08.14)</t>
  </si>
  <si>
    <t xml:space="preserve">Industrial </t>
  </si>
  <si>
    <t xml:space="preserve">16.12.14</t>
  </si>
  <si>
    <t xml:space="preserve">Raya Volantín</t>
  </si>
  <si>
    <t xml:space="preserve">IV-VII</t>
  </si>
  <si>
    <t xml:space="preserve"> Ene- Dic.</t>
  </si>
  <si>
    <t xml:space="preserve">VIII-41º28,6´LS</t>
  </si>
  <si>
    <t xml:space="preserve">Raya espinosa</t>
  </si>
  <si>
    <t xml:space="preserve">Bacalao de profundidad</t>
  </si>
  <si>
    <t xml:space="preserve">XV hasta paralelo 47º LS</t>
  </si>
  <si>
    <t xml:space="preserve">Artesanal </t>
  </si>
  <si>
    <t xml:space="preserve">28.07.14</t>
  </si>
  <si>
    <t xml:space="preserve">Desembarque de Besugo como Fauna Acompañante </t>
  </si>
  <si>
    <t xml:space="preserve">De Esp Ob. Crustaceos demersales</t>
  </si>
  <si>
    <t xml:space="preserve">De Esp. Obj. Peces arrastre</t>
  </si>
  <si>
    <t xml:space="preserve"> De Esp. Obj. Peces palangre </t>
  </si>
  <si>
    <t xml:space="preserve">Total </t>
  </si>
  <si>
    <t xml:space="preserve">Bracpesca S.A.</t>
  </si>
  <si>
    <t xml:space="preserve">Concepción S.A.</t>
  </si>
  <si>
    <t xml:space="preserve">Grimar</t>
  </si>
  <si>
    <t xml:space="preserve">Quintero Ltda. </t>
  </si>
  <si>
    <t xml:space="preserve">Pesca Chile</t>
  </si>
  <si>
    <t xml:space="preserve">Total</t>
  </si>
  <si>
    <t xml:space="preserve">Lota Protein, Res Nº 3288. Traspaso cuota ORP Jurel</t>
  </si>
  <si>
    <t xml:space="preserve">Embarcaciones</t>
  </si>
  <si>
    <t xml:space="preserve">Desembarque</t>
  </si>
  <si>
    <t xml:space="preserve">Cuota ton</t>
  </si>
  <si>
    <t xml:space="preserve">Santa Maria II</t>
  </si>
  <si>
    <t xml:space="preserve">Coral I</t>
  </si>
  <si>
    <t xml:space="preserve">Don Boris</t>
  </si>
  <si>
    <t xml:space="preserve">Don Tito</t>
  </si>
  <si>
    <t xml:space="preserve"> PESCAS DE INVESTIGACIÓN AÑO 2014. Consumo al 31 de Diciembre</t>
  </si>
  <si>
    <t xml:space="preserve">Pesca de Investigacion: Resolucion Nº 1829. Del 17.07.14 al 30.11.14 </t>
  </si>
  <si>
    <t xml:space="preserve">Imputa a reserva de Inv. </t>
  </si>
  <si>
    <t xml:space="preserve">Cuota (ton)</t>
  </si>
  <si>
    <t xml:space="preserve">Desembarque (ton)</t>
  </si>
  <si>
    <t xml:space="preserve">Dec. Nº 1408/2013</t>
  </si>
  <si>
    <t xml:space="preserve">V-VIII</t>
  </si>
  <si>
    <t xml:space="preserve">Dec. Nº 1243/2013</t>
  </si>
  <si>
    <t xml:space="preserve">XV-IV</t>
  </si>
  <si>
    <t xml:space="preserve">Dec. Nº 1242/2013</t>
  </si>
  <si>
    <t xml:space="preserve">Merluza Común</t>
  </si>
  <si>
    <t xml:space="preserve">IV-VIII</t>
  </si>
  <si>
    <t xml:space="preserve">Dec. Nº 1410/2014</t>
  </si>
  <si>
    <t xml:space="preserve">Camaron nailón</t>
  </si>
  <si>
    <t xml:space="preserve">Pesca de Investigación: Resolución Nº 2693. Del 10.10.14 al 31.12.14</t>
  </si>
  <si>
    <t xml:space="preserve">Naves titulares</t>
  </si>
  <si>
    <t xml:space="preserve">Res. Nº 1408/2013</t>
  </si>
  <si>
    <t xml:space="preserve">Don José Miguel (A)</t>
  </si>
  <si>
    <t xml:space="preserve">Langostino amarillo (Como F.A.)</t>
  </si>
  <si>
    <t xml:space="preserve">Cocha (I)</t>
  </si>
  <si>
    <t xml:space="preserve">Res. Nº 1243/2013</t>
  </si>
  <si>
    <t xml:space="preserve">Naves suplentes</t>
  </si>
  <si>
    <t xml:space="preserve">Res. Nº 1242/2013</t>
  </si>
  <si>
    <t xml:space="preserve">Amancay I (I)</t>
  </si>
  <si>
    <t xml:space="preserve">Res. Nº 1410/2013</t>
  </si>
  <si>
    <t xml:space="preserve">Lonquimay II (I)</t>
  </si>
  <si>
    <t xml:space="preserve">Pesca de Investigación: Resolución Nº 2878.  Del 30.10.14 al 31.12.14</t>
  </si>
  <si>
    <t xml:space="preserve">Cuota  </t>
  </si>
  <si>
    <t xml:space="preserve">Saldos </t>
  </si>
  <si>
    <t xml:space="preserve">Nombre Embarcación</t>
  </si>
  <si>
    <t xml:space="preserve">Region o zona</t>
  </si>
  <si>
    <t xml:space="preserve">Cuota (Ton) Raya Volantin</t>
  </si>
  <si>
    <t xml:space="preserve">Cuota (Ton) Raya espinosa</t>
  </si>
  <si>
    <t xml:space="preserve">Desembarque Raya Volantin</t>
  </si>
  <si>
    <t xml:space="preserve">Desembarque Raya Espinoza</t>
  </si>
  <si>
    <t xml:space="preserve">Saldo R. volantin</t>
  </si>
  <si>
    <t xml:space="preserve">Saldo R. Espinoza</t>
  </si>
  <si>
    <t xml:space="preserve">Maria Loreto (952273)</t>
  </si>
  <si>
    <t xml:space="preserve">Damary (39575)</t>
  </si>
  <si>
    <t xml:space="preserve">Nirvana (11025)</t>
  </si>
  <si>
    <t xml:space="preserve">XIV</t>
  </si>
  <si>
    <t xml:space="preserve">Aguila (952079)</t>
  </si>
  <si>
    <t xml:space="preserve">X </t>
  </si>
  <si>
    <t xml:space="preserve">Fernanda III (952143)</t>
  </si>
  <si>
    <t xml:space="preserve">XI </t>
  </si>
  <si>
    <t xml:space="preserve">Don Ariel (955769)</t>
  </si>
  <si>
    <t xml:space="preserve">XII</t>
  </si>
  <si>
    <t xml:space="preserve">Pesca de Investigación: Resolución Nº 3297. Del 05.12.14 al 31.12.14</t>
  </si>
  <si>
    <t xml:space="preserve">Cuota por Nave</t>
  </si>
  <si>
    <t xml:space="preserve">Desembarque </t>
  </si>
  <si>
    <t xml:space="preserve">Saldo Nave</t>
  </si>
  <si>
    <t xml:space="preserve">Cuota Puerto</t>
  </si>
  <si>
    <t xml:space="preserve">Saldo Puerto</t>
  </si>
  <si>
    <t xml:space="preserve">La Esperanza</t>
  </si>
  <si>
    <t xml:space="preserve">Iquique (101-104)</t>
  </si>
  <si>
    <t xml:space="preserve">Aldo y Felipe</t>
  </si>
  <si>
    <t xml:space="preserve">Marisol III</t>
  </si>
  <si>
    <t xml:space="preserve">Belen Antonia</t>
  </si>
  <si>
    <t xml:space="preserve">Caldera (105-108)</t>
  </si>
  <si>
    <t xml:space="preserve">Rocio III</t>
  </si>
  <si>
    <t xml:space="preserve">Huanay</t>
  </si>
  <si>
    <t xml:space="preserve">Constitución (111-113)</t>
  </si>
  <si>
    <t xml:space="preserve">Coña</t>
  </si>
  <si>
    <t xml:space="preserve">Travesia</t>
  </si>
  <si>
    <t xml:space="preserve">Yolanda Filomena</t>
  </si>
  <si>
    <t xml:space="preserve">Oscar Alonso</t>
  </si>
  <si>
    <t xml:space="preserve">Lebu (114-115)</t>
  </si>
  <si>
    <t xml:space="preserve">Esperanza VII</t>
  </si>
  <si>
    <t xml:space="preserve">Don Felix II</t>
  </si>
  <si>
    <t xml:space="preserve">Valdivia (115-118)</t>
  </si>
  <si>
    <t xml:space="preserve">Magdalena III</t>
  </si>
  <si>
    <t xml:space="preserve">Cuotas Industriales Licitadas, año 2014</t>
  </si>
  <si>
    <t xml:space="preserve">Langostino amarillo V-VIII</t>
  </si>
  <si>
    <t xml:space="preserve">% Licitado</t>
  </si>
  <si>
    <t xml:space="preserve">Cuota licitada (t)</t>
  </si>
  <si>
    <t xml:space="preserve">Sanción (t)</t>
  </si>
  <si>
    <t xml:space="preserve">Transferencias</t>
  </si>
  <si>
    <t xml:space="preserve">Cuota efectiva (t)</t>
  </si>
  <si>
    <t xml:space="preserve">Ingresos (t)</t>
  </si>
  <si>
    <t xml:space="preserve">Egresos (t)</t>
  </si>
  <si>
    <t xml:space="preserve">CAMANCHACA PESCA SUR</t>
  </si>
  <si>
    <t xml:space="preserve">BLUMAR S.A.</t>
  </si>
  <si>
    <t xml:space="preserve">SUNRISE</t>
  </si>
  <si>
    <t xml:space="preserve">BRACPESCA</t>
  </si>
  <si>
    <t xml:space="preserve">ISLADAMAS</t>
  </si>
  <si>
    <t xml:space="preserve">VELIZ Y VELIZ</t>
  </si>
  <si>
    <t xml:space="preserve">DISTRIMAR</t>
  </si>
  <si>
    <t xml:space="preserve">ANTARTIC SEAFOOD</t>
  </si>
  <si>
    <t xml:space="preserve">GRIMAR S.A.</t>
  </si>
  <si>
    <t xml:space="preserve">RUBIO Y MAUAD LTDA.</t>
  </si>
  <si>
    <t xml:space="preserve">MARIO MOROZIN YURECIC</t>
  </si>
  <si>
    <t xml:space="preserve">SOC. PESQUERA QUINTERO LTDA.</t>
  </si>
  <si>
    <t xml:space="preserve">PESQUERA QUINTERO S.A.</t>
  </si>
  <si>
    <t xml:space="preserve">CONGELADOS PACIFICO S.A.</t>
  </si>
  <si>
    <t xml:space="preserve">PESQUERA BIO BIO S.A.</t>
  </si>
  <si>
    <t xml:space="preserve">PESQUERA ANTONIO CORDIVA NAKOUZI E.I.R.L.</t>
  </si>
  <si>
    <t xml:space="preserve">PESQUERA ENFEMAR LTDA.</t>
  </si>
  <si>
    <t xml:space="preserve">ANTONIO DA VENEZIA RETAMALES </t>
  </si>
  <si>
    <t xml:space="preserve">JORGE COFRE REYES</t>
  </si>
  <si>
    <t xml:space="preserve">PESQUERA CKM LTDA.</t>
  </si>
  <si>
    <t xml:space="preserve">SOC. PESQUERA GENMAR LTDA.</t>
  </si>
  <si>
    <t xml:space="preserve">Resumen </t>
  </si>
  <si>
    <t xml:space="preserve">Langostino colorado V-VIII</t>
  </si>
  <si>
    <t xml:space="preserve">EMPACADORA DEL PACIFICO</t>
  </si>
  <si>
    <t xml:space="preserve">ALIMAR</t>
  </si>
  <si>
    <t xml:space="preserve">ARTIC S.A. ELAB</t>
  </si>
  <si>
    <t xml:space="preserve">PESQUERA GRIMAR S.A.</t>
  </si>
  <si>
    <t xml:space="preserve">PESQUERA ANTONIO CORDOVA NAKOUZI E.I.R.L.</t>
  </si>
  <si>
    <t xml:space="preserve">INDUSTRIALES</t>
  </si>
  <si>
    <t xml:space="preserve">Blue Ocean Seafood</t>
  </si>
  <si>
    <t xml:space="preserve">Globalpesca</t>
  </si>
  <si>
    <t xml:space="preserve">ARTESANALES</t>
  </si>
  <si>
    <t xml:space="preserve">DANIEL MOLINA CISTERNAS</t>
  </si>
  <si>
    <t xml:space="preserve">JOSE  LISER SOTO VELASQUEZ</t>
  </si>
  <si>
    <t xml:space="preserve">JOSE FREDY SOTO VELASQUEZ</t>
  </si>
  <si>
    <t xml:space="preserve">PESQUERA FRAPOLI S.A.</t>
  </si>
  <si>
    <t xml:space="preserve">JOSE ACEVEDO CORNEJO</t>
  </si>
  <si>
    <t xml:space="preserve">ROBERTO GONZALEZ NAVARRO</t>
  </si>
  <si>
    <t xml:space="preserve">PAOLA MORA BURGOS</t>
  </si>
  <si>
    <t xml:space="preserve">TOMAS NEIRA PARRA</t>
  </si>
  <si>
    <t xml:space="preserve">BOLIVAR GUZMAN ACUÑA</t>
  </si>
  <si>
    <t xml:space="preserve">RAUL GONZALEZ HURTADO</t>
  </si>
  <si>
    <t xml:space="preserve">TERRANOVA SPA</t>
  </si>
  <si>
    <t xml:space="preserve">JUAN JOSE GUZMAN ROJAS</t>
  </si>
  <si>
    <t xml:space="preserve">JOSE MORA MOYA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</si>
</sst>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_-* #,##0.00_-;\-* #,##0.00_-;_-* \-??_-;_-@_-"/>
    <numFmt numFmtId="166" formatCode="0%"/>
    <numFmt numFmtId="167" formatCode="d\-mmm\-yy"/>
    <numFmt numFmtId="168" formatCode="#,##0"/>
    <numFmt numFmtId="169" formatCode="#,##0.000"/>
    <numFmt numFmtId="170" formatCode="0.00%"/>
    <numFmt numFmtId="171" formatCode="#,##0.00"/>
    <numFmt numFmtId="172" formatCode="[$-409]m/d/yyyy"/>
    <numFmt numFmtId="173" formatCode="d\-mmm"/>
    <numFmt numFmtId="174" formatCode="0.000"/>
    <numFmt numFmtId="175" formatCode="0.000_ ;[RED]\-0.000\ "/>
    <numFmt numFmtId="176" formatCode="0.00_ ;[RED]\-0.00\ "/>
    <numFmt numFmtId="177" formatCode="0.0000"/>
    <numFmt numFmtId="178" formatCode="[$-C0A]d\-mmm;@"/>
    <numFmt numFmtId="179" formatCode="0.00"/>
    <numFmt numFmtId="180" formatCode="0.000%"/>
    <numFmt numFmtId="181" formatCode="#,##0.00_ ;[RED]\-#,##0.00\ "/>
    <numFmt numFmtId="182" formatCode="[$-409]d\-mmm"/>
    <numFmt numFmtId="183" formatCode="#,##0_ ;[RED]\-#,##0\ "/>
    <numFmt numFmtId="184" formatCode="#,##0.000_ ;[RED]\-#,##0.000\ "/>
    <numFmt numFmtId="185" formatCode="#,##0.0000"/>
    <numFmt numFmtId="186" formatCode="#,##0.00_ ;\-#,##0.00\ "/>
    <numFmt numFmtId="187" formatCode="0.0"/>
  </numFmts>
  <fonts count="42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gobCL"/>
      <family val="2"/>
    </font>
    <font>
      <sz val="10"/>
      <color rgb="FF000000"/>
      <name val="Arial"/>
      <family val="2"/>
    </font>
    <font>
      <sz val="10"/>
      <name val="Calibri"/>
      <family val="2"/>
    </font>
    <font>
      <b val="true"/>
      <sz val="10"/>
      <name val="Calibri"/>
      <family val="2"/>
    </font>
    <font>
      <b val="true"/>
      <sz val="12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sz val="10"/>
      <color rgb="FF00CCFF"/>
      <name val="Calibri"/>
      <family val="2"/>
    </font>
    <font>
      <b val="true"/>
      <sz val="18"/>
      <name val="Calibri"/>
      <family val="2"/>
    </font>
    <font>
      <b val="true"/>
      <sz val="18"/>
      <color rgb="FFFFFF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CCFF"/>
      <name val="Calibri"/>
      <family val="2"/>
    </font>
    <font>
      <b val="true"/>
      <sz val="10"/>
      <color rgb="FFFF0000"/>
      <name val="Calibri"/>
      <family val="2"/>
    </font>
    <font>
      <b val="true"/>
      <sz val="14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b val="true"/>
      <sz val="18"/>
      <color rgb="FFFF6600"/>
      <name val="Calibri"/>
      <family val="2"/>
    </font>
    <font>
      <b val="true"/>
      <sz val="9"/>
      <color rgb="FF008000"/>
      <name val="Calibri"/>
      <family val="2"/>
    </font>
    <font>
      <b val="true"/>
      <sz val="12"/>
      <color rgb="FF000000"/>
      <name val="Calibri"/>
      <family val="2"/>
    </font>
    <font>
      <b val="true"/>
      <sz val="10"/>
      <color rgb="FF008000"/>
      <name val="Calibri"/>
      <family val="2"/>
    </font>
    <font>
      <b val="true"/>
      <sz val="10"/>
      <color rgb="FF00CCFF"/>
      <name val="Calibri"/>
      <family val="2"/>
    </font>
    <font>
      <b val="true"/>
      <sz val="10"/>
      <color rgb="FFFFFFFF"/>
      <name val="Calibri"/>
      <family val="2"/>
    </font>
    <font>
      <b val="true"/>
      <sz val="16"/>
      <name val="Calibri"/>
      <family val="2"/>
    </font>
    <font>
      <b val="true"/>
      <sz val="16"/>
      <color rgb="FFFF6600"/>
      <name val="Calibri"/>
      <family val="2"/>
    </font>
    <font>
      <b val="true"/>
      <sz val="11"/>
      <name val="Calibri"/>
      <family val="2"/>
    </font>
    <font>
      <sz val="10"/>
      <name val="@Arial Unicode MS"/>
      <family val="2"/>
    </font>
    <font>
      <sz val="11"/>
      <color rgb="FF003366"/>
      <name val="Calibri"/>
      <family val="2"/>
    </font>
    <font>
      <sz val="12"/>
      <name val="Calibri"/>
      <family val="2"/>
    </font>
    <font>
      <sz val="10"/>
      <color rgb="FF0066CC"/>
      <name val="Calibri"/>
      <family val="2"/>
    </font>
    <font>
      <b val="true"/>
      <sz val="10"/>
      <name val="Arial"/>
      <family val="2"/>
    </font>
    <font>
      <sz val="8"/>
      <name val="Arial"/>
      <family val="2"/>
    </font>
    <font>
      <b val="true"/>
      <sz val="8"/>
      <name val="Arial"/>
      <family val="2"/>
    </font>
    <font>
      <sz val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CC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CCFFFF"/>
        <bgColor rgb="FFCCFFFF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CCF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00FF"/>
        <bgColor rgb="FFFF00FF"/>
      </patternFill>
    </fill>
    <fill>
      <patternFill patternType="solid">
        <fgColor rgb="FF99CC00"/>
        <bgColor rgb="FFFFCC00"/>
      </patternFill>
    </fill>
    <fill>
      <patternFill patternType="solid">
        <fgColor rgb="FF00CCFF"/>
        <bgColor rgb="FF33CCCC"/>
      </patternFill>
    </fill>
  </fills>
  <borders count="96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hair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/>
      <right style="hair"/>
      <top style="medium"/>
      <bottom style="hair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/>
      <right style="medium"/>
      <top style="hair"/>
      <bottom style="medium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medium"/>
      <top/>
      <bottom style="hair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hair"/>
      <top/>
      <bottom style="medium"/>
      <diagonal/>
    </border>
    <border diagonalUp="false" diagonalDown="false">
      <left style="hair"/>
      <right style="hair"/>
      <top/>
      <bottom style="medium"/>
      <diagonal/>
    </border>
    <border diagonalUp="false" diagonalDown="false">
      <left style="hair"/>
      <right/>
      <top/>
      <bottom style="hair"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 style="medium"/>
      <top style="hair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9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9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8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4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94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94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4" xfId="85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85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85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8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7" xfId="92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73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0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9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10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7" borderId="10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2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9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0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9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6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3" xfId="9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9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9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8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6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3" xfId="8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8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21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0" borderId="4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8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8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21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4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6" borderId="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2" borderId="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4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6" borderId="7" xfId="9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7" borderId="6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22" xfId="9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9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7" borderId="21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23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4" xfId="9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2" borderId="0" xfId="9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9" xfId="84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8" xfId="84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6" xfId="84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84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84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84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4" xfId="84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84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84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7" borderId="23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84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84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7" borderId="4" xfId="94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3" xfId="84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84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84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7" xfId="84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84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7" xfId="84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84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84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2" xfId="84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24" xfId="85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85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5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2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85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7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5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3" xfId="85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7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85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87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2" xfId="88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7" xfId="88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4" xfId="88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85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2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85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7" xfId="85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85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4" xfId="85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85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3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8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9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8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3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4" xfId="85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85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3" borderId="2" xfId="9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4" xfId="8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7" xfId="87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87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87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79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87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4" xfId="87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7" xfId="88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88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7" xfId="88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3" xfId="88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88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88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3" xfId="88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11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88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3" xfId="88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88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7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1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88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1" xfId="85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46" xfId="9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44" xfId="9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9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31" xfId="9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3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8" fillId="8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3" xfId="9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5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8" fillId="0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8" fillId="8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6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8" fillId="8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5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8" fillId="8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3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8" fillId="8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82" fontId="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13" borderId="7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13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13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7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3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3" borderId="7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6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53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6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31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0" fillId="7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0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31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6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93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1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93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3" xfId="93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8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0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93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1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93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8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933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8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7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8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8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7" fillId="8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8" borderId="7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1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1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7" fillId="1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8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1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8" fillId="1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8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8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9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4" xfId="9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7" xfId="93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5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7" xfId="935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3" borderId="4" xfId="9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9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8" xfId="93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1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88" xfId="935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8" xfId="932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5" fillId="11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4" borderId="8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4" borderId="9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84" xfId="9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81" xfId="9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82" xfId="9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14" borderId="9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7" xfId="932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14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7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7" xfId="9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92" xfId="9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51" xfId="9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0" fillId="0" borderId="8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7" fillId="0" borderId="4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8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934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8" fillId="0" borderId="0" xfId="934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7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11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82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74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9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9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75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7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9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7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94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10" xfId="20"/>
    <cellStyle name="Millares 11" xfId="21"/>
    <cellStyle name="Millares 12" xfId="22"/>
    <cellStyle name="Millares 13" xfId="23"/>
    <cellStyle name="Millares 14" xfId="24"/>
    <cellStyle name="Millares 15" xfId="25"/>
    <cellStyle name="Millares 16" xfId="26"/>
    <cellStyle name="Millares 17" xfId="27"/>
    <cellStyle name="Millares 18" xfId="28"/>
    <cellStyle name="Millares 19" xfId="29"/>
    <cellStyle name="Millares 2" xfId="30"/>
    <cellStyle name="Millares 20" xfId="31"/>
    <cellStyle name="Millares 21" xfId="32"/>
    <cellStyle name="Millares 22" xfId="33"/>
    <cellStyle name="Millares 23" xfId="34"/>
    <cellStyle name="Millares 24" xfId="35"/>
    <cellStyle name="Millares 25" xfId="36"/>
    <cellStyle name="Millares 3" xfId="37"/>
    <cellStyle name="Millares 4" xfId="38"/>
    <cellStyle name="Millares 5" xfId="39"/>
    <cellStyle name="Millares 6" xfId="40"/>
    <cellStyle name="Millares 7" xfId="41"/>
    <cellStyle name="Millares 8" xfId="42"/>
    <cellStyle name="Millares 9" xfId="43"/>
    <cellStyle name="Normal 10" xfId="44"/>
    <cellStyle name="Normal 10 2" xfId="45"/>
    <cellStyle name="Normal 10 2 2" xfId="46"/>
    <cellStyle name="Normal 10 3" xfId="47"/>
    <cellStyle name="Normal 10 3 2" xfId="48"/>
    <cellStyle name="Normal 10 4" xfId="49"/>
    <cellStyle name="Normal 10 4 2" xfId="50"/>
    <cellStyle name="Normal 10 5" xfId="51"/>
    <cellStyle name="Normal 10 5 2" xfId="52"/>
    <cellStyle name="Normal 10 6" xfId="53"/>
    <cellStyle name="Normal 10 6 2" xfId="54"/>
    <cellStyle name="Normal 10 7" xfId="55"/>
    <cellStyle name="Normal 11" xfId="56"/>
    <cellStyle name="Normal 11 2" xfId="57"/>
    <cellStyle name="Normal 11 2 2" xfId="58"/>
    <cellStyle name="Normal 11 3" xfId="59"/>
    <cellStyle name="Normal 11 3 2" xfId="60"/>
    <cellStyle name="Normal 11 4" xfId="61"/>
    <cellStyle name="Normal 11 4 2" xfId="62"/>
    <cellStyle name="Normal 11 5" xfId="63"/>
    <cellStyle name="Normal 11 5 2" xfId="64"/>
    <cellStyle name="Normal 11 6" xfId="65"/>
    <cellStyle name="Normal 11 6 2" xfId="66"/>
    <cellStyle name="Normal 11 7" xfId="67"/>
    <cellStyle name="Normal 12" xfId="68"/>
    <cellStyle name="Normal 12 2" xfId="69"/>
    <cellStyle name="Normal 12 2 2" xfId="70"/>
    <cellStyle name="Normal 12 3" xfId="71"/>
    <cellStyle name="Normal 13" xfId="72"/>
    <cellStyle name="Normal 13 2" xfId="73"/>
    <cellStyle name="Normal 13 2 2" xfId="74"/>
    <cellStyle name="Normal 13 3" xfId="75"/>
    <cellStyle name="Normal 14" xfId="76"/>
    <cellStyle name="Normal 14 2" xfId="77"/>
    <cellStyle name="Normal 14 2 2" xfId="78"/>
    <cellStyle name="Normal 14 3" xfId="79"/>
    <cellStyle name="Normal 15" xfId="80"/>
    <cellStyle name="Normal 15 2" xfId="81"/>
    <cellStyle name="Normal 15 2 2" xfId="82"/>
    <cellStyle name="Normal 15 3" xfId="83"/>
    <cellStyle name="Normal 16" xfId="84"/>
    <cellStyle name="Normal 16 2" xfId="85"/>
    <cellStyle name="Normal 17" xfId="86"/>
    <cellStyle name="Normal 17 2" xfId="87"/>
    <cellStyle name="Normal 18" xfId="88"/>
    <cellStyle name="Normal 18 2" xfId="89"/>
    <cellStyle name="Normal 19" xfId="90"/>
    <cellStyle name="Normal 19 2" xfId="91"/>
    <cellStyle name="Normal 2" xfId="92"/>
    <cellStyle name="Normal 2 10" xfId="93"/>
    <cellStyle name="Normal 2 11" xfId="94"/>
    <cellStyle name="Normal 2 11 2" xfId="95"/>
    <cellStyle name="Normal 2 11 2 2" xfId="96"/>
    <cellStyle name="Normal 2 11 2 2 2" xfId="97"/>
    <cellStyle name="Normal 2 11 2 2 3" xfId="98"/>
    <cellStyle name="Normal 2 11 2 2 4" xfId="99"/>
    <cellStyle name="Normal 2 11 2 2 5" xfId="100"/>
    <cellStyle name="Normal 2 11 2 2 6" xfId="101"/>
    <cellStyle name="Normal 2 11 2 3" xfId="102"/>
    <cellStyle name="Normal 2 11 2 3 2" xfId="103"/>
    <cellStyle name="Normal 2 11 2 4" xfId="104"/>
    <cellStyle name="Normal 2 11 2 4 2" xfId="105"/>
    <cellStyle name="Normal 2 11 2 5" xfId="106"/>
    <cellStyle name="Normal 2 11 2 5 2" xfId="107"/>
    <cellStyle name="Normal 2 11 3" xfId="108"/>
    <cellStyle name="Normal 2 11 4" xfId="109"/>
    <cellStyle name="Normal 2 11 5" xfId="110"/>
    <cellStyle name="Normal 2 11 6" xfId="111"/>
    <cellStyle name="Normal 2 11 7" xfId="112"/>
    <cellStyle name="Normal 2 12" xfId="113"/>
    <cellStyle name="Normal 2 13" xfId="114"/>
    <cellStyle name="Normal 2 14" xfId="115"/>
    <cellStyle name="Normal 2 15" xfId="116"/>
    <cellStyle name="Normal 2 15 2" xfId="117"/>
    <cellStyle name="Normal 2 15 3" xfId="118"/>
    <cellStyle name="Normal 2 15 4" xfId="119"/>
    <cellStyle name="Normal 2 15 5" xfId="120"/>
    <cellStyle name="Normal 2 15 6" xfId="121"/>
    <cellStyle name="Normal 2 16" xfId="122"/>
    <cellStyle name="Normal 2 16 2" xfId="123"/>
    <cellStyle name="Normal 2 17" xfId="124"/>
    <cellStyle name="Normal 2 17 2" xfId="125"/>
    <cellStyle name="Normal 2 18" xfId="126"/>
    <cellStyle name="Normal 2 18 2" xfId="127"/>
    <cellStyle name="Normal 2 19" xfId="128"/>
    <cellStyle name="Normal 2 2" xfId="129"/>
    <cellStyle name="Normal 2 2 10" xfId="130"/>
    <cellStyle name="Normal 2 2 10 2" xfId="131"/>
    <cellStyle name="Normal 2 2 11" xfId="132"/>
    <cellStyle name="Normal 2 2 11 2" xfId="133"/>
    <cellStyle name="Normal 2 2 11 2 2" xfId="134"/>
    <cellStyle name="Normal 2 2 11 2 2 2" xfId="135"/>
    <cellStyle name="Normal 2 2 11 2 2 2 2" xfId="136"/>
    <cellStyle name="Normal 2 2 11 2 2 3" xfId="137"/>
    <cellStyle name="Normal 2 2 11 2 2 3 2" xfId="138"/>
    <cellStyle name="Normal 2 2 11 2 2 4" xfId="139"/>
    <cellStyle name="Normal 2 2 11 2 2 4 2" xfId="140"/>
    <cellStyle name="Normal 2 2 11 2 2 5" xfId="141"/>
    <cellStyle name="Normal 2 2 11 2 2 5 2" xfId="142"/>
    <cellStyle name="Normal 2 2 11 2 3" xfId="143"/>
    <cellStyle name="Normal 2 2 11 2 4" xfId="144"/>
    <cellStyle name="Normal 2 2 11 2 5" xfId="145"/>
    <cellStyle name="Normal 2 2 11 2 6" xfId="146"/>
    <cellStyle name="Normal 2 2 11 3" xfId="147"/>
    <cellStyle name="Normal 2 2 11 3 2" xfId="148"/>
    <cellStyle name="Normal 2 2 11 4" xfId="149"/>
    <cellStyle name="Normal 2 2 11 4 2" xfId="150"/>
    <cellStyle name="Normal 2 2 11 5" xfId="151"/>
    <cellStyle name="Normal 2 2 11 5 2" xfId="152"/>
    <cellStyle name="Normal 2 2 11 6" xfId="153"/>
    <cellStyle name="Normal 2 2 11 6 2" xfId="154"/>
    <cellStyle name="Normal 2 2 12" xfId="155"/>
    <cellStyle name="Normal 2 2 12 2" xfId="156"/>
    <cellStyle name="Normal 2 2 13" xfId="157"/>
    <cellStyle name="Normal 2 2 13 2" xfId="158"/>
    <cellStyle name="Normal 2 2 14" xfId="159"/>
    <cellStyle name="Normal 2 2 14 2" xfId="160"/>
    <cellStyle name="Normal 2 2 15" xfId="161"/>
    <cellStyle name="Normal 2 2 15 2" xfId="162"/>
    <cellStyle name="Normal 2 2 15 2 2" xfId="163"/>
    <cellStyle name="Normal 2 2 15 3" xfId="164"/>
    <cellStyle name="Normal 2 2 15 3 2" xfId="165"/>
    <cellStyle name="Normal 2 2 15 4" xfId="166"/>
    <cellStyle name="Normal 2 2 15 4 2" xfId="167"/>
    <cellStyle name="Normal 2 2 15 5" xfId="168"/>
    <cellStyle name="Normal 2 2 15 5 2" xfId="169"/>
    <cellStyle name="Normal 2 2 16" xfId="170"/>
    <cellStyle name="Normal 2 2 17" xfId="171"/>
    <cellStyle name="Normal 2 2 18" xfId="172"/>
    <cellStyle name="Normal 2 2 19" xfId="173"/>
    <cellStyle name="Normal 2 2 2" xfId="174"/>
    <cellStyle name="Normal 2 2 2 10" xfId="175"/>
    <cellStyle name="Normal 2 2 2 11" xfId="176"/>
    <cellStyle name="Normal 2 2 2 12" xfId="177"/>
    <cellStyle name="Normal 2 2 2 13" xfId="178"/>
    <cellStyle name="Normal 2 2 2 13 2" xfId="179"/>
    <cellStyle name="Normal 2 2 2 13 3" xfId="180"/>
    <cellStyle name="Normal 2 2 2 13 4" xfId="181"/>
    <cellStyle name="Normal 2 2 2 13 5" xfId="182"/>
    <cellStyle name="Normal 2 2 2 13 6" xfId="183"/>
    <cellStyle name="Normal 2 2 2 14" xfId="184"/>
    <cellStyle name="Normal 2 2 2 14 2" xfId="185"/>
    <cellStyle name="Normal 2 2 2 15" xfId="186"/>
    <cellStyle name="Normal 2 2 2 15 2" xfId="187"/>
    <cellStyle name="Normal 2 2 2 16" xfId="188"/>
    <cellStyle name="Normal 2 2 2 16 2" xfId="189"/>
    <cellStyle name="Normal 2 2 2 2" xfId="190"/>
    <cellStyle name="Normal 2 2 2 2 10" xfId="191"/>
    <cellStyle name="Normal 2 2 2 2 10 2" xfId="192"/>
    <cellStyle name="Normal 2 2 2 2 11" xfId="193"/>
    <cellStyle name="Normal 2 2 2 2 11 2" xfId="194"/>
    <cellStyle name="Normal 2 2 2 2 12" xfId="195"/>
    <cellStyle name="Normal 2 2 2 2 12 2" xfId="196"/>
    <cellStyle name="Normal 2 2 2 2 13" xfId="197"/>
    <cellStyle name="Normal 2 2 2 2 13 2" xfId="198"/>
    <cellStyle name="Normal 2 2 2 2 13 2 2" xfId="199"/>
    <cellStyle name="Normal 2 2 2 2 13 3" xfId="200"/>
    <cellStyle name="Normal 2 2 2 2 13 3 2" xfId="201"/>
    <cellStyle name="Normal 2 2 2 2 13 4" xfId="202"/>
    <cellStyle name="Normal 2 2 2 2 13 4 2" xfId="203"/>
    <cellStyle name="Normal 2 2 2 2 13 5" xfId="204"/>
    <cellStyle name="Normal 2 2 2 2 13 5 2" xfId="205"/>
    <cellStyle name="Normal 2 2 2 2 14" xfId="206"/>
    <cellStyle name="Normal 2 2 2 2 15" xfId="207"/>
    <cellStyle name="Normal 2 2 2 2 16" xfId="208"/>
    <cellStyle name="Normal 2 2 2 2 17" xfId="209"/>
    <cellStyle name="Normal 2 2 2 2 2" xfId="210"/>
    <cellStyle name="Normal 2 2 2 2 2 2" xfId="211"/>
    <cellStyle name="Normal 2 2 2 2 2 2 10" xfId="212"/>
    <cellStyle name="Normal 2 2 2 2 2 2 2" xfId="213"/>
    <cellStyle name="Normal 2 2 2 2 2 2 2 2" xfId="214"/>
    <cellStyle name="Normal 2 2 2 2 2 2 2 2 2" xfId="215"/>
    <cellStyle name="Normal 2 2 2 2 2 2 2 2 2 2" xfId="216"/>
    <cellStyle name="Normal 2 2 2 2 2 2 2 2 2 2 2" xfId="217"/>
    <cellStyle name="Normal 2 2 2 2 2 2 2 2 2 3" xfId="218"/>
    <cellStyle name="Normal 2 2 2 2 2 2 2 2 2 3 2" xfId="219"/>
    <cellStyle name="Normal 2 2 2 2 2 2 2 2 2 4" xfId="220"/>
    <cellStyle name="Normal 2 2 2 2 2 2 2 2 2 4 2" xfId="221"/>
    <cellStyle name="Normal 2 2 2 2 2 2 2 2 2 5" xfId="222"/>
    <cellStyle name="Normal 2 2 2 2 2 2 2 2 2 5 2" xfId="223"/>
    <cellStyle name="Normal 2 2 2 2 2 2 2 2 3" xfId="224"/>
    <cellStyle name="Normal 2 2 2 2 2 2 2 2 4" xfId="225"/>
    <cellStyle name="Normal 2 2 2 2 2 2 2 2 5" xfId="226"/>
    <cellStyle name="Normal 2 2 2 2 2 2 2 2 6" xfId="227"/>
    <cellStyle name="Normal 2 2 2 2 2 2 2 3" xfId="228"/>
    <cellStyle name="Normal 2 2 2 2 2 2 2 3 2" xfId="229"/>
    <cellStyle name="Normal 2 2 2 2 2 2 2 4" xfId="230"/>
    <cellStyle name="Normal 2 2 2 2 2 2 2 4 2" xfId="231"/>
    <cellStyle name="Normal 2 2 2 2 2 2 2 5" xfId="232"/>
    <cellStyle name="Normal 2 2 2 2 2 2 2 5 2" xfId="233"/>
    <cellStyle name="Normal 2 2 2 2 2 2 2 6" xfId="234"/>
    <cellStyle name="Normal 2 2 2 2 2 2 2 6 2" xfId="235"/>
    <cellStyle name="Normal 2 2 2 2 2 2 3" xfId="236"/>
    <cellStyle name="Normal 2 2 2 2 2 2 3 2" xfId="237"/>
    <cellStyle name="Normal 2 2 2 2 2 2 4" xfId="238"/>
    <cellStyle name="Normal 2 2 2 2 2 2 4 2" xfId="239"/>
    <cellStyle name="Normal 2 2 2 2 2 2 5" xfId="240"/>
    <cellStyle name="Normal 2 2 2 2 2 2 5 2" xfId="241"/>
    <cellStyle name="Normal 2 2 2 2 2 2 6" xfId="242"/>
    <cellStyle name="Normal 2 2 2 2 2 2 6 2" xfId="243"/>
    <cellStyle name="Normal 2 2 2 2 2 2 6 2 2" xfId="244"/>
    <cellStyle name="Normal 2 2 2 2 2 2 6 3" xfId="245"/>
    <cellStyle name="Normal 2 2 2 2 2 2 6 3 2" xfId="246"/>
    <cellStyle name="Normal 2 2 2 2 2 2 6 4" xfId="247"/>
    <cellStyle name="Normal 2 2 2 2 2 2 6 4 2" xfId="248"/>
    <cellStyle name="Normal 2 2 2 2 2 2 6 5" xfId="249"/>
    <cellStyle name="Normal 2 2 2 2 2 2 6 5 2" xfId="250"/>
    <cellStyle name="Normal 2 2 2 2 2 2 7" xfId="251"/>
    <cellStyle name="Normal 2 2 2 2 2 2 8" xfId="252"/>
    <cellStyle name="Normal 2 2 2 2 2 2 9" xfId="253"/>
    <cellStyle name="Normal 2 2 2 2 2 3" xfId="254"/>
    <cellStyle name="Normal 2 2 2 2 2 3 2" xfId="255"/>
    <cellStyle name="Normal 2 2 2 2 2 3 2 2" xfId="256"/>
    <cellStyle name="Normal 2 2 2 2 2 3 2 2 2" xfId="257"/>
    <cellStyle name="Normal 2 2 2 2 2 3 2 2 3" xfId="258"/>
    <cellStyle name="Normal 2 2 2 2 2 3 2 2 4" xfId="259"/>
    <cellStyle name="Normal 2 2 2 2 2 3 2 2 5" xfId="260"/>
    <cellStyle name="Normal 2 2 2 2 2 3 2 2 6" xfId="261"/>
    <cellStyle name="Normal 2 2 2 2 2 3 2 3" xfId="262"/>
    <cellStyle name="Normal 2 2 2 2 2 3 2 3 2" xfId="263"/>
    <cellStyle name="Normal 2 2 2 2 2 3 2 4" xfId="264"/>
    <cellStyle name="Normal 2 2 2 2 2 3 2 4 2" xfId="265"/>
    <cellStyle name="Normal 2 2 2 2 2 3 2 5" xfId="266"/>
    <cellStyle name="Normal 2 2 2 2 2 3 2 5 2" xfId="267"/>
    <cellStyle name="Normal 2 2 2 2 2 3 3" xfId="268"/>
    <cellStyle name="Normal 2 2 2 2 2 3 4" xfId="269"/>
    <cellStyle name="Normal 2 2 2 2 2 3 5" xfId="270"/>
    <cellStyle name="Normal 2 2 2 2 2 3 6" xfId="271"/>
    <cellStyle name="Normal 2 2 2 2 2 3 7" xfId="272"/>
    <cellStyle name="Normal 2 2 2 2 2 4" xfId="273"/>
    <cellStyle name="Normal 2 2 2 2 2 5" xfId="274"/>
    <cellStyle name="Normal 2 2 2 2 2 6" xfId="275"/>
    <cellStyle name="Normal 2 2 2 2 2 6 2" xfId="276"/>
    <cellStyle name="Normal 2 2 2 2 2 6 3" xfId="277"/>
    <cellStyle name="Normal 2 2 2 2 2 6 4" xfId="278"/>
    <cellStyle name="Normal 2 2 2 2 2 6 5" xfId="279"/>
    <cellStyle name="Normal 2 2 2 2 2 6 6" xfId="280"/>
    <cellStyle name="Normal 2 2 2 2 2 7" xfId="281"/>
    <cellStyle name="Normal 2 2 2 2 2 7 2" xfId="282"/>
    <cellStyle name="Normal 2 2 2 2 2 8" xfId="283"/>
    <cellStyle name="Normal 2 2 2 2 2 8 2" xfId="284"/>
    <cellStyle name="Normal 2 2 2 2 2 9" xfId="285"/>
    <cellStyle name="Normal 2 2 2 2 2 9 2" xfId="286"/>
    <cellStyle name="Normal 2 2 2 2 3" xfId="287"/>
    <cellStyle name="Normal 2 2 2 2 3 2" xfId="288"/>
    <cellStyle name="Normal 2 2 2 2 4" xfId="289"/>
    <cellStyle name="Normal 2 2 2 2 4 2" xfId="290"/>
    <cellStyle name="Normal 2 2 2 2 5" xfId="291"/>
    <cellStyle name="Normal 2 2 2 2 5 2" xfId="292"/>
    <cellStyle name="Normal 2 2 2 2 6" xfId="293"/>
    <cellStyle name="Normal 2 2 2 2 6 2" xfId="294"/>
    <cellStyle name="Normal 2 2 2 2 7" xfId="295"/>
    <cellStyle name="Normal 2 2 2 2 7 2" xfId="296"/>
    <cellStyle name="Normal 2 2 2 2 8" xfId="297"/>
    <cellStyle name="Normal 2 2 2 2 8 2" xfId="298"/>
    <cellStyle name="Normal 2 2 2 2 9" xfId="299"/>
    <cellStyle name="Normal 2 2 2 2 9 2" xfId="300"/>
    <cellStyle name="Normal 2 2 2 2 9 2 2" xfId="301"/>
    <cellStyle name="Normal 2 2 2 2 9 2 2 2" xfId="302"/>
    <cellStyle name="Normal 2 2 2 2 9 2 2 2 2" xfId="303"/>
    <cellStyle name="Normal 2 2 2 2 9 2 2 3" xfId="304"/>
    <cellStyle name="Normal 2 2 2 2 9 2 2 3 2" xfId="305"/>
    <cellStyle name="Normal 2 2 2 2 9 2 2 4" xfId="306"/>
    <cellStyle name="Normal 2 2 2 2 9 2 2 4 2" xfId="307"/>
    <cellStyle name="Normal 2 2 2 2 9 2 2 5" xfId="308"/>
    <cellStyle name="Normal 2 2 2 2 9 2 2 5 2" xfId="309"/>
    <cellStyle name="Normal 2 2 2 2 9 2 3" xfId="310"/>
    <cellStyle name="Normal 2 2 2 2 9 2 4" xfId="311"/>
    <cellStyle name="Normal 2 2 2 2 9 2 5" xfId="312"/>
    <cellStyle name="Normal 2 2 2 2 9 2 6" xfId="313"/>
    <cellStyle name="Normal 2 2 2 2 9 3" xfId="314"/>
    <cellStyle name="Normal 2 2 2 2 9 3 2" xfId="315"/>
    <cellStyle name="Normal 2 2 2 2 9 4" xfId="316"/>
    <cellStyle name="Normal 2 2 2 2 9 4 2" xfId="317"/>
    <cellStyle name="Normal 2 2 2 2 9 5" xfId="318"/>
    <cellStyle name="Normal 2 2 2 2 9 5 2" xfId="319"/>
    <cellStyle name="Normal 2 2 2 2 9 6" xfId="320"/>
    <cellStyle name="Normal 2 2 2 2 9 6 2" xfId="321"/>
    <cellStyle name="Normal 2 2 2 3" xfId="322"/>
    <cellStyle name="Normal 2 2 2 3 10" xfId="323"/>
    <cellStyle name="Normal 2 2 2 3 2" xfId="324"/>
    <cellStyle name="Normal 2 2 2 3 2 2" xfId="325"/>
    <cellStyle name="Normal 2 2 2 3 2 2 2" xfId="326"/>
    <cellStyle name="Normal 2 2 2 3 2 2 2 2" xfId="327"/>
    <cellStyle name="Normal 2 2 2 3 2 2 2 2 2" xfId="328"/>
    <cellStyle name="Normal 2 2 2 3 2 2 2 2 3" xfId="329"/>
    <cellStyle name="Normal 2 2 2 3 2 2 2 2 4" xfId="330"/>
    <cellStyle name="Normal 2 2 2 3 2 2 2 2 5" xfId="331"/>
    <cellStyle name="Normal 2 2 2 3 2 2 2 2 6" xfId="332"/>
    <cellStyle name="Normal 2 2 2 3 2 2 2 3" xfId="333"/>
    <cellStyle name="Normal 2 2 2 3 2 2 2 3 2" xfId="334"/>
    <cellStyle name="Normal 2 2 2 3 2 2 2 4" xfId="335"/>
    <cellStyle name="Normal 2 2 2 3 2 2 2 4 2" xfId="336"/>
    <cellStyle name="Normal 2 2 2 3 2 2 2 5" xfId="337"/>
    <cellStyle name="Normal 2 2 2 3 2 2 2 5 2" xfId="338"/>
    <cellStyle name="Normal 2 2 2 3 2 2 3" xfId="339"/>
    <cellStyle name="Normal 2 2 2 3 2 2 4" xfId="340"/>
    <cellStyle name="Normal 2 2 2 3 2 2 5" xfId="341"/>
    <cellStyle name="Normal 2 2 2 3 2 2 6" xfId="342"/>
    <cellStyle name="Normal 2 2 2 3 2 2 7" xfId="343"/>
    <cellStyle name="Normal 2 2 2 3 2 3" xfId="344"/>
    <cellStyle name="Normal 2 2 2 3 2 4" xfId="345"/>
    <cellStyle name="Normal 2 2 2 3 2 5" xfId="346"/>
    <cellStyle name="Normal 2 2 2 3 2 6" xfId="347"/>
    <cellStyle name="Normal 2 2 2 3 2 6 2" xfId="348"/>
    <cellStyle name="Normal 2 2 2 3 2 6 3" xfId="349"/>
    <cellStyle name="Normal 2 2 2 3 2 6 4" xfId="350"/>
    <cellStyle name="Normal 2 2 2 3 2 6 5" xfId="351"/>
    <cellStyle name="Normal 2 2 2 3 2 6 6" xfId="352"/>
    <cellStyle name="Normal 2 2 2 3 2 7" xfId="353"/>
    <cellStyle name="Normal 2 2 2 3 2 7 2" xfId="354"/>
    <cellStyle name="Normal 2 2 2 3 2 8" xfId="355"/>
    <cellStyle name="Normal 2 2 2 3 2 8 2" xfId="356"/>
    <cellStyle name="Normal 2 2 2 3 2 9" xfId="357"/>
    <cellStyle name="Normal 2 2 2 3 2 9 2" xfId="358"/>
    <cellStyle name="Normal 2 2 2 3 3" xfId="359"/>
    <cellStyle name="Normal 2 2 2 3 3 2" xfId="360"/>
    <cellStyle name="Normal 2 2 2 3 3 2 2" xfId="361"/>
    <cellStyle name="Normal 2 2 2 3 3 2 2 2" xfId="362"/>
    <cellStyle name="Normal 2 2 2 3 3 2 2 2 2" xfId="363"/>
    <cellStyle name="Normal 2 2 2 3 3 2 2 3" xfId="364"/>
    <cellStyle name="Normal 2 2 2 3 3 2 2 3 2" xfId="365"/>
    <cellStyle name="Normal 2 2 2 3 3 2 2 4" xfId="366"/>
    <cellStyle name="Normal 2 2 2 3 3 2 2 4 2" xfId="367"/>
    <cellStyle name="Normal 2 2 2 3 3 2 2 5" xfId="368"/>
    <cellStyle name="Normal 2 2 2 3 3 2 2 5 2" xfId="369"/>
    <cellStyle name="Normal 2 2 2 3 3 2 3" xfId="370"/>
    <cellStyle name="Normal 2 2 2 3 3 2 4" xfId="371"/>
    <cellStyle name="Normal 2 2 2 3 3 2 5" xfId="372"/>
    <cellStyle name="Normal 2 2 2 3 3 2 6" xfId="373"/>
    <cellStyle name="Normal 2 2 2 3 3 3" xfId="374"/>
    <cellStyle name="Normal 2 2 2 3 3 3 2" xfId="375"/>
    <cellStyle name="Normal 2 2 2 3 3 4" xfId="376"/>
    <cellStyle name="Normal 2 2 2 3 3 4 2" xfId="377"/>
    <cellStyle name="Normal 2 2 2 3 3 5" xfId="378"/>
    <cellStyle name="Normal 2 2 2 3 3 5 2" xfId="379"/>
    <cellStyle name="Normal 2 2 2 3 3 6" xfId="380"/>
    <cellStyle name="Normal 2 2 2 3 3 6 2" xfId="381"/>
    <cellStyle name="Normal 2 2 2 3 4" xfId="382"/>
    <cellStyle name="Normal 2 2 2 3 4 2" xfId="383"/>
    <cellStyle name="Normal 2 2 2 3 5" xfId="384"/>
    <cellStyle name="Normal 2 2 2 3 5 2" xfId="385"/>
    <cellStyle name="Normal 2 2 2 3 6" xfId="386"/>
    <cellStyle name="Normal 2 2 2 3 6 2" xfId="387"/>
    <cellStyle name="Normal 2 2 2 3 6 2 2" xfId="388"/>
    <cellStyle name="Normal 2 2 2 3 6 3" xfId="389"/>
    <cellStyle name="Normal 2 2 2 3 6 3 2" xfId="390"/>
    <cellStyle name="Normal 2 2 2 3 6 4" xfId="391"/>
    <cellStyle name="Normal 2 2 2 3 6 4 2" xfId="392"/>
    <cellStyle name="Normal 2 2 2 3 6 5" xfId="393"/>
    <cellStyle name="Normal 2 2 2 3 6 5 2" xfId="394"/>
    <cellStyle name="Normal 2 2 2 3 7" xfId="395"/>
    <cellStyle name="Normal 2 2 2 3 8" xfId="396"/>
    <cellStyle name="Normal 2 2 2 3 9" xfId="397"/>
    <cellStyle name="Normal 2 2 2 4" xfId="398"/>
    <cellStyle name="Normal 2 2 2 5" xfId="399"/>
    <cellStyle name="Normal 2 2 2 6" xfId="400"/>
    <cellStyle name="Normal 2 2 2 7" xfId="401"/>
    <cellStyle name="Normal 2 2 2 8" xfId="402"/>
    <cellStyle name="Normal 2 2 2 9" xfId="403"/>
    <cellStyle name="Normal 2 2 2 9 2" xfId="404"/>
    <cellStyle name="Normal 2 2 2 9 2 2" xfId="405"/>
    <cellStyle name="Normal 2 2 2 9 2 2 2" xfId="406"/>
    <cellStyle name="Normal 2 2 2 9 2 2 3" xfId="407"/>
    <cellStyle name="Normal 2 2 2 9 2 2 4" xfId="408"/>
    <cellStyle name="Normal 2 2 2 9 2 2 5" xfId="409"/>
    <cellStyle name="Normal 2 2 2 9 2 2 6" xfId="410"/>
    <cellStyle name="Normal 2 2 2 9 2 3" xfId="411"/>
    <cellStyle name="Normal 2 2 2 9 2 3 2" xfId="412"/>
    <cellStyle name="Normal 2 2 2 9 2 4" xfId="413"/>
    <cellStyle name="Normal 2 2 2 9 2 4 2" xfId="414"/>
    <cellStyle name="Normal 2 2 2 9 2 5" xfId="415"/>
    <cellStyle name="Normal 2 2 2 9 2 5 2" xfId="416"/>
    <cellStyle name="Normal 2 2 2 9 3" xfId="417"/>
    <cellStyle name="Normal 2 2 2 9 4" xfId="418"/>
    <cellStyle name="Normal 2 2 2 9 5" xfId="419"/>
    <cellStyle name="Normal 2 2 2 9 6" xfId="420"/>
    <cellStyle name="Normal 2 2 2 9 7" xfId="421"/>
    <cellStyle name="Normal 2 2 3" xfId="422"/>
    <cellStyle name="Normal 2 2 3 2" xfId="423"/>
    <cellStyle name="Normal 2 2 4" xfId="424"/>
    <cellStyle name="Normal 2 2 4 2" xfId="425"/>
    <cellStyle name="Normal 2 2 4 2 10" xfId="426"/>
    <cellStyle name="Normal 2 2 4 2 2" xfId="427"/>
    <cellStyle name="Normal 2 2 4 2 2 2" xfId="428"/>
    <cellStyle name="Normal 2 2 4 2 2 2 2" xfId="429"/>
    <cellStyle name="Normal 2 2 4 2 2 2 2 2" xfId="430"/>
    <cellStyle name="Normal 2 2 4 2 2 2 2 2 2" xfId="431"/>
    <cellStyle name="Normal 2 2 4 2 2 2 2 3" xfId="432"/>
    <cellStyle name="Normal 2 2 4 2 2 2 2 3 2" xfId="433"/>
    <cellStyle name="Normal 2 2 4 2 2 2 2 4" xfId="434"/>
    <cellStyle name="Normal 2 2 4 2 2 2 2 4 2" xfId="435"/>
    <cellStyle name="Normal 2 2 4 2 2 2 2 5" xfId="436"/>
    <cellStyle name="Normal 2 2 4 2 2 2 2 5 2" xfId="437"/>
    <cellStyle name="Normal 2 2 4 2 2 2 3" xfId="438"/>
    <cellStyle name="Normal 2 2 4 2 2 2 4" xfId="439"/>
    <cellStyle name="Normal 2 2 4 2 2 2 5" xfId="440"/>
    <cellStyle name="Normal 2 2 4 2 2 2 6" xfId="441"/>
    <cellStyle name="Normal 2 2 4 2 2 3" xfId="442"/>
    <cellStyle name="Normal 2 2 4 2 2 3 2" xfId="443"/>
    <cellStyle name="Normal 2 2 4 2 2 4" xfId="444"/>
    <cellStyle name="Normal 2 2 4 2 2 4 2" xfId="445"/>
    <cellStyle name="Normal 2 2 4 2 2 5" xfId="446"/>
    <cellStyle name="Normal 2 2 4 2 2 5 2" xfId="447"/>
    <cellStyle name="Normal 2 2 4 2 2 6" xfId="448"/>
    <cellStyle name="Normal 2 2 4 2 2 6 2" xfId="449"/>
    <cellStyle name="Normal 2 2 4 2 3" xfId="450"/>
    <cellStyle name="Normal 2 2 4 2 3 2" xfId="451"/>
    <cellStyle name="Normal 2 2 4 2 4" xfId="452"/>
    <cellStyle name="Normal 2 2 4 2 4 2" xfId="453"/>
    <cellStyle name="Normal 2 2 4 2 5" xfId="454"/>
    <cellStyle name="Normal 2 2 4 2 5 2" xfId="455"/>
    <cellStyle name="Normal 2 2 4 2 6" xfId="456"/>
    <cellStyle name="Normal 2 2 4 2 6 2" xfId="457"/>
    <cellStyle name="Normal 2 2 4 2 6 2 2" xfId="458"/>
    <cellStyle name="Normal 2 2 4 2 6 3" xfId="459"/>
    <cellStyle name="Normal 2 2 4 2 6 3 2" xfId="460"/>
    <cellStyle name="Normal 2 2 4 2 6 4" xfId="461"/>
    <cellStyle name="Normal 2 2 4 2 6 4 2" xfId="462"/>
    <cellStyle name="Normal 2 2 4 2 6 5" xfId="463"/>
    <cellStyle name="Normal 2 2 4 2 6 5 2" xfId="464"/>
    <cellStyle name="Normal 2 2 4 2 7" xfId="465"/>
    <cellStyle name="Normal 2 2 4 2 8" xfId="466"/>
    <cellStyle name="Normal 2 2 4 2 9" xfId="467"/>
    <cellStyle name="Normal 2 2 4 3" xfId="468"/>
    <cellStyle name="Normal 2 2 4 3 2" xfId="469"/>
    <cellStyle name="Normal 2 2 4 3 2 2" xfId="470"/>
    <cellStyle name="Normal 2 2 4 3 2 2 2" xfId="471"/>
    <cellStyle name="Normal 2 2 4 3 2 2 3" xfId="472"/>
    <cellStyle name="Normal 2 2 4 3 2 2 4" xfId="473"/>
    <cellStyle name="Normal 2 2 4 3 2 2 5" xfId="474"/>
    <cellStyle name="Normal 2 2 4 3 2 2 6" xfId="475"/>
    <cellStyle name="Normal 2 2 4 3 2 3" xfId="476"/>
    <cellStyle name="Normal 2 2 4 3 2 3 2" xfId="477"/>
    <cellStyle name="Normal 2 2 4 3 2 4" xfId="478"/>
    <cellStyle name="Normal 2 2 4 3 2 4 2" xfId="479"/>
    <cellStyle name="Normal 2 2 4 3 2 5" xfId="480"/>
    <cellStyle name="Normal 2 2 4 3 2 5 2" xfId="481"/>
    <cellStyle name="Normal 2 2 4 3 3" xfId="482"/>
    <cellStyle name="Normal 2 2 4 3 4" xfId="483"/>
    <cellStyle name="Normal 2 2 4 3 5" xfId="484"/>
    <cellStyle name="Normal 2 2 4 3 6" xfId="485"/>
    <cellStyle name="Normal 2 2 4 3 7" xfId="486"/>
    <cellStyle name="Normal 2 2 4 4" xfId="487"/>
    <cellStyle name="Normal 2 2 4 5" xfId="488"/>
    <cellStyle name="Normal 2 2 4 6" xfId="489"/>
    <cellStyle name="Normal 2 2 4 6 2" xfId="490"/>
    <cellStyle name="Normal 2 2 4 6 3" xfId="491"/>
    <cellStyle name="Normal 2 2 4 6 4" xfId="492"/>
    <cellStyle name="Normal 2 2 4 6 5" xfId="493"/>
    <cellStyle name="Normal 2 2 4 6 6" xfId="494"/>
    <cellStyle name="Normal 2 2 4 7" xfId="495"/>
    <cellStyle name="Normal 2 2 4 7 2" xfId="496"/>
    <cellStyle name="Normal 2 2 4 8" xfId="497"/>
    <cellStyle name="Normal 2 2 4 8 2" xfId="498"/>
    <cellStyle name="Normal 2 2 4 9" xfId="499"/>
    <cellStyle name="Normal 2 2 4 9 2" xfId="500"/>
    <cellStyle name="Normal 2 2 5" xfId="501"/>
    <cellStyle name="Normal 2 2 5 2" xfId="502"/>
    <cellStyle name="Normal 2 2 6" xfId="503"/>
    <cellStyle name="Normal 2 2 6 2" xfId="504"/>
    <cellStyle name="Normal 2 2 7" xfId="505"/>
    <cellStyle name="Normal 2 2 7 2" xfId="506"/>
    <cellStyle name="Normal 2 2 8" xfId="507"/>
    <cellStyle name="Normal 2 2 8 2" xfId="508"/>
    <cellStyle name="Normal 2 2 9" xfId="509"/>
    <cellStyle name="Normal 2 2 9 2" xfId="510"/>
    <cellStyle name="Normal 2 3" xfId="511"/>
    <cellStyle name="Normal 2 3 10" xfId="512"/>
    <cellStyle name="Normal 2 3 10 2" xfId="513"/>
    <cellStyle name="Normal 2 3 11" xfId="514"/>
    <cellStyle name="Normal 2 3 11 2" xfId="515"/>
    <cellStyle name="Normal 2 3 12" xfId="516"/>
    <cellStyle name="Normal 2 3 12 2" xfId="517"/>
    <cellStyle name="Normal 2 3 13" xfId="518"/>
    <cellStyle name="Normal 2 3 13 2" xfId="519"/>
    <cellStyle name="Normal 2 3 13 2 2" xfId="520"/>
    <cellStyle name="Normal 2 3 13 3" xfId="521"/>
    <cellStyle name="Normal 2 3 13 3 2" xfId="522"/>
    <cellStyle name="Normal 2 3 13 4" xfId="523"/>
    <cellStyle name="Normal 2 3 13 4 2" xfId="524"/>
    <cellStyle name="Normal 2 3 13 5" xfId="525"/>
    <cellStyle name="Normal 2 3 13 5 2" xfId="526"/>
    <cellStyle name="Normal 2 3 14" xfId="527"/>
    <cellStyle name="Normal 2 3 15" xfId="528"/>
    <cellStyle name="Normal 2 3 16" xfId="529"/>
    <cellStyle name="Normal 2 3 17" xfId="530"/>
    <cellStyle name="Normal 2 3 2" xfId="531"/>
    <cellStyle name="Normal 2 3 2 10" xfId="532"/>
    <cellStyle name="Normal 2 3 2 11" xfId="533"/>
    <cellStyle name="Normal 2 3 2 12" xfId="534"/>
    <cellStyle name="Normal 2 3 2 13" xfId="535"/>
    <cellStyle name="Normal 2 3 2 13 2" xfId="536"/>
    <cellStyle name="Normal 2 3 2 13 3" xfId="537"/>
    <cellStyle name="Normal 2 3 2 13 4" xfId="538"/>
    <cellStyle name="Normal 2 3 2 13 5" xfId="539"/>
    <cellStyle name="Normal 2 3 2 13 6" xfId="540"/>
    <cellStyle name="Normal 2 3 2 14" xfId="541"/>
    <cellStyle name="Normal 2 3 2 14 2" xfId="542"/>
    <cellStyle name="Normal 2 3 2 15" xfId="543"/>
    <cellStyle name="Normal 2 3 2 15 2" xfId="544"/>
    <cellStyle name="Normal 2 3 2 16" xfId="545"/>
    <cellStyle name="Normal 2 3 2 16 2" xfId="546"/>
    <cellStyle name="Normal 2 3 2 2" xfId="547"/>
    <cellStyle name="Normal 2 3 2 2 10" xfId="548"/>
    <cellStyle name="Normal 2 3 2 2 2" xfId="549"/>
    <cellStyle name="Normal 2 3 2 2 2 2" xfId="550"/>
    <cellStyle name="Normal 2 3 2 2 2 2 2" xfId="551"/>
    <cellStyle name="Normal 2 3 2 2 2 2 2 2" xfId="552"/>
    <cellStyle name="Normal 2 3 2 2 2 2 2 2 2" xfId="553"/>
    <cellStyle name="Normal 2 3 2 2 2 2 2 2 3" xfId="554"/>
    <cellStyle name="Normal 2 3 2 2 2 2 2 2 4" xfId="555"/>
    <cellStyle name="Normal 2 3 2 2 2 2 2 2 5" xfId="556"/>
    <cellStyle name="Normal 2 3 2 2 2 2 2 2 6" xfId="557"/>
    <cellStyle name="Normal 2 3 2 2 2 2 2 3" xfId="558"/>
    <cellStyle name="Normal 2 3 2 2 2 2 2 3 2" xfId="559"/>
    <cellStyle name="Normal 2 3 2 2 2 2 2 4" xfId="560"/>
    <cellStyle name="Normal 2 3 2 2 2 2 2 4 2" xfId="561"/>
    <cellStyle name="Normal 2 3 2 2 2 2 2 5" xfId="562"/>
    <cellStyle name="Normal 2 3 2 2 2 2 2 5 2" xfId="563"/>
    <cellStyle name="Normal 2 3 2 2 2 2 3" xfId="564"/>
    <cellStyle name="Normal 2 3 2 2 2 2 4" xfId="565"/>
    <cellStyle name="Normal 2 3 2 2 2 2 5" xfId="566"/>
    <cellStyle name="Normal 2 3 2 2 2 2 6" xfId="567"/>
    <cellStyle name="Normal 2 3 2 2 2 2 7" xfId="568"/>
    <cellStyle name="Normal 2 3 2 2 2 3" xfId="569"/>
    <cellStyle name="Normal 2 3 2 2 2 4" xfId="570"/>
    <cellStyle name="Normal 2 3 2 2 2 5" xfId="571"/>
    <cellStyle name="Normal 2 3 2 2 2 6" xfId="572"/>
    <cellStyle name="Normal 2 3 2 2 2 6 2" xfId="573"/>
    <cellStyle name="Normal 2 3 2 2 2 6 3" xfId="574"/>
    <cellStyle name="Normal 2 3 2 2 2 6 4" xfId="575"/>
    <cellStyle name="Normal 2 3 2 2 2 6 5" xfId="576"/>
    <cellStyle name="Normal 2 3 2 2 2 6 6" xfId="577"/>
    <cellStyle name="Normal 2 3 2 2 2 7" xfId="578"/>
    <cellStyle name="Normal 2 3 2 2 2 7 2" xfId="579"/>
    <cellStyle name="Normal 2 3 2 2 2 8" xfId="580"/>
    <cellStyle name="Normal 2 3 2 2 2 8 2" xfId="581"/>
    <cellStyle name="Normal 2 3 2 2 2 9" xfId="582"/>
    <cellStyle name="Normal 2 3 2 2 2 9 2" xfId="583"/>
    <cellStyle name="Normal 2 3 2 2 3" xfId="584"/>
    <cellStyle name="Normal 2 3 2 2 3 2" xfId="585"/>
    <cellStyle name="Normal 2 3 2 2 3 2 2" xfId="586"/>
    <cellStyle name="Normal 2 3 2 2 3 2 2 2" xfId="587"/>
    <cellStyle name="Normal 2 3 2 2 3 2 2 2 2" xfId="588"/>
    <cellStyle name="Normal 2 3 2 2 3 2 2 3" xfId="589"/>
    <cellStyle name="Normal 2 3 2 2 3 2 2 3 2" xfId="590"/>
    <cellStyle name="Normal 2 3 2 2 3 2 2 4" xfId="591"/>
    <cellStyle name="Normal 2 3 2 2 3 2 2 4 2" xfId="592"/>
    <cellStyle name="Normal 2 3 2 2 3 2 2 5" xfId="593"/>
    <cellStyle name="Normal 2 3 2 2 3 2 2 5 2" xfId="594"/>
    <cellStyle name="Normal 2 3 2 2 3 2 3" xfId="595"/>
    <cellStyle name="Normal 2 3 2 2 3 2 4" xfId="596"/>
    <cellStyle name="Normal 2 3 2 2 3 2 5" xfId="597"/>
    <cellStyle name="Normal 2 3 2 2 3 2 6" xfId="598"/>
    <cellStyle name="Normal 2 3 2 2 3 3" xfId="599"/>
    <cellStyle name="Normal 2 3 2 2 3 3 2" xfId="600"/>
    <cellStyle name="Normal 2 3 2 2 3 4" xfId="601"/>
    <cellStyle name="Normal 2 3 2 2 3 4 2" xfId="602"/>
    <cellStyle name="Normal 2 3 2 2 3 5" xfId="603"/>
    <cellStyle name="Normal 2 3 2 2 3 5 2" xfId="604"/>
    <cellStyle name="Normal 2 3 2 2 3 6" xfId="605"/>
    <cellStyle name="Normal 2 3 2 2 3 6 2" xfId="606"/>
    <cellStyle name="Normal 2 3 2 2 4" xfId="607"/>
    <cellStyle name="Normal 2 3 2 2 4 2" xfId="608"/>
    <cellStyle name="Normal 2 3 2 2 5" xfId="609"/>
    <cellStyle name="Normal 2 3 2 2 5 2" xfId="610"/>
    <cellStyle name="Normal 2 3 2 2 6" xfId="611"/>
    <cellStyle name="Normal 2 3 2 2 6 2" xfId="612"/>
    <cellStyle name="Normal 2 3 2 2 6 2 2" xfId="613"/>
    <cellStyle name="Normal 2 3 2 2 6 3" xfId="614"/>
    <cellStyle name="Normal 2 3 2 2 6 3 2" xfId="615"/>
    <cellStyle name="Normal 2 3 2 2 6 4" xfId="616"/>
    <cellStyle name="Normal 2 3 2 2 6 4 2" xfId="617"/>
    <cellStyle name="Normal 2 3 2 2 6 5" xfId="618"/>
    <cellStyle name="Normal 2 3 2 2 6 5 2" xfId="619"/>
    <cellStyle name="Normal 2 3 2 2 7" xfId="620"/>
    <cellStyle name="Normal 2 3 2 2 8" xfId="621"/>
    <cellStyle name="Normal 2 3 2 2 9" xfId="622"/>
    <cellStyle name="Normal 2 3 2 3" xfId="623"/>
    <cellStyle name="Normal 2 3 2 4" xfId="624"/>
    <cellStyle name="Normal 2 3 2 5" xfId="625"/>
    <cellStyle name="Normal 2 3 2 6" xfId="626"/>
    <cellStyle name="Normal 2 3 2 7" xfId="627"/>
    <cellStyle name="Normal 2 3 2 8" xfId="628"/>
    <cellStyle name="Normal 2 3 2 9" xfId="629"/>
    <cellStyle name="Normal 2 3 2 9 2" xfId="630"/>
    <cellStyle name="Normal 2 3 2 9 2 2" xfId="631"/>
    <cellStyle name="Normal 2 3 2 9 2 2 2" xfId="632"/>
    <cellStyle name="Normal 2 3 2 9 2 2 3" xfId="633"/>
    <cellStyle name="Normal 2 3 2 9 2 2 4" xfId="634"/>
    <cellStyle name="Normal 2 3 2 9 2 2 5" xfId="635"/>
    <cellStyle name="Normal 2 3 2 9 2 2 6" xfId="636"/>
    <cellStyle name="Normal 2 3 2 9 2 3" xfId="637"/>
    <cellStyle name="Normal 2 3 2 9 2 3 2" xfId="638"/>
    <cellStyle name="Normal 2 3 2 9 2 4" xfId="639"/>
    <cellStyle name="Normal 2 3 2 9 2 4 2" xfId="640"/>
    <cellStyle name="Normal 2 3 2 9 2 5" xfId="641"/>
    <cellStyle name="Normal 2 3 2 9 2 5 2" xfId="642"/>
    <cellStyle name="Normal 2 3 2 9 3" xfId="643"/>
    <cellStyle name="Normal 2 3 2 9 4" xfId="644"/>
    <cellStyle name="Normal 2 3 2 9 5" xfId="645"/>
    <cellStyle name="Normal 2 3 2 9 6" xfId="646"/>
    <cellStyle name="Normal 2 3 2 9 7" xfId="647"/>
    <cellStyle name="Normal 2 3 3" xfId="648"/>
    <cellStyle name="Normal 2 3 3 2" xfId="649"/>
    <cellStyle name="Normal 2 3 3 2 10" xfId="650"/>
    <cellStyle name="Normal 2 3 3 2 2" xfId="651"/>
    <cellStyle name="Normal 2 3 3 2 2 2" xfId="652"/>
    <cellStyle name="Normal 2 3 3 2 2 2 2" xfId="653"/>
    <cellStyle name="Normal 2 3 3 2 2 2 2 2" xfId="654"/>
    <cellStyle name="Normal 2 3 3 2 2 2 2 2 2" xfId="655"/>
    <cellStyle name="Normal 2 3 3 2 2 2 2 3" xfId="656"/>
    <cellStyle name="Normal 2 3 3 2 2 2 2 3 2" xfId="657"/>
    <cellStyle name="Normal 2 3 3 2 2 2 2 4" xfId="658"/>
    <cellStyle name="Normal 2 3 3 2 2 2 2 4 2" xfId="659"/>
    <cellStyle name="Normal 2 3 3 2 2 2 2 5" xfId="660"/>
    <cellStyle name="Normal 2 3 3 2 2 2 2 5 2" xfId="661"/>
    <cellStyle name="Normal 2 3 3 2 2 2 3" xfId="662"/>
    <cellStyle name="Normal 2 3 3 2 2 2 4" xfId="663"/>
    <cellStyle name="Normal 2 3 3 2 2 2 5" xfId="664"/>
    <cellStyle name="Normal 2 3 3 2 2 2 6" xfId="665"/>
    <cellStyle name="Normal 2 3 3 2 2 3" xfId="666"/>
    <cellStyle name="Normal 2 3 3 2 2 3 2" xfId="667"/>
    <cellStyle name="Normal 2 3 3 2 2 4" xfId="668"/>
    <cellStyle name="Normal 2 3 3 2 2 4 2" xfId="669"/>
    <cellStyle name="Normal 2 3 3 2 2 5" xfId="670"/>
    <cellStyle name="Normal 2 3 3 2 2 5 2" xfId="671"/>
    <cellStyle name="Normal 2 3 3 2 2 6" xfId="672"/>
    <cellStyle name="Normal 2 3 3 2 2 6 2" xfId="673"/>
    <cellStyle name="Normal 2 3 3 2 3" xfId="674"/>
    <cellStyle name="Normal 2 3 3 2 3 2" xfId="675"/>
    <cellStyle name="Normal 2 3 3 2 4" xfId="676"/>
    <cellStyle name="Normal 2 3 3 2 4 2" xfId="677"/>
    <cellStyle name="Normal 2 3 3 2 5" xfId="678"/>
    <cellStyle name="Normal 2 3 3 2 5 2" xfId="679"/>
    <cellStyle name="Normal 2 3 3 2 6" xfId="680"/>
    <cellStyle name="Normal 2 3 3 2 6 2" xfId="681"/>
    <cellStyle name="Normal 2 3 3 2 6 2 2" xfId="682"/>
    <cellStyle name="Normal 2 3 3 2 6 3" xfId="683"/>
    <cellStyle name="Normal 2 3 3 2 6 3 2" xfId="684"/>
    <cellStyle name="Normal 2 3 3 2 6 4" xfId="685"/>
    <cellStyle name="Normal 2 3 3 2 6 4 2" xfId="686"/>
    <cellStyle name="Normal 2 3 3 2 6 5" xfId="687"/>
    <cellStyle name="Normal 2 3 3 2 6 5 2" xfId="688"/>
    <cellStyle name="Normal 2 3 3 2 7" xfId="689"/>
    <cellStyle name="Normal 2 3 3 2 8" xfId="690"/>
    <cellStyle name="Normal 2 3 3 2 9" xfId="691"/>
    <cellStyle name="Normal 2 3 3 3" xfId="692"/>
    <cellStyle name="Normal 2 3 3 3 2" xfId="693"/>
    <cellStyle name="Normal 2 3 3 3 2 2" xfId="694"/>
    <cellStyle name="Normal 2 3 3 3 2 2 2" xfId="695"/>
    <cellStyle name="Normal 2 3 3 3 2 2 3" xfId="696"/>
    <cellStyle name="Normal 2 3 3 3 2 2 4" xfId="697"/>
    <cellStyle name="Normal 2 3 3 3 2 2 5" xfId="698"/>
    <cellStyle name="Normal 2 3 3 3 2 2 6" xfId="699"/>
    <cellStyle name="Normal 2 3 3 3 2 3" xfId="700"/>
    <cellStyle name="Normal 2 3 3 3 2 3 2" xfId="701"/>
    <cellStyle name="Normal 2 3 3 3 2 4" xfId="702"/>
    <cellStyle name="Normal 2 3 3 3 2 4 2" xfId="703"/>
    <cellStyle name="Normal 2 3 3 3 2 5" xfId="704"/>
    <cellStyle name="Normal 2 3 3 3 2 5 2" xfId="705"/>
    <cellStyle name="Normal 2 3 3 3 3" xfId="706"/>
    <cellStyle name="Normal 2 3 3 3 4" xfId="707"/>
    <cellStyle name="Normal 2 3 3 3 5" xfId="708"/>
    <cellStyle name="Normal 2 3 3 3 6" xfId="709"/>
    <cellStyle name="Normal 2 3 3 3 7" xfId="710"/>
    <cellStyle name="Normal 2 3 3 4" xfId="711"/>
    <cellStyle name="Normal 2 3 3 5" xfId="712"/>
    <cellStyle name="Normal 2 3 3 6" xfId="713"/>
    <cellStyle name="Normal 2 3 3 6 2" xfId="714"/>
    <cellStyle name="Normal 2 3 3 6 3" xfId="715"/>
    <cellStyle name="Normal 2 3 3 6 4" xfId="716"/>
    <cellStyle name="Normal 2 3 3 6 5" xfId="717"/>
    <cellStyle name="Normal 2 3 3 6 6" xfId="718"/>
    <cellStyle name="Normal 2 3 3 7" xfId="719"/>
    <cellStyle name="Normal 2 3 3 7 2" xfId="720"/>
    <cellStyle name="Normal 2 3 3 8" xfId="721"/>
    <cellStyle name="Normal 2 3 3 8 2" xfId="722"/>
    <cellStyle name="Normal 2 3 3 9" xfId="723"/>
    <cellStyle name="Normal 2 3 3 9 2" xfId="724"/>
    <cellStyle name="Normal 2 3 4" xfId="725"/>
    <cellStyle name="Normal 2 3 4 2" xfId="726"/>
    <cellStyle name="Normal 2 3 5" xfId="727"/>
    <cellStyle name="Normal 2 3 5 2" xfId="728"/>
    <cellStyle name="Normal 2 3 6" xfId="729"/>
    <cellStyle name="Normal 2 3 6 2" xfId="730"/>
    <cellStyle name="Normal 2 3 7" xfId="731"/>
    <cellStyle name="Normal 2 3 7 2" xfId="732"/>
    <cellStyle name="Normal 2 3 8" xfId="733"/>
    <cellStyle name="Normal 2 3 8 2" xfId="734"/>
    <cellStyle name="Normal 2 3 9" xfId="735"/>
    <cellStyle name="Normal 2 3 9 2" xfId="736"/>
    <cellStyle name="Normal 2 3 9 2 2" xfId="737"/>
    <cellStyle name="Normal 2 3 9 2 2 2" xfId="738"/>
    <cellStyle name="Normal 2 3 9 2 2 2 2" xfId="739"/>
    <cellStyle name="Normal 2 3 9 2 2 3" xfId="740"/>
    <cellStyle name="Normal 2 3 9 2 2 3 2" xfId="741"/>
    <cellStyle name="Normal 2 3 9 2 2 4" xfId="742"/>
    <cellStyle name="Normal 2 3 9 2 2 4 2" xfId="743"/>
    <cellStyle name="Normal 2 3 9 2 2 5" xfId="744"/>
    <cellStyle name="Normal 2 3 9 2 2 5 2" xfId="745"/>
    <cellStyle name="Normal 2 3 9 2 3" xfId="746"/>
    <cellStyle name="Normal 2 3 9 2 4" xfId="747"/>
    <cellStyle name="Normal 2 3 9 2 5" xfId="748"/>
    <cellStyle name="Normal 2 3 9 2 6" xfId="749"/>
    <cellStyle name="Normal 2 3 9 3" xfId="750"/>
    <cellStyle name="Normal 2 3 9 3 2" xfId="751"/>
    <cellStyle name="Normal 2 3 9 4" xfId="752"/>
    <cellStyle name="Normal 2 3 9 4 2" xfId="753"/>
    <cellStyle name="Normal 2 3 9 5" xfId="754"/>
    <cellStyle name="Normal 2 3 9 5 2" xfId="755"/>
    <cellStyle name="Normal 2 3 9 6" xfId="756"/>
    <cellStyle name="Normal 2 3 9 6 2" xfId="757"/>
    <cellStyle name="Normal 2 4" xfId="758"/>
    <cellStyle name="Normal 2 4 10" xfId="759"/>
    <cellStyle name="Normal 2 4 2" xfId="760"/>
    <cellStyle name="Normal 2 4 2 2" xfId="761"/>
    <cellStyle name="Normal 2 4 2 2 2" xfId="762"/>
    <cellStyle name="Normal 2 4 2 2 2 2" xfId="763"/>
    <cellStyle name="Normal 2 4 2 2 2 2 2" xfId="764"/>
    <cellStyle name="Normal 2 4 2 2 2 2 3" xfId="765"/>
    <cellStyle name="Normal 2 4 2 2 2 2 4" xfId="766"/>
    <cellStyle name="Normal 2 4 2 2 2 2 5" xfId="767"/>
    <cellStyle name="Normal 2 4 2 2 2 2 6" xfId="768"/>
    <cellStyle name="Normal 2 4 2 2 2 3" xfId="769"/>
    <cellStyle name="Normal 2 4 2 2 2 3 2" xfId="770"/>
    <cellStyle name="Normal 2 4 2 2 2 4" xfId="771"/>
    <cellStyle name="Normal 2 4 2 2 2 4 2" xfId="772"/>
    <cellStyle name="Normal 2 4 2 2 2 5" xfId="773"/>
    <cellStyle name="Normal 2 4 2 2 2 5 2" xfId="774"/>
    <cellStyle name="Normal 2 4 2 2 3" xfId="775"/>
    <cellStyle name="Normal 2 4 2 2 4" xfId="776"/>
    <cellStyle name="Normal 2 4 2 2 5" xfId="777"/>
    <cellStyle name="Normal 2 4 2 2 6" xfId="778"/>
    <cellStyle name="Normal 2 4 2 2 7" xfId="779"/>
    <cellStyle name="Normal 2 4 2 3" xfId="780"/>
    <cellStyle name="Normal 2 4 2 4" xfId="781"/>
    <cellStyle name="Normal 2 4 2 5" xfId="782"/>
    <cellStyle name="Normal 2 4 2 6" xfId="783"/>
    <cellStyle name="Normal 2 4 2 6 2" xfId="784"/>
    <cellStyle name="Normal 2 4 2 6 3" xfId="785"/>
    <cellStyle name="Normal 2 4 2 6 4" xfId="786"/>
    <cellStyle name="Normal 2 4 2 6 5" xfId="787"/>
    <cellStyle name="Normal 2 4 2 6 6" xfId="788"/>
    <cellStyle name="Normal 2 4 2 7" xfId="789"/>
    <cellStyle name="Normal 2 4 2 7 2" xfId="790"/>
    <cellStyle name="Normal 2 4 2 8" xfId="791"/>
    <cellStyle name="Normal 2 4 2 8 2" xfId="792"/>
    <cellStyle name="Normal 2 4 2 9" xfId="793"/>
    <cellStyle name="Normal 2 4 2 9 2" xfId="794"/>
    <cellStyle name="Normal 2 4 3" xfId="795"/>
    <cellStyle name="Normal 2 4 3 2" xfId="796"/>
    <cellStyle name="Normal 2 4 3 2 2" xfId="797"/>
    <cellStyle name="Normal 2 4 3 2 2 2" xfId="798"/>
    <cellStyle name="Normal 2 4 3 2 2 2 2" xfId="799"/>
    <cellStyle name="Normal 2 4 3 2 2 3" xfId="800"/>
    <cellStyle name="Normal 2 4 3 2 2 3 2" xfId="801"/>
    <cellStyle name="Normal 2 4 3 2 2 4" xfId="802"/>
    <cellStyle name="Normal 2 4 3 2 2 4 2" xfId="803"/>
    <cellStyle name="Normal 2 4 3 2 2 5" xfId="804"/>
    <cellStyle name="Normal 2 4 3 2 2 5 2" xfId="805"/>
    <cellStyle name="Normal 2 4 3 2 3" xfId="806"/>
    <cellStyle name="Normal 2 4 3 2 4" xfId="807"/>
    <cellStyle name="Normal 2 4 3 2 5" xfId="808"/>
    <cellStyle name="Normal 2 4 3 2 6" xfId="809"/>
    <cellStyle name="Normal 2 4 3 3" xfId="810"/>
    <cellStyle name="Normal 2 4 3 3 2" xfId="811"/>
    <cellStyle name="Normal 2 4 3 4" xfId="812"/>
    <cellStyle name="Normal 2 4 3 4 2" xfId="813"/>
    <cellStyle name="Normal 2 4 3 5" xfId="814"/>
    <cellStyle name="Normal 2 4 3 5 2" xfId="815"/>
    <cellStyle name="Normal 2 4 3 6" xfId="816"/>
    <cellStyle name="Normal 2 4 3 6 2" xfId="817"/>
    <cellStyle name="Normal 2 4 4" xfId="818"/>
    <cellStyle name="Normal 2 4 4 2" xfId="819"/>
    <cellStyle name="Normal 2 4 5" xfId="820"/>
    <cellStyle name="Normal 2 4 5 2" xfId="821"/>
    <cellStyle name="Normal 2 4 6" xfId="822"/>
    <cellStyle name="Normal 2 4 6 2" xfId="823"/>
    <cellStyle name="Normal 2 4 6 2 2" xfId="824"/>
    <cellStyle name="Normal 2 4 6 3" xfId="825"/>
    <cellStyle name="Normal 2 4 6 3 2" xfId="826"/>
    <cellStyle name="Normal 2 4 6 4" xfId="827"/>
    <cellStyle name="Normal 2 4 6 4 2" xfId="828"/>
    <cellStyle name="Normal 2 4 6 5" xfId="829"/>
    <cellStyle name="Normal 2 4 6 5 2" xfId="830"/>
    <cellStyle name="Normal 2 4 7" xfId="831"/>
    <cellStyle name="Normal 2 4 8" xfId="832"/>
    <cellStyle name="Normal 2 4 9" xfId="833"/>
    <cellStyle name="Normal 2 5" xfId="834"/>
    <cellStyle name="Normal 2 6" xfId="835"/>
    <cellStyle name="Normal 2 7" xfId="836"/>
    <cellStyle name="Normal 2 8" xfId="837"/>
    <cellStyle name="Normal 2 9" xfId="838"/>
    <cellStyle name="Normal 20" xfId="839"/>
    <cellStyle name="Normal 21" xfId="840"/>
    <cellStyle name="Normal 21 2" xfId="841"/>
    <cellStyle name="Normal 22" xfId="842"/>
    <cellStyle name="Normal 22 2" xfId="843"/>
    <cellStyle name="Normal 23" xfId="844"/>
    <cellStyle name="Normal 23 2" xfId="845"/>
    <cellStyle name="Normal 24" xfId="846"/>
    <cellStyle name="Normal 24 2" xfId="847"/>
    <cellStyle name="Normal 25" xfId="848"/>
    <cellStyle name="Normal 25 2" xfId="849"/>
    <cellStyle name="Normal 26" xfId="850"/>
    <cellStyle name="Normal 26 2" xfId="851"/>
    <cellStyle name="Normal 27" xfId="852"/>
    <cellStyle name="Normal 27 2" xfId="853"/>
    <cellStyle name="Normal 28" xfId="854"/>
    <cellStyle name="Normal 28 2" xfId="855"/>
    <cellStyle name="Normal 29" xfId="856"/>
    <cellStyle name="Normal 29 2" xfId="857"/>
    <cellStyle name="Normal 3" xfId="858"/>
    <cellStyle name="Normal 3 2" xfId="859"/>
    <cellStyle name="Normal 3 2 2" xfId="860"/>
    <cellStyle name="Normal 3 3" xfId="861"/>
    <cellStyle name="Normal 3 3 2" xfId="862"/>
    <cellStyle name="Normal 3 4" xfId="863"/>
    <cellStyle name="Normal 3 4 2" xfId="864"/>
    <cellStyle name="Normal 3 5" xfId="865"/>
    <cellStyle name="Normal 3 5 2" xfId="866"/>
    <cellStyle name="Normal 3 6" xfId="867"/>
    <cellStyle name="Normal 3 6 2" xfId="868"/>
    <cellStyle name="Normal 3 7" xfId="869"/>
    <cellStyle name="Normal 3 7 2" xfId="870"/>
    <cellStyle name="Normal 3 8" xfId="871"/>
    <cellStyle name="Normal 3 8 2" xfId="872"/>
    <cellStyle name="Normal 3 9" xfId="873"/>
    <cellStyle name="Normal 30" xfId="874"/>
    <cellStyle name="Normal 30 2" xfId="875"/>
    <cellStyle name="Normal 31" xfId="876"/>
    <cellStyle name="Normal 31 2" xfId="877"/>
    <cellStyle name="Normal 32" xfId="878"/>
    <cellStyle name="Normal 32 2" xfId="879"/>
    <cellStyle name="Normal 33" xfId="880"/>
    <cellStyle name="Normal 33 2" xfId="881"/>
    <cellStyle name="Normal 34" xfId="882"/>
    <cellStyle name="Normal 34 2" xfId="883"/>
    <cellStyle name="Normal 35" xfId="884"/>
    <cellStyle name="Normal 35 2" xfId="885"/>
    <cellStyle name="Normal 36" xfId="886"/>
    <cellStyle name="Normal 36 2" xfId="887"/>
    <cellStyle name="Normal 37" xfId="888"/>
    <cellStyle name="Normal 4" xfId="889"/>
    <cellStyle name="Normal 4 2" xfId="890"/>
    <cellStyle name="Normal 5" xfId="891"/>
    <cellStyle name="Normal 5 2" xfId="892"/>
    <cellStyle name="Normal 5 2 2" xfId="893"/>
    <cellStyle name="Normal 5 3" xfId="894"/>
    <cellStyle name="Normal 5 3 2" xfId="895"/>
    <cellStyle name="Normal 5 4" xfId="896"/>
    <cellStyle name="Normal 5 4 2" xfId="897"/>
    <cellStyle name="Normal 5 5" xfId="898"/>
    <cellStyle name="Normal 5 5 2" xfId="899"/>
    <cellStyle name="Normal 5 6" xfId="900"/>
    <cellStyle name="Normal 5 6 2" xfId="901"/>
    <cellStyle name="Normal 5 7" xfId="902"/>
    <cellStyle name="Normal 6" xfId="903"/>
    <cellStyle name="Normal 6 2" xfId="904"/>
    <cellStyle name="Normal 6 2 2" xfId="905"/>
    <cellStyle name="Normal 6 3" xfId="906"/>
    <cellStyle name="Normal 6 3 2" xfId="907"/>
    <cellStyle name="Normal 6 4" xfId="908"/>
    <cellStyle name="Normal 6 4 2" xfId="909"/>
    <cellStyle name="Normal 6 5" xfId="910"/>
    <cellStyle name="Normal 6 5 2" xfId="911"/>
    <cellStyle name="Normal 6 6" xfId="912"/>
    <cellStyle name="Normal 6 6 2" xfId="913"/>
    <cellStyle name="Normal 6 7" xfId="914"/>
    <cellStyle name="Normal 7" xfId="915"/>
    <cellStyle name="Normal 7 2" xfId="916"/>
    <cellStyle name="Normal 8" xfId="917"/>
    <cellStyle name="Normal 8 2" xfId="918"/>
    <cellStyle name="Normal 8 2 2" xfId="919"/>
    <cellStyle name="Normal 8 3" xfId="920"/>
    <cellStyle name="Normal 8 3 2" xfId="921"/>
    <cellStyle name="Normal 8 4" xfId="922"/>
    <cellStyle name="Normal 8 4 2" xfId="923"/>
    <cellStyle name="Normal 8 5" xfId="924"/>
    <cellStyle name="Normal 8 5 2" xfId="925"/>
    <cellStyle name="Normal 8 6" xfId="926"/>
    <cellStyle name="Normal 8 6 2" xfId="927"/>
    <cellStyle name="Normal 8 7" xfId="928"/>
    <cellStyle name="Normal 9" xfId="929"/>
    <cellStyle name="Normal 9 2" xfId="930"/>
    <cellStyle name="Normal_C.regionales" xfId="931"/>
    <cellStyle name="Normal_camaron nailon" xfId="932"/>
    <cellStyle name="Normal_Global" xfId="933"/>
    <cellStyle name="Normal_Hoja1" xfId="934"/>
    <cellStyle name="Normal_lang amarillo" xfId="935"/>
    <cellStyle name="Normal_lang colorado" xfId="936"/>
    <cellStyle name="Porcentual 10" xfId="937"/>
    <cellStyle name="Porcentual 11" xfId="938"/>
    <cellStyle name="Porcentual 12" xfId="939"/>
    <cellStyle name="Porcentual 13" xfId="940"/>
    <cellStyle name="Porcentual 14" xfId="941"/>
    <cellStyle name="Porcentual 15" xfId="942"/>
    <cellStyle name="Porcentual 16" xfId="943"/>
    <cellStyle name="Porcentual 17" xfId="944"/>
    <cellStyle name="Porcentual 18" xfId="945"/>
    <cellStyle name="Porcentual 19" xfId="946"/>
    <cellStyle name="Porcentual 2" xfId="947"/>
    <cellStyle name="Porcentual 2 2" xfId="948"/>
    <cellStyle name="Porcentual 20" xfId="949"/>
    <cellStyle name="Porcentual 21" xfId="950"/>
    <cellStyle name="Porcentual 22" xfId="951"/>
    <cellStyle name="Porcentual 23" xfId="952"/>
    <cellStyle name="Porcentual 24" xfId="953"/>
    <cellStyle name="Porcentual 25" xfId="954"/>
    <cellStyle name="Porcentual 3" xfId="955"/>
    <cellStyle name="Porcentual 3 2" xfId="956"/>
    <cellStyle name="Porcentual 4" xfId="957"/>
    <cellStyle name="Porcentual 5" xfId="958"/>
    <cellStyle name="Porcentual 6" xfId="959"/>
    <cellStyle name="Porcentual 7" xfId="960"/>
    <cellStyle name="Porcentual 8" xfId="961"/>
    <cellStyle name="Porcentual 9" xfId="96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137160</xdr:rowOff>
    </xdr:from>
    <xdr:to>
      <xdr:col>1</xdr:col>
      <xdr:colOff>211680</xdr:colOff>
      <xdr:row>4</xdr:row>
      <xdr:rowOff>46800</xdr:rowOff>
    </xdr:to>
    <xdr:pic>
      <xdr:nvPicPr>
        <xdr:cNvPr id="1" name="2 Imagen" descr="LOGO_SNP_2012_sinfondo.PNG"/>
        <xdr:cNvPicPr/>
      </xdr:nvPicPr>
      <xdr:blipFill>
        <a:blip r:embed="rId1"/>
        <a:stretch/>
      </xdr:blipFill>
      <xdr:spPr>
        <a:xfrm>
          <a:off x="0" y="320040"/>
          <a:ext cx="1652040" cy="542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68760</xdr:rowOff>
    </xdr:from>
    <xdr:to>
      <xdr:col>1</xdr:col>
      <xdr:colOff>165240</xdr:colOff>
      <xdr:row>3</xdr:row>
      <xdr:rowOff>182880</xdr:rowOff>
    </xdr:to>
    <xdr:pic>
      <xdr:nvPicPr>
        <xdr:cNvPr id="2" name="1 Imagen" descr="LOGO_SNP_2012_sinfondo.PNG"/>
        <xdr:cNvPicPr/>
      </xdr:nvPicPr>
      <xdr:blipFill>
        <a:blip r:embed="rId1"/>
        <a:stretch/>
      </xdr:blipFill>
      <xdr:spPr>
        <a:xfrm>
          <a:off x="0" y="251640"/>
          <a:ext cx="1621440" cy="497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1724040</xdr:colOff>
      <xdr:row>2</xdr:row>
      <xdr:rowOff>144720</xdr:rowOff>
    </xdr:to>
    <xdr:pic>
      <xdr:nvPicPr>
        <xdr:cNvPr id="3" name="1 Imagen" descr="LOGO_SNP_2012_sinfondo.PNG"/>
        <xdr:cNvPicPr/>
      </xdr:nvPicPr>
      <xdr:blipFill>
        <a:blip r:embed="rId1"/>
        <a:stretch/>
      </xdr:blipFill>
      <xdr:spPr>
        <a:xfrm>
          <a:off x="0" y="0"/>
          <a:ext cx="1724040" cy="52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53640</xdr:rowOff>
    </xdr:from>
    <xdr:to>
      <xdr:col>0</xdr:col>
      <xdr:colOff>1709280</xdr:colOff>
      <xdr:row>4</xdr:row>
      <xdr:rowOff>14760</xdr:rowOff>
    </xdr:to>
    <xdr:pic>
      <xdr:nvPicPr>
        <xdr:cNvPr id="4" name="1 Imagen" descr="LOGO_SNP_2012_sinfondo.PNG"/>
        <xdr:cNvPicPr/>
      </xdr:nvPicPr>
      <xdr:blipFill>
        <a:blip r:embed="rId1"/>
        <a:stretch/>
      </xdr:blipFill>
      <xdr:spPr>
        <a:xfrm>
          <a:off x="0" y="236520"/>
          <a:ext cx="1709280" cy="527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23400</xdr:colOff>
      <xdr:row>1</xdr:row>
      <xdr:rowOff>106560</xdr:rowOff>
    </xdr:from>
    <xdr:to>
      <xdr:col>0</xdr:col>
      <xdr:colOff>1582560</xdr:colOff>
      <xdr:row>4</xdr:row>
      <xdr:rowOff>106560</xdr:rowOff>
    </xdr:to>
    <xdr:pic>
      <xdr:nvPicPr>
        <xdr:cNvPr id="5" name="1 Imagen" descr="LOGO_SNP_2012_sinfondo.PNG"/>
        <xdr:cNvPicPr/>
      </xdr:nvPicPr>
      <xdr:blipFill>
        <a:blip r:embed="rId1"/>
        <a:stretch/>
      </xdr:blipFill>
      <xdr:spPr>
        <a:xfrm>
          <a:off x="23400" y="289440"/>
          <a:ext cx="1559160" cy="640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99"/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4.4" customHeight="false" zeroHeight="false" outlineLevelRow="0" outlineLevelCol="0"/>
  <cols>
    <col collapsed="false" customWidth="true" hidden="false" outlineLevel="0" max="1" min="1" style="1" width="20.43"/>
    <col collapsed="false" customWidth="true" hidden="false" outlineLevel="0" max="2" min="2" style="1" width="11.32"/>
    <col collapsed="false" customWidth="true" hidden="false" outlineLevel="0" max="3" min="3" style="1" width="18.87"/>
    <col collapsed="false" customWidth="true" hidden="false" outlineLevel="0" max="4" min="4" style="1" width="18.66"/>
    <col collapsed="false" customWidth="true" hidden="false" outlineLevel="0" max="5" min="5" style="1" width="17.32"/>
    <col collapsed="false" customWidth="true" hidden="false" outlineLevel="0" max="6" min="6" style="1" width="17.88"/>
    <col collapsed="false" customWidth="true" hidden="false" outlineLevel="0" max="7" min="7" style="1" width="16.43"/>
    <col collapsed="false" customWidth="true" hidden="false" outlineLevel="0" max="8" min="8" style="1" width="14.43"/>
    <col collapsed="false" customWidth="true" hidden="false" outlineLevel="0" max="9" min="9" style="1" width="14.87"/>
    <col collapsed="false" customWidth="true" hidden="false" outlineLevel="0" max="10" min="10" style="1" width="13.43"/>
    <col collapsed="false" customWidth="false" hidden="false" outlineLevel="0" max="257" min="11" style="1" width="11.43"/>
  </cols>
  <sheetData>
    <row r="1" customFormat="false" ht="14.4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2"/>
      <c r="L1" s="2"/>
    </row>
    <row r="2" customFormat="false" ht="14.4" hidden="false" customHeight="fals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5"/>
      <c r="K2" s="2"/>
      <c r="L2" s="2"/>
    </row>
    <row r="3" customFormat="false" ht="14.4" hidden="false" customHeight="fals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6"/>
      <c r="N3" s="6"/>
    </row>
    <row r="4" customFormat="false" ht="21" hidden="false" customHeight="tru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6"/>
    </row>
    <row r="5" customFormat="false" ht="52.5" hidden="false" customHeight="true" outlineLevel="0" collapsed="false">
      <c r="A5" s="9" t="s">
        <v>3</v>
      </c>
      <c r="B5" s="9" t="s">
        <v>4</v>
      </c>
      <c r="C5" s="10" t="s">
        <v>5</v>
      </c>
      <c r="D5" s="11" t="s">
        <v>6</v>
      </c>
      <c r="E5" s="11" t="s">
        <v>7</v>
      </c>
      <c r="F5" s="9" t="s">
        <v>8</v>
      </c>
      <c r="G5" s="9" t="s">
        <v>9</v>
      </c>
      <c r="H5" s="12" t="s">
        <v>10</v>
      </c>
      <c r="I5" s="9" t="s">
        <v>11</v>
      </c>
      <c r="J5" s="5"/>
      <c r="K5" s="5"/>
      <c r="L5" s="5"/>
      <c r="M5" s="6"/>
      <c r="N5" s="6"/>
    </row>
    <row r="6" customFormat="false" ht="14.4" hidden="false" customHeight="false" outlineLevel="0" collapsed="false">
      <c r="A6" s="13" t="s">
        <v>12</v>
      </c>
      <c r="B6" s="14" t="s">
        <v>13</v>
      </c>
      <c r="C6" s="15" t="n">
        <f aca="false">SUM('Pelagicos LTP '!E6:E13)</f>
        <v>622449</v>
      </c>
      <c r="D6" s="16" t="n">
        <f aca="false">SUM('Pelagicos LTP '!F6:F13)</f>
        <v>-34427.978</v>
      </c>
      <c r="E6" s="15" t="n">
        <f aca="false">C6+D6</f>
        <v>588021.022</v>
      </c>
      <c r="F6" s="15" t="n">
        <f aca="false">SUM('Pelagicos LTP '!H6:H13)</f>
        <v>582421.982</v>
      </c>
      <c r="G6" s="17"/>
      <c r="H6" s="18" t="n">
        <f aca="false">E6-F6</f>
        <v>5599.03999999992</v>
      </c>
      <c r="I6" s="19" t="n">
        <f aca="false">F6/E6</f>
        <v>0.990478163551099</v>
      </c>
      <c r="J6" s="2"/>
      <c r="K6" s="2"/>
      <c r="L6" s="2"/>
    </row>
    <row r="7" customFormat="false" ht="14.4" hidden="false" customHeight="false" outlineLevel="0" collapsed="false">
      <c r="A7" s="13" t="s">
        <v>12</v>
      </c>
      <c r="B7" s="14" t="s">
        <v>14</v>
      </c>
      <c r="C7" s="15" t="n">
        <f aca="false">SUM('Pelagicos LTP '!E16:E35)</f>
        <v>25787.999</v>
      </c>
      <c r="D7" s="16" t="n">
        <f aca="false">SUM('Pelagicos LTP '!F16:F35)</f>
        <v>-12328.3691544</v>
      </c>
      <c r="E7" s="15" t="n">
        <f aca="false">C7+D7</f>
        <v>13459.6298456</v>
      </c>
      <c r="F7" s="15" t="n">
        <f aca="false">SUM('Pelagicos LTP '!H16:H35)</f>
        <v>855.235</v>
      </c>
      <c r="G7" s="17"/>
      <c r="H7" s="18" t="n">
        <f aca="false">E7-F7</f>
        <v>12604.3948456</v>
      </c>
      <c r="I7" s="19" t="n">
        <f aca="false">F7/E7</f>
        <v>0.0635407518490993</v>
      </c>
      <c r="J7" s="2"/>
      <c r="K7" s="2"/>
      <c r="L7" s="2"/>
    </row>
    <row r="8" customFormat="false" ht="14.4" hidden="false" customHeight="false" outlineLevel="0" collapsed="false">
      <c r="A8" s="13" t="s">
        <v>12</v>
      </c>
      <c r="B8" s="14" t="s">
        <v>15</v>
      </c>
      <c r="C8" s="15" t="n">
        <f aca="false">SUM('Pelagicos LTP '!E38:E91)</f>
        <v>9091</v>
      </c>
      <c r="D8" s="16" t="n">
        <f aca="false">SUM('Pelagicos LTP '!F38:F91)</f>
        <v>-3909.1671</v>
      </c>
      <c r="E8" s="15" t="n">
        <f aca="false">C8+D8</f>
        <v>5181.8329</v>
      </c>
      <c r="F8" s="15" t="n">
        <f aca="false">SUM('Pelagicos LTP '!H38:H91)</f>
        <v>3714.964</v>
      </c>
      <c r="G8" s="17"/>
      <c r="H8" s="18" t="n">
        <f aca="false">E8-F8</f>
        <v>1466.8689</v>
      </c>
      <c r="I8" s="19" t="n">
        <f aca="false">F8/E8</f>
        <v>0.716920840886243</v>
      </c>
      <c r="J8" s="2"/>
      <c r="K8" s="2"/>
      <c r="L8" s="2"/>
    </row>
    <row r="9" customFormat="false" ht="14.4" hidden="false" customHeight="false" outlineLevel="0" collapsed="false">
      <c r="A9" s="13" t="s">
        <v>16</v>
      </c>
      <c r="B9" s="14" t="s">
        <v>17</v>
      </c>
      <c r="C9" s="15" t="n">
        <f aca="false">SUM('Crustaceos  LTP'!AU6:AU49)</f>
        <v>3656.047</v>
      </c>
      <c r="D9" s="16" t="n">
        <f aca="false">SUM('Crustaceos  LTP'!AV6:AV49,'Crustaceos  LTP'!AW6:AW49)</f>
        <v>29.91324</v>
      </c>
      <c r="E9" s="15" t="n">
        <f aca="false">C9+D9</f>
        <v>3685.96024</v>
      </c>
      <c r="F9" s="15" t="n">
        <f aca="false">SUM('Crustaceos  LTP'!AY6:AY49)</f>
        <v>3457.254</v>
      </c>
      <c r="G9" s="17"/>
      <c r="H9" s="18" t="n">
        <f aca="false">E9-F9</f>
        <v>228.70624</v>
      </c>
      <c r="I9" s="19" t="n">
        <f aca="false">F9/E9</f>
        <v>0.937952059949513</v>
      </c>
      <c r="J9" s="2"/>
      <c r="K9" s="2"/>
      <c r="L9" s="2"/>
    </row>
    <row r="10" customFormat="false" ht="14.4" hidden="false" customHeight="false" outlineLevel="0" collapsed="false">
      <c r="A10" s="13" t="s">
        <v>18</v>
      </c>
      <c r="B10" s="14" t="s">
        <v>19</v>
      </c>
      <c r="C10" s="15" t="n">
        <f aca="false">SUM('Demersales LTP '!E7:E18)</f>
        <v>371</v>
      </c>
      <c r="D10" s="15" t="n">
        <f aca="false">SUM('Demersales LTP '!F7:F18)</f>
        <v>-1.24344978758018E-014</v>
      </c>
      <c r="E10" s="15" t="n">
        <f aca="false">C10+D10</f>
        <v>371</v>
      </c>
      <c r="F10" s="15" t="n">
        <f aca="false">SUM('Demersales LTP '!H7:H18)</f>
        <v>142.107</v>
      </c>
      <c r="G10" s="17"/>
      <c r="H10" s="18" t="n">
        <f aca="false">E10-F10</f>
        <v>228.893</v>
      </c>
      <c r="I10" s="19" t="n">
        <f aca="false">F10/E10</f>
        <v>0.383037735849057</v>
      </c>
      <c r="J10" s="2"/>
      <c r="K10" s="2"/>
      <c r="L10" s="2"/>
    </row>
    <row r="11" customFormat="false" ht="14.4" hidden="false" customHeight="false" outlineLevel="0" collapsed="false">
      <c r="A11" s="13" t="s">
        <v>18</v>
      </c>
      <c r="B11" s="14" t="s">
        <v>20</v>
      </c>
      <c r="C11" s="15" t="n">
        <f aca="false">SUM('Demersales LTP '!E20:E31)</f>
        <v>132</v>
      </c>
      <c r="D11" s="16" t="n">
        <f aca="false">SUM('Demersales LTP '!F20:F31)</f>
        <v>0</v>
      </c>
      <c r="E11" s="15" t="n">
        <f aca="false">C11+D11</f>
        <v>132</v>
      </c>
      <c r="F11" s="15" t="n">
        <f aca="false">SUM('Demersales LTP '!H20:H31)</f>
        <v>112.515</v>
      </c>
      <c r="G11" s="17"/>
      <c r="H11" s="18" t="n">
        <f aca="false">E11-F11</f>
        <v>19.485</v>
      </c>
      <c r="I11" s="19" t="n">
        <f aca="false">F11/E11</f>
        <v>0.852386363636364</v>
      </c>
      <c r="J11" s="2"/>
      <c r="K11" s="2"/>
      <c r="L11" s="2"/>
    </row>
    <row r="12" customFormat="false" ht="14.4" hidden="false" customHeight="false" outlineLevel="0" collapsed="false">
      <c r="A12" s="13" t="s">
        <v>21</v>
      </c>
      <c r="B12" s="20" t="s">
        <v>22</v>
      </c>
      <c r="C12" s="21" t="n">
        <f aca="false">SUM('Pelagicos LTP '!E94:E101)</f>
        <v>40541.004</v>
      </c>
      <c r="D12" s="22" t="n">
        <f aca="false">SUM('Pelagicos LTP '!F94:F101)</f>
        <v>-20087.134</v>
      </c>
      <c r="E12" s="15" t="n">
        <f aca="false">C12+D12</f>
        <v>20453.87</v>
      </c>
      <c r="F12" s="21" t="n">
        <f aca="false">SUM('Pelagicos LTP '!H94:H101)</f>
        <v>16609.319</v>
      </c>
      <c r="G12" s="17"/>
      <c r="H12" s="18" t="n">
        <f aca="false">E12-F12</f>
        <v>3844.551</v>
      </c>
      <c r="I12" s="19" t="n">
        <f aca="false">F12/E12</f>
        <v>0.812037966409291</v>
      </c>
      <c r="J12" s="2"/>
      <c r="K12" s="2"/>
      <c r="L12" s="2"/>
    </row>
    <row r="13" customFormat="false" ht="14.4" hidden="false" customHeight="false" outlineLevel="0" collapsed="false">
      <c r="A13" s="13" t="s">
        <v>21</v>
      </c>
      <c r="B13" s="23" t="s">
        <v>14</v>
      </c>
      <c r="C13" s="24" t="n">
        <f aca="false">SUM('Pelagicos LTP '!E104:E133)</f>
        <v>8566.999</v>
      </c>
      <c r="D13" s="25" t="n">
        <f aca="false">SUM('Pelagicos LTP '!F104:F133)</f>
        <v>-2133.466</v>
      </c>
      <c r="E13" s="15" t="n">
        <f aca="false">C13+D13</f>
        <v>6433.533</v>
      </c>
      <c r="F13" s="21" t="n">
        <f aca="false">SUM('Pelagicos LTP '!H104:H133)</f>
        <v>5818.638</v>
      </c>
      <c r="G13" s="26" t="n">
        <v>1131.25</v>
      </c>
      <c r="H13" s="18" t="n">
        <f aca="false">E13-F13</f>
        <v>614.895</v>
      </c>
      <c r="I13" s="19" t="n">
        <f aca="false">F13/E13</f>
        <v>0.904423432661339</v>
      </c>
      <c r="J13" s="2"/>
      <c r="K13" s="27"/>
      <c r="L13" s="2"/>
    </row>
    <row r="14" customFormat="false" ht="14.4" hidden="false" customHeight="false" outlineLevel="0" collapsed="false">
      <c r="A14" s="13" t="s">
        <v>21</v>
      </c>
      <c r="B14" s="23" t="s">
        <v>23</v>
      </c>
      <c r="C14" s="24" t="n">
        <f aca="false">SUM('Pelagicos LTP '!E136:E199)</f>
        <v>183371.001</v>
      </c>
      <c r="D14" s="28" t="n">
        <f aca="false">SUM('Pelagicos LTP '!F136:F199)</f>
        <v>31218.147</v>
      </c>
      <c r="E14" s="15" t="n">
        <f aca="false">C14+D14</f>
        <v>214589.148</v>
      </c>
      <c r="F14" s="21" t="n">
        <f aca="false">SUM('Pelagicos LTP '!H136:H199)</f>
        <v>203757.618</v>
      </c>
      <c r="G14" s="26" t="n">
        <v>2008.341</v>
      </c>
      <c r="H14" s="18" t="n">
        <f aca="false">E14-F14</f>
        <v>10831.53</v>
      </c>
      <c r="I14" s="19" t="n">
        <f aca="false">F14/E14</f>
        <v>0.949524334753405</v>
      </c>
      <c r="J14" s="2"/>
      <c r="K14" s="27"/>
      <c r="L14" s="2"/>
    </row>
    <row r="15" customFormat="false" ht="14.4" hidden="false" customHeight="false" outlineLevel="0" collapsed="false">
      <c r="A15" s="13" t="s">
        <v>21</v>
      </c>
      <c r="B15" s="23" t="s">
        <v>24</v>
      </c>
      <c r="C15" s="24" t="n">
        <f aca="false">SUM('Pelagicos LTP '!E202:E251)</f>
        <v>25706.997</v>
      </c>
      <c r="D15" s="25" t="n">
        <f aca="false">SUM('Pelagicos LTP '!F202:F251)</f>
        <v>-3963.787</v>
      </c>
      <c r="E15" s="15" t="n">
        <f aca="false">C15+D15</f>
        <v>21743.21</v>
      </c>
      <c r="F15" s="21" t="n">
        <f aca="false">SUM('Pelagicos LTP '!H202:H251)</f>
        <v>20825.237</v>
      </c>
      <c r="G15" s="29" t="n">
        <v>843.352</v>
      </c>
      <c r="H15" s="18" t="n">
        <f aca="false">E15-F15</f>
        <v>917.972999999998</v>
      </c>
      <c r="I15" s="19" t="n">
        <f aca="false">F15/E15</f>
        <v>0.957781164786616</v>
      </c>
      <c r="J15" s="2"/>
      <c r="K15" s="27"/>
      <c r="L15" s="2"/>
    </row>
    <row r="16" customFormat="false" ht="14.4" hidden="false" customHeight="false" outlineLevel="0" collapsed="false">
      <c r="A16" s="13" t="s">
        <v>25</v>
      </c>
      <c r="B16" s="14" t="s">
        <v>26</v>
      </c>
      <c r="C16" s="15" t="n">
        <f aca="false">SUM('Crustaceos  LTP'!Q55:Q93)</f>
        <v>1198.001</v>
      </c>
      <c r="D16" s="16" t="n">
        <f aca="false">SUM('Crustaceos  LTP'!R55:R93,'Crustaceos  LTP'!S55:S93)</f>
        <v>0</v>
      </c>
      <c r="E16" s="15" t="n">
        <f aca="false">C16+D16</f>
        <v>1198.001</v>
      </c>
      <c r="F16" s="15" t="n">
        <f aca="false">SUM('Crustaceos  LTP'!U55:U93)</f>
        <v>1025.012</v>
      </c>
      <c r="G16" s="17"/>
      <c r="H16" s="18" t="n">
        <f aca="false">E16-F16</f>
        <v>172.989</v>
      </c>
      <c r="I16" s="19" t="n">
        <f aca="false">F16/E16</f>
        <v>0.85560195692658</v>
      </c>
      <c r="J16" s="2"/>
      <c r="K16" s="2"/>
      <c r="L16" s="2"/>
    </row>
    <row r="17" customFormat="false" ht="14.4" hidden="false" customHeight="false" outlineLevel="0" collapsed="false">
      <c r="A17" s="30" t="s">
        <v>27</v>
      </c>
      <c r="B17" s="14" t="s">
        <v>28</v>
      </c>
      <c r="C17" s="15" t="n">
        <f aca="false">SUM('Crustaceos  LTP'!W98:W127)</f>
        <v>43.001</v>
      </c>
      <c r="D17" s="31" t="n">
        <f aca="false">SUM('Crustaceos  LTP'!X98:X127,'Crustaceos  LTP'!Y98:Y127)</f>
        <v>157.842</v>
      </c>
      <c r="E17" s="15" t="n">
        <f aca="false">C17+D17</f>
        <v>200.843</v>
      </c>
      <c r="F17" s="15" t="n">
        <f aca="false">SUM('Crustaceos  LTP'!AA98:AA127)</f>
        <v>159.847</v>
      </c>
      <c r="G17" s="17"/>
      <c r="H17" s="18" t="n">
        <f aca="false">E17-F17</f>
        <v>40.996</v>
      </c>
      <c r="I17" s="19" t="n">
        <f aca="false">F17/E17</f>
        <v>0.795880364264624</v>
      </c>
      <c r="J17" s="2"/>
      <c r="K17" s="2"/>
      <c r="L17" s="2"/>
    </row>
    <row r="18" customFormat="false" ht="14.4" hidden="false" customHeight="false" outlineLevel="0" collapsed="false">
      <c r="A18" s="13" t="s">
        <v>29</v>
      </c>
      <c r="B18" s="14" t="s">
        <v>30</v>
      </c>
      <c r="C18" s="32" t="n">
        <f aca="false">SUM('Demersales LTP '!E156:E215)</f>
        <v>11166</v>
      </c>
      <c r="D18" s="33" t="n">
        <f aca="false">SUM('Demersales LTP '!F156:F215)</f>
        <v>13.2459999999992</v>
      </c>
      <c r="E18" s="15" t="n">
        <f aca="false">C18+D18</f>
        <v>11179.246</v>
      </c>
      <c r="F18" s="15" t="n">
        <f aca="false">SUM('Demersales LTP '!H156:H215)</f>
        <v>10886.994</v>
      </c>
      <c r="G18" s="17"/>
      <c r="H18" s="18" t="n">
        <f aca="false">E18-F18</f>
        <v>292.252</v>
      </c>
      <c r="I18" s="19" t="n">
        <f aca="false">F18/E18</f>
        <v>0.973857628680861</v>
      </c>
      <c r="J18" s="2"/>
      <c r="K18" s="2"/>
      <c r="L18" s="2"/>
    </row>
    <row r="19" customFormat="false" ht="14.4" hidden="false" customHeight="false" outlineLevel="0" collapsed="false">
      <c r="A19" s="13" t="s">
        <v>31</v>
      </c>
      <c r="B19" s="14" t="s">
        <v>32</v>
      </c>
      <c r="C19" s="32" t="n">
        <f aca="false">SUM('Demersales LTP '!E72:E137)</f>
        <v>23909.996</v>
      </c>
      <c r="D19" s="33" t="n">
        <f aca="false">SUM('Demersales LTP '!F72:F137)</f>
        <v>-10977.963</v>
      </c>
      <c r="E19" s="15" t="n">
        <f aca="false">C19+D19</f>
        <v>12932.033</v>
      </c>
      <c r="F19" s="15" t="n">
        <f aca="false">SUM('Demersales LTP '!H72:H137)</f>
        <v>12566</v>
      </c>
      <c r="G19" s="17"/>
      <c r="H19" s="18" t="n">
        <f aca="false">E19-F19</f>
        <v>366.032999999998</v>
      </c>
      <c r="I19" s="19" t="n">
        <f aca="false">F19/E19</f>
        <v>0.971695633625432</v>
      </c>
      <c r="J19" s="2"/>
      <c r="K19" s="2"/>
      <c r="L19" s="2"/>
    </row>
    <row r="20" customFormat="false" ht="14.4" hidden="false" customHeight="false" outlineLevel="0" collapsed="false">
      <c r="A20" s="13" t="s">
        <v>31</v>
      </c>
      <c r="B20" s="14" t="s">
        <v>33</v>
      </c>
      <c r="C20" s="32" t="n">
        <f aca="false">SUM('Demersales LTP '!E139:E154)</f>
        <v>15939.928</v>
      </c>
      <c r="D20" s="34" t="n">
        <f aca="false">SUM('Demersales LTP '!F139:F154)</f>
        <v>10977.964</v>
      </c>
      <c r="E20" s="15" t="n">
        <f aca="false">C20+D20</f>
        <v>26917.892</v>
      </c>
      <c r="F20" s="15" t="n">
        <f aca="false">SUM('Demersales LTP '!H139:H154)</f>
        <v>26551.647</v>
      </c>
      <c r="G20" s="17"/>
      <c r="H20" s="18" t="n">
        <f aca="false">E20-F20</f>
        <v>366.244999999999</v>
      </c>
      <c r="I20" s="19" t="n">
        <f aca="false">F20/E20</f>
        <v>0.986393994002205</v>
      </c>
      <c r="J20" s="2"/>
      <c r="K20" s="2"/>
      <c r="L20" s="2"/>
    </row>
    <row r="21" customFormat="false" ht="14.4" hidden="false" customHeight="false" outlineLevel="0" collapsed="false">
      <c r="A21" s="13" t="s">
        <v>34</v>
      </c>
      <c r="B21" s="14" t="s">
        <v>35</v>
      </c>
      <c r="C21" s="32" t="n">
        <f aca="false">SUM('Demersales LTP '!E61:E70)</f>
        <v>14300</v>
      </c>
      <c r="D21" s="32" t="n">
        <f aca="false">SUM('Demersales LTP '!F61:F70)</f>
        <v>-3.40838468559923E-014</v>
      </c>
      <c r="E21" s="15" t="n">
        <f aca="false">C21+D21</f>
        <v>14300</v>
      </c>
      <c r="F21" s="15" t="n">
        <f aca="false">SUM('Demersales LTP '!H61:H70)</f>
        <v>9942.857</v>
      </c>
      <c r="G21" s="17"/>
      <c r="H21" s="18" t="n">
        <f aca="false">E21-F21</f>
        <v>4357.143</v>
      </c>
      <c r="I21" s="19" t="n">
        <f aca="false">F21/E21</f>
        <v>0.695304685314685</v>
      </c>
      <c r="J21" s="2"/>
      <c r="K21" s="2"/>
      <c r="L21" s="2"/>
    </row>
    <row r="22" customFormat="false" ht="14.4" hidden="false" customHeight="false" outlineLevel="0" collapsed="false">
      <c r="A22" s="13" t="s">
        <v>36</v>
      </c>
      <c r="B22" s="14" t="s">
        <v>19</v>
      </c>
      <c r="C22" s="35" t="n">
        <f aca="false">SUM('Demersales LTP '!E33:E46)</f>
        <v>2913.001</v>
      </c>
      <c r="D22" s="36" t="n">
        <f aca="false">SUM('Demersales LTP '!F33:F46)</f>
        <v>2495.247</v>
      </c>
      <c r="E22" s="15" t="n">
        <f aca="false">C22+D22</f>
        <v>5408.248</v>
      </c>
      <c r="F22" s="37" t="n">
        <f aca="false">SUM('Demersales LTP '!H33:H46)</f>
        <v>5381.7</v>
      </c>
      <c r="G22" s="17"/>
      <c r="H22" s="18" t="n">
        <f aca="false">E22-F22</f>
        <v>26.5479999999989</v>
      </c>
      <c r="I22" s="19" t="n">
        <f aca="false">F22/E22</f>
        <v>0.995091201438987</v>
      </c>
      <c r="J22" s="2"/>
      <c r="K22" s="2"/>
      <c r="L22" s="2"/>
    </row>
    <row r="23" customFormat="false" ht="14.4" hidden="false" customHeight="false" outlineLevel="0" collapsed="false">
      <c r="A23" s="13" t="s">
        <v>36</v>
      </c>
      <c r="B23" s="14" t="s">
        <v>20</v>
      </c>
      <c r="C23" s="35" t="n">
        <f aca="false">SUM('Demersales LTP '!E48:E59)</f>
        <v>1863</v>
      </c>
      <c r="D23" s="38" t="n">
        <f aca="false">SUM('Demersales LTP '!F48:F59)</f>
        <v>-475.805</v>
      </c>
      <c r="E23" s="15" t="n">
        <f aca="false">C23+D23</f>
        <v>1387.195</v>
      </c>
      <c r="F23" s="37" t="n">
        <f aca="false">SUM('Demersales LTP '!H48:H59)</f>
        <v>1224.733</v>
      </c>
      <c r="G23" s="17"/>
      <c r="H23" s="18" t="n">
        <f aca="false">E23-F23</f>
        <v>162.462</v>
      </c>
      <c r="I23" s="19" t="n">
        <f aca="false">F23/E23</f>
        <v>0.88288452596787</v>
      </c>
      <c r="J23" s="2"/>
      <c r="K23" s="2"/>
      <c r="L23" s="2"/>
    </row>
    <row r="24" customFormat="false" ht="14.4" hidden="false" customHeight="false" outlineLevel="0" collapsed="false">
      <c r="A24" s="13" t="s">
        <v>37</v>
      </c>
      <c r="B24" s="14" t="s">
        <v>38</v>
      </c>
      <c r="C24" s="32" t="n">
        <f aca="false">SUM('Pelagicos LTP '!E254:E313)</f>
        <v>123306.999</v>
      </c>
      <c r="D24" s="33" t="n">
        <f aca="false">SUM('Pelagicos LTP '!F254:F313)</f>
        <v>-46600.667</v>
      </c>
      <c r="E24" s="15" t="n">
        <f aca="false">C24+D24</f>
        <v>76706.332</v>
      </c>
      <c r="F24" s="15" t="n">
        <f aca="false">SUM('Pelagicos LTP '!H254:H313)</f>
        <v>75206.881</v>
      </c>
      <c r="G24" s="17"/>
      <c r="H24" s="18" t="n">
        <f aca="false">E24-F24</f>
        <v>1499.451</v>
      </c>
      <c r="I24" s="19" t="n">
        <f aca="false">F24/E24</f>
        <v>0.980452057073984</v>
      </c>
      <c r="J24" s="2"/>
      <c r="K24" s="2"/>
      <c r="L24" s="2"/>
    </row>
    <row r="25" customFormat="false" ht="14.4" hidden="false" customHeight="false" outlineLevel="0" collapsed="false">
      <c r="A25" s="13" t="s">
        <v>39</v>
      </c>
      <c r="B25" s="14" t="s">
        <v>13</v>
      </c>
      <c r="C25" s="32" t="n">
        <f aca="false">SUM('Pelagicos LTP '!E316:E323)</f>
        <v>588</v>
      </c>
      <c r="D25" s="33" t="n">
        <f aca="false">SUM('Pelagicos LTP '!F316:F323)</f>
        <v>-1.932</v>
      </c>
      <c r="E25" s="15" t="n">
        <f aca="false">C25+D25</f>
        <v>586.068</v>
      </c>
      <c r="F25" s="15" t="n">
        <f aca="false">SUM('Pelagicos LTP '!H316:H323)</f>
        <v>0</v>
      </c>
      <c r="G25" s="17"/>
      <c r="H25" s="18" t="n">
        <f aca="false">E25-F25</f>
        <v>586.068</v>
      </c>
      <c r="I25" s="19" t="n">
        <f aca="false">F25/E25</f>
        <v>0</v>
      </c>
      <c r="J25" s="2"/>
      <c r="K25" s="2"/>
      <c r="L25" s="2"/>
    </row>
    <row r="26" customFormat="false" ht="14.4" hidden="false" customHeight="false" outlineLevel="0" collapsed="false">
      <c r="A26" s="13" t="s">
        <v>39</v>
      </c>
      <c r="B26" s="14" t="s">
        <v>14</v>
      </c>
      <c r="C26" s="32" t="n">
        <f aca="false">SUM('Pelagicos LTP '!E326:E347)</f>
        <v>700</v>
      </c>
      <c r="D26" s="33" t="n">
        <f aca="false">SUM('Pelagicos LTP '!F326:F347)</f>
        <v>-99.90997</v>
      </c>
      <c r="E26" s="15" t="n">
        <f aca="false">C26+D26</f>
        <v>600.09003</v>
      </c>
      <c r="F26" s="15" t="n">
        <f aca="false">SUM('Pelagicos LTP '!H326:H347)</f>
        <v>8.446</v>
      </c>
      <c r="G26" s="17"/>
      <c r="H26" s="18" t="n">
        <f aca="false">E26-F26</f>
        <v>591.64403</v>
      </c>
      <c r="I26" s="19" t="n">
        <f aca="false">F26/E26</f>
        <v>0.014074554779722</v>
      </c>
      <c r="J26" s="2"/>
      <c r="K26" s="2"/>
      <c r="L26" s="2"/>
    </row>
    <row r="27" customFormat="false" ht="16.5" hidden="false" customHeight="true" outlineLevel="0" collapsed="false">
      <c r="A27" s="2"/>
      <c r="B27" s="2"/>
      <c r="C27" s="39"/>
      <c r="D27" s="39"/>
      <c r="E27" s="39"/>
      <c r="F27" s="39"/>
      <c r="G27" s="40"/>
      <c r="H27" s="40"/>
      <c r="I27" s="40"/>
      <c r="J27" s="2"/>
      <c r="K27" s="2"/>
      <c r="L27" s="2"/>
    </row>
    <row r="28" customFormat="false" ht="33.75" hidden="false" customHeight="true" outlineLevel="0" collapsed="false">
      <c r="A28" s="41" t="s">
        <v>40</v>
      </c>
      <c r="B28" s="41"/>
      <c r="C28" s="41"/>
      <c r="D28" s="41"/>
      <c r="E28" s="41"/>
      <c r="F28" s="41"/>
      <c r="G28" s="41"/>
      <c r="H28" s="41"/>
      <c r="I28" s="41"/>
      <c r="J28" s="2"/>
      <c r="K28" s="2"/>
      <c r="L28" s="2"/>
    </row>
    <row r="29" customFormat="false" ht="14.4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4" hidden="false" customHeight="false" outlineLevel="0" collapsed="false">
      <c r="C30" s="42"/>
      <c r="D30" s="42"/>
      <c r="E30" s="42"/>
      <c r="F30" s="42"/>
    </row>
    <row r="31" customFormat="false" ht="14.4" hidden="false" customHeight="false" outlineLevel="0" collapsed="false">
      <c r="C31" s="42"/>
      <c r="D31" s="42"/>
      <c r="E31" s="42"/>
      <c r="F31" s="42"/>
      <c r="G31" s="43"/>
    </row>
    <row r="33" customFormat="false" ht="14.4" hidden="false" customHeight="false" outlineLevel="0" collapsed="false">
      <c r="F33" s="43"/>
    </row>
  </sheetData>
  <mergeCells count="4">
    <mergeCell ref="A2:I2"/>
    <mergeCell ref="A3:I3"/>
    <mergeCell ref="A4:I4"/>
    <mergeCell ref="A28:I28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P3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1" activeCellId="0" sqref="B1:N2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20.66"/>
    <col collapsed="false" customWidth="true" hidden="false" outlineLevel="0" max="2" min="2" style="0" width="23.33"/>
    <col collapsed="false" customWidth="true" hidden="false" outlineLevel="0" max="3" min="3" style="0" width="8.87"/>
    <col collapsed="false" customWidth="true" hidden="false" outlineLevel="0" max="4" min="4" style="0" width="8.43"/>
    <col collapsed="false" customWidth="true" hidden="false" outlineLevel="0" max="5" min="5" style="0" width="22.55"/>
    <col collapsed="false" customWidth="true" hidden="false" outlineLevel="0" max="6" min="6" style="0" width="14.33"/>
    <col collapsed="false" customWidth="true" hidden="false" outlineLevel="0" max="7" min="7" style="0" width="12.66"/>
    <col collapsed="false" customWidth="true" hidden="false" outlineLevel="0" max="8" min="8" style="0" width="15.55"/>
    <col collapsed="false" customWidth="true" hidden="false" outlineLevel="0" max="10" min="10" style="0" width="12.66"/>
    <col collapsed="false" customWidth="true" hidden="false" outlineLevel="0" max="12" min="12" style="0" width="16.66"/>
    <col collapsed="false" customWidth="true" hidden="false" outlineLevel="0" max="13" min="13" style="0" width="12.99"/>
    <col collapsed="false" customWidth="true" hidden="false" outlineLevel="0" max="14" min="14" style="0" width="18.1"/>
    <col collapsed="false" customWidth="true" hidden="false" outlineLevel="0" max="16" min="16" style="0" width="18.43"/>
  </cols>
  <sheetData>
    <row r="1" customFormat="false" ht="14.4" hidden="false" customHeight="false" outlineLevel="0" collapsed="false">
      <c r="B1" s="44" t="s">
        <v>41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customFormat="false" ht="15.75" hidden="false" customHeight="true" outlineLevel="0" collapsed="false">
      <c r="A2" s="1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customFormat="false" ht="14.4" hidden="false" customHeight="false" outlineLevel="0" collapsed="false">
      <c r="A3" s="1"/>
    </row>
    <row r="4" customFormat="false" ht="14.4" hidden="false" customHeight="false" outlineLevel="0" collapsed="false">
      <c r="A4" s="1"/>
      <c r="B4" s="45"/>
      <c r="C4" s="46" t="s">
        <v>42</v>
      </c>
      <c r="D4" s="46"/>
      <c r="E4" s="47" t="s">
        <v>43</v>
      </c>
      <c r="F4" s="47"/>
      <c r="G4" s="47"/>
      <c r="H4" s="46" t="s">
        <v>44</v>
      </c>
      <c r="I4" s="46"/>
      <c r="J4" s="46"/>
      <c r="K4" s="46" t="s">
        <v>45</v>
      </c>
      <c r="L4" s="46"/>
      <c r="M4" s="46"/>
      <c r="N4" s="46"/>
    </row>
    <row r="5" customFormat="false" ht="51" hidden="false" customHeight="true" outlineLevel="0" collapsed="false">
      <c r="A5" s="48" t="s">
        <v>46</v>
      </c>
      <c r="B5" s="48" t="s">
        <v>47</v>
      </c>
      <c r="C5" s="49" t="s">
        <v>48</v>
      </c>
      <c r="D5" s="49" t="s">
        <v>49</v>
      </c>
      <c r="E5" s="50" t="s">
        <v>50</v>
      </c>
      <c r="F5" s="50" t="s">
        <v>51</v>
      </c>
      <c r="G5" s="50" t="s">
        <v>52</v>
      </c>
      <c r="H5" s="51" t="s">
        <v>53</v>
      </c>
      <c r="I5" s="51" t="s">
        <v>54</v>
      </c>
      <c r="J5" s="51" t="s">
        <v>55</v>
      </c>
      <c r="K5" s="51" t="s">
        <v>43</v>
      </c>
      <c r="L5" s="51" t="s">
        <v>53</v>
      </c>
      <c r="M5" s="51" t="s">
        <v>54</v>
      </c>
      <c r="N5" s="51" t="s">
        <v>55</v>
      </c>
    </row>
    <row r="6" customFormat="false" ht="16.5" hidden="false" customHeight="true" outlineLevel="0" collapsed="false">
      <c r="A6" s="52" t="s">
        <v>56</v>
      </c>
      <c r="B6" s="53" t="s">
        <v>57</v>
      </c>
      <c r="C6" s="54" t="n">
        <v>39083</v>
      </c>
      <c r="D6" s="54" t="n">
        <v>39263</v>
      </c>
      <c r="E6" s="55" t="n">
        <v>3320.985</v>
      </c>
      <c r="F6" s="56" t="n">
        <f aca="false">-3320.985</f>
        <v>-3320.985</v>
      </c>
      <c r="G6" s="55" t="n">
        <f aca="false">E6+F6</f>
        <v>0</v>
      </c>
      <c r="H6" s="56"/>
      <c r="I6" s="55" t="n">
        <f aca="false">G6-H6</f>
        <v>0</v>
      </c>
      <c r="J6" s="57" t="e">
        <f aca="false">H6/G6</f>
        <v>#DIV/0!</v>
      </c>
      <c r="K6" s="58" t="n">
        <f aca="false">E6+E7+F6+F7</f>
        <v>0</v>
      </c>
      <c r="L6" s="59" t="n">
        <f aca="false">H6+H7</f>
        <v>0</v>
      </c>
      <c r="M6" s="58" t="n">
        <f aca="false">K6-L6</f>
        <v>0</v>
      </c>
      <c r="N6" s="60" t="e">
        <f aca="false">L6/K6</f>
        <v>#DIV/0!</v>
      </c>
    </row>
    <row r="7" customFormat="false" ht="14.25" hidden="false" customHeight="true" outlineLevel="0" collapsed="false">
      <c r="A7" s="52"/>
      <c r="B7" s="53"/>
      <c r="C7" s="61" t="n">
        <v>39264</v>
      </c>
      <c r="D7" s="61" t="n">
        <v>39447</v>
      </c>
      <c r="E7" s="62" t="n">
        <v>1106.993</v>
      </c>
      <c r="F7" s="63" t="n">
        <f aca="false">-1106.993</f>
        <v>-1106.993</v>
      </c>
      <c r="G7" s="62" t="n">
        <f aca="false">E7+F7+I6</f>
        <v>0</v>
      </c>
      <c r="H7" s="63"/>
      <c r="I7" s="62" t="n">
        <f aca="false">G7-H7</f>
        <v>0</v>
      </c>
      <c r="J7" s="64" t="e">
        <f aca="false">H7/G7</f>
        <v>#DIV/0!</v>
      </c>
      <c r="K7" s="58"/>
      <c r="L7" s="59"/>
      <c r="M7" s="58"/>
      <c r="N7" s="60"/>
    </row>
    <row r="8" customFormat="false" ht="15.75" hidden="false" customHeight="true" outlineLevel="0" collapsed="false">
      <c r="A8" s="52"/>
      <c r="B8" s="65" t="s">
        <v>58</v>
      </c>
      <c r="C8" s="54" t="n">
        <v>39083</v>
      </c>
      <c r="D8" s="54" t="n">
        <v>39263</v>
      </c>
      <c r="E8" s="55" t="n">
        <v>92144.847</v>
      </c>
      <c r="F8" s="56"/>
      <c r="G8" s="55" t="n">
        <f aca="false">+E8+F8</f>
        <v>92144.847</v>
      </c>
      <c r="H8" s="55" t="n">
        <v>64993.394</v>
      </c>
      <c r="I8" s="55" t="n">
        <f aca="false">G8-H8</f>
        <v>27151.453</v>
      </c>
      <c r="J8" s="57" t="n">
        <f aca="false">H8/G8</f>
        <v>0.705339431514819</v>
      </c>
      <c r="K8" s="66" t="n">
        <f aca="false">E8+E9+F8+F9</f>
        <v>122859.73</v>
      </c>
      <c r="L8" s="59" t="n">
        <f aca="false">H8+H9</f>
        <v>122770.28</v>
      </c>
      <c r="M8" s="58" t="n">
        <f aca="false">K8-L8</f>
        <v>89.4499999999971</v>
      </c>
      <c r="N8" s="67" t="n">
        <f aca="false">L8/K8</f>
        <v>0.999271933936368</v>
      </c>
    </row>
    <row r="9" customFormat="false" ht="14.25" hidden="false" customHeight="true" outlineLevel="0" collapsed="false">
      <c r="A9" s="52"/>
      <c r="B9" s="65"/>
      <c r="C9" s="61" t="n">
        <v>39264</v>
      </c>
      <c r="D9" s="61" t="n">
        <v>39447</v>
      </c>
      <c r="E9" s="62" t="n">
        <v>30714.883</v>
      </c>
      <c r="F9" s="63"/>
      <c r="G9" s="62" t="n">
        <f aca="false">E9+F9+I8</f>
        <v>57866.336</v>
      </c>
      <c r="H9" s="62" t="n">
        <v>57776.886</v>
      </c>
      <c r="I9" s="62" t="n">
        <f aca="false">G9-H9</f>
        <v>89.4499999999971</v>
      </c>
      <c r="J9" s="64" t="n">
        <f aca="false">H9/G9</f>
        <v>0.99845419623596</v>
      </c>
      <c r="K9" s="66"/>
      <c r="L9" s="59"/>
      <c r="M9" s="58"/>
      <c r="N9" s="67"/>
      <c r="O9" s="0" t="n">
        <v>32728</v>
      </c>
    </row>
    <row r="10" customFormat="false" ht="14.4" hidden="false" customHeight="true" outlineLevel="0" collapsed="false">
      <c r="A10" s="52"/>
      <c r="B10" s="65" t="s">
        <v>59</v>
      </c>
      <c r="C10" s="54" t="n">
        <v>39083</v>
      </c>
      <c r="D10" s="54" t="n">
        <v>39263</v>
      </c>
      <c r="E10" s="55" t="n">
        <v>371371.168</v>
      </c>
      <c r="F10" s="56"/>
      <c r="G10" s="55" t="n">
        <f aca="false">E10+F10</f>
        <v>371371.168</v>
      </c>
      <c r="H10" s="55" t="n">
        <v>223426.062</v>
      </c>
      <c r="I10" s="55" t="n">
        <f aca="false">G10-H10</f>
        <v>147945.106</v>
      </c>
      <c r="J10" s="57" t="n">
        <f aca="false">H10/G10</f>
        <v>0.601624685091332</v>
      </c>
      <c r="K10" s="66" t="n">
        <f aca="false">E10+E11+F10+F11</f>
        <v>465161.292</v>
      </c>
      <c r="L10" s="59" t="n">
        <f aca="false">H10+H11</f>
        <v>459651.702</v>
      </c>
      <c r="M10" s="58" t="n">
        <f aca="false">K10-L10</f>
        <v>5509.58999999997</v>
      </c>
      <c r="N10" s="68" t="n">
        <f aca="false">L10/K10</f>
        <v>0.988155527781964</v>
      </c>
      <c r="O10" s="69" t="n">
        <f aca="false">+O9-H9</f>
        <v>-25048.886</v>
      </c>
    </row>
    <row r="11" customFormat="false" ht="15" hidden="false" customHeight="true" outlineLevel="0" collapsed="false">
      <c r="A11" s="52"/>
      <c r="B11" s="65"/>
      <c r="C11" s="61" t="n">
        <v>39264</v>
      </c>
      <c r="D11" s="61" t="n">
        <v>39447</v>
      </c>
      <c r="E11" s="62" t="n">
        <v>123790.124</v>
      </c>
      <c r="F11" s="63" t="n">
        <f aca="false">-20000-5000-5000</f>
        <v>-30000</v>
      </c>
      <c r="G11" s="62" t="n">
        <f aca="false">E11+F11+I10</f>
        <v>241735.23</v>
      </c>
      <c r="H11" s="62" t="n">
        <v>236225.64</v>
      </c>
      <c r="I11" s="62" t="n">
        <f aca="false">G11-H11</f>
        <v>5509.58999999997</v>
      </c>
      <c r="J11" s="64" t="n">
        <f aca="false">H11/G11</f>
        <v>0.977208162831707</v>
      </c>
      <c r="K11" s="66"/>
      <c r="L11" s="59"/>
      <c r="M11" s="58"/>
      <c r="N11" s="68"/>
    </row>
    <row r="12" customFormat="false" ht="15" hidden="false" customHeight="true" outlineLevel="0" collapsed="false">
      <c r="A12" s="52"/>
      <c r="B12" s="65" t="s">
        <v>60</v>
      </c>
      <c r="C12" s="54" t="n">
        <v>39083</v>
      </c>
      <c r="D12" s="54" t="n">
        <v>39263</v>
      </c>
      <c r="E12" s="55" t="n">
        <v>0</v>
      </c>
      <c r="F12" s="56"/>
      <c r="G12" s="55" t="n">
        <f aca="false">E12+F12</f>
        <v>0</v>
      </c>
      <c r="H12" s="70"/>
      <c r="I12" s="55" t="n">
        <f aca="false">G12-H12</f>
        <v>0</v>
      </c>
      <c r="J12" s="57" t="e">
        <f aca="false">H12/G12</f>
        <v>#DIV/0!</v>
      </c>
      <c r="K12" s="66" t="n">
        <f aca="false">E12+E13+F12+F13</f>
        <v>0</v>
      </c>
      <c r="L12" s="59" t="n">
        <f aca="false">H12+H13</f>
        <v>0</v>
      </c>
      <c r="M12" s="58" t="n">
        <f aca="false">K12-L12</f>
        <v>0</v>
      </c>
      <c r="N12" s="71" t="e">
        <f aca="false">L12/K12</f>
        <v>#DIV/0!</v>
      </c>
    </row>
    <row r="13" customFormat="false" ht="15" hidden="false" customHeight="true" outlineLevel="0" collapsed="false">
      <c r="A13" s="52"/>
      <c r="B13" s="65"/>
      <c r="C13" s="61" t="n">
        <v>39264</v>
      </c>
      <c r="D13" s="61" t="n">
        <v>39447</v>
      </c>
      <c r="E13" s="62" t="n">
        <v>0</v>
      </c>
      <c r="F13" s="63"/>
      <c r="G13" s="62" t="n">
        <f aca="false">E13+F13+I12</f>
        <v>0</v>
      </c>
      <c r="H13" s="63"/>
      <c r="I13" s="62" t="n">
        <f aca="false">G13-H13</f>
        <v>0</v>
      </c>
      <c r="J13" s="64" t="e">
        <f aca="false">H13/G13</f>
        <v>#DIV/0!</v>
      </c>
      <c r="K13" s="66"/>
      <c r="L13" s="59"/>
      <c r="M13" s="58"/>
      <c r="N13" s="71"/>
    </row>
    <row r="14" customFormat="false" ht="15" hidden="false" customHeight="true" outlineLevel="0" collapsed="false">
      <c r="A14" s="72"/>
      <c r="B14" s="73"/>
      <c r="C14" s="74"/>
      <c r="D14" s="74"/>
      <c r="E14" s="75"/>
      <c r="F14" s="76"/>
      <c r="G14" s="75"/>
      <c r="H14" s="76"/>
      <c r="I14" s="75"/>
      <c r="J14" s="77"/>
      <c r="K14" s="78"/>
      <c r="L14" s="79"/>
      <c r="M14" s="79"/>
      <c r="N14" s="80"/>
    </row>
    <row r="15" customFormat="false" ht="14.25" hidden="false" customHeight="true" outlineLevel="0" collapsed="false">
      <c r="A15" s="6"/>
      <c r="B15" s="6"/>
      <c r="C15" s="81"/>
      <c r="D15" s="81"/>
      <c r="E15" s="81"/>
      <c r="F15" s="81"/>
      <c r="G15" s="81"/>
      <c r="H15" s="81"/>
      <c r="I15" s="76"/>
      <c r="J15" s="82"/>
      <c r="K15" s="1"/>
      <c r="L15" s="1"/>
      <c r="M15" s="1"/>
      <c r="N15" s="1"/>
    </row>
    <row r="16" customFormat="false" ht="15" hidden="false" customHeight="true" outlineLevel="0" collapsed="false">
      <c r="A16" s="83" t="s">
        <v>61</v>
      </c>
      <c r="B16" s="84" t="s">
        <v>62</v>
      </c>
      <c r="C16" s="54" t="n">
        <v>39083</v>
      </c>
      <c r="D16" s="54" t="n">
        <v>39386</v>
      </c>
      <c r="E16" s="55" t="n">
        <v>858.817</v>
      </c>
      <c r="F16" s="85" t="n">
        <f aca="false">777.446-554</f>
        <v>223.446</v>
      </c>
      <c r="G16" s="55" t="n">
        <f aca="false">E16+F16</f>
        <v>1082.263</v>
      </c>
      <c r="H16" s="56"/>
      <c r="I16" s="55" t="n">
        <f aca="false">G16-H16</f>
        <v>1082.263</v>
      </c>
      <c r="J16" s="57" t="n">
        <f aca="false">H16/G16</f>
        <v>0</v>
      </c>
      <c r="K16" s="66" t="n">
        <f aca="false">E16+E17+F16+F17</f>
        <v>1144.887</v>
      </c>
      <c r="L16" s="66" t="n">
        <f aca="false">H16+H17</f>
        <v>855.235</v>
      </c>
      <c r="M16" s="66" t="n">
        <f aca="false">K16-L16</f>
        <v>289.652</v>
      </c>
      <c r="N16" s="86" t="n">
        <f aca="false">L16/K16</f>
        <v>0.747003852781978</v>
      </c>
    </row>
    <row r="17" customFormat="false" ht="15" hidden="false" customHeight="true" outlineLevel="0" collapsed="false">
      <c r="A17" s="83"/>
      <c r="B17" s="84"/>
      <c r="C17" s="61" t="n">
        <v>39387</v>
      </c>
      <c r="D17" s="61" t="n">
        <v>39447</v>
      </c>
      <c r="E17" s="62" t="n">
        <v>45.186</v>
      </c>
      <c r="F17" s="87" t="n">
        <f aca="false">17.438</f>
        <v>17.438</v>
      </c>
      <c r="G17" s="62" t="n">
        <f aca="false">E17+F17+I16</f>
        <v>1144.887</v>
      </c>
      <c r="H17" s="88" t="n">
        <v>855.235</v>
      </c>
      <c r="I17" s="62" t="n">
        <f aca="false">G17-H17</f>
        <v>289.652</v>
      </c>
      <c r="J17" s="64" t="n">
        <f aca="false">H17/G17</f>
        <v>0.747003852781978</v>
      </c>
      <c r="K17" s="66"/>
      <c r="L17" s="66"/>
      <c r="M17" s="66"/>
      <c r="N17" s="86"/>
    </row>
    <row r="18" customFormat="false" ht="15" hidden="false" customHeight="true" outlineLevel="0" collapsed="false">
      <c r="A18" s="83"/>
      <c r="B18" s="84" t="s">
        <v>63</v>
      </c>
      <c r="C18" s="54" t="n">
        <v>39083</v>
      </c>
      <c r="D18" s="54" t="n">
        <v>39386</v>
      </c>
      <c r="E18" s="55" t="n">
        <v>6808.598</v>
      </c>
      <c r="F18" s="56" t="n">
        <f aca="false">-3166.828-2641.77</f>
        <v>-5808.598</v>
      </c>
      <c r="G18" s="55" t="n">
        <f aca="false">E18+F18</f>
        <v>1000</v>
      </c>
      <c r="H18" s="89"/>
      <c r="I18" s="55" t="n">
        <f aca="false">G18-H18</f>
        <v>1000</v>
      </c>
      <c r="J18" s="57" t="n">
        <f aca="false">H18/G18</f>
        <v>0</v>
      </c>
      <c r="K18" s="66" t="n">
        <f aca="false">E18+E19+F18+F19</f>
        <v>0</v>
      </c>
      <c r="L18" s="66" t="n">
        <f aca="false">H18+H19</f>
        <v>0</v>
      </c>
      <c r="M18" s="66" t="n">
        <f aca="false">K18-L18</f>
        <v>0</v>
      </c>
      <c r="N18" s="86" t="e">
        <f aca="false">L18/K18</f>
        <v>#DIV/0!</v>
      </c>
    </row>
    <row r="19" customFormat="false" ht="15" hidden="false" customHeight="true" outlineLevel="0" collapsed="false">
      <c r="A19" s="83"/>
      <c r="B19" s="84"/>
      <c r="C19" s="61" t="n">
        <v>39387</v>
      </c>
      <c r="D19" s="61" t="n">
        <v>39447</v>
      </c>
      <c r="E19" s="62" t="n">
        <v>358.23</v>
      </c>
      <c r="F19" s="63" t="n">
        <f aca="false">-358.23-1000</f>
        <v>-1358.23</v>
      </c>
      <c r="G19" s="62" t="n">
        <f aca="false">E19+F19+I18</f>
        <v>0</v>
      </c>
      <c r="H19" s="63"/>
      <c r="I19" s="62" t="n">
        <f aca="false">G19-H19</f>
        <v>0</v>
      </c>
      <c r="J19" s="64" t="e">
        <f aca="false">H19/G19</f>
        <v>#DIV/0!</v>
      </c>
      <c r="K19" s="66"/>
      <c r="L19" s="66"/>
      <c r="M19" s="66"/>
      <c r="N19" s="86"/>
    </row>
    <row r="20" customFormat="false" ht="15" hidden="false" customHeight="true" outlineLevel="0" collapsed="false">
      <c r="A20" s="83"/>
      <c r="B20" s="90" t="s">
        <v>64</v>
      </c>
      <c r="C20" s="54" t="n">
        <v>39083</v>
      </c>
      <c r="D20" s="54" t="n">
        <v>39386</v>
      </c>
      <c r="E20" s="55" t="n">
        <v>5319.902</v>
      </c>
      <c r="F20" s="56" t="n">
        <f aca="false">-3.09-5316.812</f>
        <v>-5319.902</v>
      </c>
      <c r="G20" s="55" t="n">
        <f aca="false">E20+F20</f>
        <v>0</v>
      </c>
      <c r="H20" s="56"/>
      <c r="I20" s="55" t="n">
        <f aca="false">G20-H20</f>
        <v>0</v>
      </c>
      <c r="J20" s="57" t="e">
        <f aca="false">H20/G20</f>
        <v>#DIV/0!</v>
      </c>
      <c r="K20" s="91" t="n">
        <f aca="false">E20+E21+F20+F21</f>
        <v>1000</v>
      </c>
      <c r="L20" s="91" t="n">
        <f aca="false">H20+H21</f>
        <v>0</v>
      </c>
      <c r="M20" s="91" t="n">
        <f aca="false">K20-L20</f>
        <v>1000</v>
      </c>
      <c r="N20" s="86" t="n">
        <f aca="false">L20/K20</f>
        <v>0</v>
      </c>
    </row>
    <row r="21" customFormat="false" ht="15" hidden="false" customHeight="true" outlineLevel="0" collapsed="false">
      <c r="A21" s="83"/>
      <c r="B21" s="90"/>
      <c r="C21" s="92" t="n">
        <v>39387</v>
      </c>
      <c r="D21" s="92" t="n">
        <v>39447</v>
      </c>
      <c r="E21" s="93" t="n">
        <v>279.903</v>
      </c>
      <c r="F21" s="94" t="n">
        <f aca="false">-279.903+1000</f>
        <v>720.097</v>
      </c>
      <c r="G21" s="93" t="n">
        <f aca="false">E21+F21+I20</f>
        <v>1000</v>
      </c>
      <c r="H21" s="95"/>
      <c r="I21" s="93" t="n">
        <f aca="false">G21-H21</f>
        <v>1000</v>
      </c>
      <c r="J21" s="96" t="n">
        <f aca="false">H21/G21</f>
        <v>0</v>
      </c>
      <c r="K21" s="91"/>
      <c r="L21" s="91"/>
      <c r="M21" s="91"/>
      <c r="N21" s="86"/>
    </row>
    <row r="22" customFormat="false" ht="15" hidden="false" customHeight="true" outlineLevel="0" collapsed="false">
      <c r="A22" s="83"/>
      <c r="B22" s="84" t="s">
        <v>65</v>
      </c>
      <c r="C22" s="54" t="n">
        <v>39083</v>
      </c>
      <c r="D22" s="54" t="n">
        <v>39386</v>
      </c>
      <c r="E22" s="55" t="n">
        <v>777.446</v>
      </c>
      <c r="F22" s="56" t="n">
        <f aca="false">-777.446</f>
        <v>-777.446</v>
      </c>
      <c r="G22" s="55" t="n">
        <f aca="false">E22+F22</f>
        <v>0</v>
      </c>
      <c r="H22" s="56"/>
      <c r="I22" s="55" t="n">
        <f aca="false">G22-H22</f>
        <v>0</v>
      </c>
      <c r="J22" s="57" t="e">
        <f aca="false">H22/G22</f>
        <v>#DIV/0!</v>
      </c>
      <c r="K22" s="66" t="n">
        <f aca="false">E22+E23+F22+F23</f>
        <v>23.4668456</v>
      </c>
      <c r="L22" s="66" t="n">
        <f aca="false">H22+H23</f>
        <v>0</v>
      </c>
      <c r="M22" s="66" t="n">
        <f aca="false">K22-L22</f>
        <v>23.4668456</v>
      </c>
      <c r="N22" s="86" t="n">
        <f aca="false">L22/K22</f>
        <v>0</v>
      </c>
    </row>
    <row r="23" customFormat="false" ht="15" hidden="false" customHeight="true" outlineLevel="0" collapsed="false">
      <c r="A23" s="83"/>
      <c r="B23" s="84"/>
      <c r="C23" s="61" t="n">
        <v>39387</v>
      </c>
      <c r="D23" s="61" t="n">
        <v>39447</v>
      </c>
      <c r="E23" s="62" t="n">
        <v>40.905</v>
      </c>
      <c r="F23" s="63" t="n">
        <f aca="false">-17.4381544</f>
        <v>-17.4381544</v>
      </c>
      <c r="G23" s="62" t="n">
        <f aca="false">E23+F23+I22</f>
        <v>23.4668456</v>
      </c>
      <c r="H23" s="63"/>
      <c r="I23" s="62" t="n">
        <f aca="false">G23-H23</f>
        <v>23.4668456</v>
      </c>
      <c r="J23" s="64" t="n">
        <f aca="false">H23/G23</f>
        <v>0</v>
      </c>
      <c r="K23" s="66"/>
      <c r="L23" s="66"/>
      <c r="M23" s="66"/>
      <c r="N23" s="86"/>
    </row>
    <row r="24" customFormat="false" ht="15" hidden="false" customHeight="true" outlineLevel="0" collapsed="false">
      <c r="A24" s="83"/>
      <c r="B24" s="84" t="s">
        <v>66</v>
      </c>
      <c r="C24" s="54" t="n">
        <v>39083</v>
      </c>
      <c r="D24" s="54" t="n">
        <v>39386</v>
      </c>
      <c r="E24" s="55" t="n">
        <v>0</v>
      </c>
      <c r="F24" s="56"/>
      <c r="G24" s="55" t="n">
        <f aca="false">E24+F24</f>
        <v>0</v>
      </c>
      <c r="H24" s="56"/>
      <c r="I24" s="55" t="n">
        <f aca="false">G24-H24</f>
        <v>0</v>
      </c>
      <c r="J24" s="57" t="e">
        <f aca="false">H24/G24</f>
        <v>#DIV/0!</v>
      </c>
      <c r="K24" s="66" t="n">
        <f aca="false">E24+E25+F24+F25</f>
        <v>0</v>
      </c>
      <c r="L24" s="66" t="n">
        <f aca="false">H24+H25</f>
        <v>0</v>
      </c>
      <c r="M24" s="66" t="n">
        <f aca="false">K24-L24</f>
        <v>0</v>
      </c>
      <c r="N24" s="86" t="e">
        <f aca="false">L24/K24</f>
        <v>#DIV/0!</v>
      </c>
    </row>
    <row r="25" customFormat="false" ht="15" hidden="false" customHeight="true" outlineLevel="0" collapsed="false">
      <c r="A25" s="83"/>
      <c r="B25" s="84"/>
      <c r="C25" s="61" t="n">
        <v>39387</v>
      </c>
      <c r="D25" s="61" t="n">
        <v>39447</v>
      </c>
      <c r="E25" s="62" t="n">
        <v>0</v>
      </c>
      <c r="F25" s="63"/>
      <c r="G25" s="62" t="n">
        <f aca="false">E25+F25+I24</f>
        <v>0</v>
      </c>
      <c r="H25" s="63"/>
      <c r="I25" s="62" t="n">
        <f aca="false">G25-H25</f>
        <v>0</v>
      </c>
      <c r="J25" s="64" t="e">
        <f aca="false">H25/G25</f>
        <v>#DIV/0!</v>
      </c>
      <c r="K25" s="66"/>
      <c r="L25" s="66"/>
      <c r="M25" s="66"/>
      <c r="N25" s="86"/>
    </row>
    <row r="26" customFormat="false" ht="14.4" hidden="false" customHeight="true" outlineLevel="0" collapsed="false">
      <c r="A26" s="83"/>
      <c r="B26" s="90" t="s">
        <v>67</v>
      </c>
      <c r="C26" s="54" t="n">
        <v>39083</v>
      </c>
      <c r="D26" s="54" t="n">
        <v>39386</v>
      </c>
      <c r="E26" s="55" t="n">
        <v>279.921</v>
      </c>
      <c r="F26" s="97" t="n">
        <f aca="false">-0.258</f>
        <v>-0.258</v>
      </c>
      <c r="G26" s="55" t="n">
        <f aca="false">E26+F26</f>
        <v>279.663</v>
      </c>
      <c r="H26" s="56"/>
      <c r="I26" s="55" t="n">
        <f aca="false">G26-H26</f>
        <v>279.663</v>
      </c>
      <c r="J26" s="57" t="n">
        <f aca="false">H26/G26</f>
        <v>0</v>
      </c>
      <c r="K26" s="91" t="n">
        <f aca="false">E26+E27+F26+F27</f>
        <v>294.391</v>
      </c>
      <c r="L26" s="91" t="n">
        <f aca="false">H26+H27</f>
        <v>0</v>
      </c>
      <c r="M26" s="91" t="n">
        <f aca="false">K26-L26</f>
        <v>294.391</v>
      </c>
      <c r="N26" s="86" t="n">
        <f aca="false">L26/K26</f>
        <v>0</v>
      </c>
    </row>
    <row r="27" customFormat="false" ht="14.4" hidden="false" customHeight="false" outlineLevel="0" collapsed="false">
      <c r="A27" s="83"/>
      <c r="B27" s="90"/>
      <c r="C27" s="92" t="n">
        <v>39387</v>
      </c>
      <c r="D27" s="92" t="n">
        <v>39447</v>
      </c>
      <c r="E27" s="93" t="n">
        <v>14.728</v>
      </c>
      <c r="F27" s="98"/>
      <c r="G27" s="93" t="n">
        <f aca="false">E27+F27+I26</f>
        <v>294.391</v>
      </c>
      <c r="H27" s="95"/>
      <c r="I27" s="93" t="n">
        <f aca="false">G27-H27</f>
        <v>294.391</v>
      </c>
      <c r="J27" s="96" t="n">
        <f aca="false">H27/G27</f>
        <v>0</v>
      </c>
      <c r="K27" s="91"/>
      <c r="L27" s="91"/>
      <c r="M27" s="91"/>
      <c r="N27" s="86"/>
    </row>
    <row r="28" customFormat="false" ht="14.4" hidden="false" customHeight="true" outlineLevel="0" collapsed="false">
      <c r="A28" s="83"/>
      <c r="B28" s="84" t="s">
        <v>68</v>
      </c>
      <c r="C28" s="54" t="n">
        <v>39083</v>
      </c>
      <c r="D28" s="54" t="n">
        <v>39386</v>
      </c>
      <c r="E28" s="55" t="n">
        <v>10380.341</v>
      </c>
      <c r="F28" s="97" t="n">
        <f aca="false">-10.826</f>
        <v>-10.826</v>
      </c>
      <c r="G28" s="55" t="n">
        <f aca="false">E28+F28</f>
        <v>10369.515</v>
      </c>
      <c r="H28" s="56"/>
      <c r="I28" s="55" t="n">
        <f aca="false">G28-H28</f>
        <v>10369.515</v>
      </c>
      <c r="J28" s="57" t="n">
        <f aca="false">H28/G28</f>
        <v>0</v>
      </c>
      <c r="K28" s="66" t="n">
        <f aca="false">E28+E29+F28+F29</f>
        <v>10915.67</v>
      </c>
      <c r="L28" s="66" t="n">
        <f aca="false">H28+H29</f>
        <v>0</v>
      </c>
      <c r="M28" s="66" t="n">
        <f aca="false">K28-L28</f>
        <v>10915.67</v>
      </c>
      <c r="N28" s="86" t="n">
        <f aca="false">L28/K28</f>
        <v>0</v>
      </c>
    </row>
    <row r="29" customFormat="false" ht="14.4" hidden="false" customHeight="false" outlineLevel="0" collapsed="false">
      <c r="A29" s="83"/>
      <c r="B29" s="84"/>
      <c r="C29" s="61" t="n">
        <v>39387</v>
      </c>
      <c r="D29" s="61" t="n">
        <v>39447</v>
      </c>
      <c r="E29" s="62" t="n">
        <v>546.155</v>
      </c>
      <c r="F29" s="99"/>
      <c r="G29" s="62" t="n">
        <f aca="false">E29+F29+I28</f>
        <v>10915.67</v>
      </c>
      <c r="H29" s="63"/>
      <c r="I29" s="62" t="n">
        <f aca="false">G29-H29</f>
        <v>10915.67</v>
      </c>
      <c r="J29" s="64" t="n">
        <f aca="false">H29/G29</f>
        <v>0</v>
      </c>
      <c r="K29" s="66"/>
      <c r="L29" s="66"/>
      <c r="M29" s="66"/>
      <c r="N29" s="86"/>
    </row>
    <row r="30" customFormat="false" ht="14.4" hidden="false" customHeight="true" outlineLevel="0" collapsed="false">
      <c r="A30" s="83"/>
      <c r="B30" s="84" t="s">
        <v>69</v>
      </c>
      <c r="C30" s="54" t="n">
        <v>39083</v>
      </c>
      <c r="D30" s="54" t="n">
        <v>39386</v>
      </c>
      <c r="E30" s="55" t="n">
        <v>73.975</v>
      </c>
      <c r="F30" s="97"/>
      <c r="G30" s="55" t="n">
        <f aca="false">E30+F30</f>
        <v>73.975</v>
      </c>
      <c r="H30" s="56"/>
      <c r="I30" s="55" t="n">
        <f aca="false">G30-H30</f>
        <v>73.975</v>
      </c>
      <c r="J30" s="57" t="n">
        <f aca="false">H30/G30</f>
        <v>0</v>
      </c>
      <c r="K30" s="66" t="n">
        <f aca="false">E30+E31+F30+F31</f>
        <v>77.867</v>
      </c>
      <c r="L30" s="66" t="n">
        <f aca="false">H30+H31</f>
        <v>0</v>
      </c>
      <c r="M30" s="66" t="n">
        <f aca="false">K30-L30</f>
        <v>77.867</v>
      </c>
      <c r="N30" s="86" t="n">
        <f aca="false">L30/K30</f>
        <v>0</v>
      </c>
    </row>
    <row r="31" customFormat="false" ht="14.4" hidden="false" customHeight="false" outlineLevel="0" collapsed="false">
      <c r="A31" s="83"/>
      <c r="B31" s="84"/>
      <c r="C31" s="61" t="n">
        <v>39387</v>
      </c>
      <c r="D31" s="61" t="n">
        <v>39447</v>
      </c>
      <c r="E31" s="62" t="n">
        <v>3.892</v>
      </c>
      <c r="F31" s="99"/>
      <c r="G31" s="62" t="n">
        <f aca="false">E31+F31+I30</f>
        <v>77.867</v>
      </c>
      <c r="H31" s="63"/>
      <c r="I31" s="62" t="n">
        <f aca="false">G31-H31</f>
        <v>77.867</v>
      </c>
      <c r="J31" s="64" t="n">
        <f aca="false">H31/G31</f>
        <v>0</v>
      </c>
      <c r="K31" s="66"/>
      <c r="L31" s="66"/>
      <c r="M31" s="66"/>
      <c r="N31" s="86"/>
    </row>
    <row r="32" customFormat="false" ht="14.4" hidden="false" customHeight="true" outlineLevel="0" collapsed="false">
      <c r="A32" s="83"/>
      <c r="B32" s="84" t="s">
        <v>70</v>
      </c>
      <c r="C32" s="54" t="n">
        <v>39083</v>
      </c>
      <c r="D32" s="54" t="n">
        <v>39386</v>
      </c>
      <c r="E32" s="55" t="n">
        <v>0</v>
      </c>
      <c r="F32" s="100" t="n">
        <f aca="false">0.258</f>
        <v>0.258</v>
      </c>
      <c r="G32" s="55" t="n">
        <f aca="false">E32+F32</f>
        <v>0.258</v>
      </c>
      <c r="H32" s="56"/>
      <c r="I32" s="55" t="n">
        <f aca="false">G32-H32</f>
        <v>0.258</v>
      </c>
      <c r="J32" s="57" t="n">
        <f aca="false">H32/G32</f>
        <v>0</v>
      </c>
      <c r="K32" s="66" t="n">
        <f aca="false">E32+E33+F32+F33</f>
        <v>0.258</v>
      </c>
      <c r="L32" s="66" t="n">
        <f aca="false">H32+H33</f>
        <v>0</v>
      </c>
      <c r="M32" s="66" t="n">
        <f aca="false">K32-L32</f>
        <v>0.258</v>
      </c>
      <c r="N32" s="86" t="n">
        <f aca="false">L32/K32</f>
        <v>0</v>
      </c>
    </row>
    <row r="33" customFormat="false" ht="13.5" hidden="false" customHeight="true" outlineLevel="0" collapsed="false">
      <c r="A33" s="83"/>
      <c r="B33" s="84"/>
      <c r="C33" s="61" t="n">
        <v>39387</v>
      </c>
      <c r="D33" s="61" t="n">
        <v>39447</v>
      </c>
      <c r="E33" s="62" t="n">
        <v>0</v>
      </c>
      <c r="F33" s="99"/>
      <c r="G33" s="62" t="n">
        <f aca="false">E33+F33+I32</f>
        <v>0.258</v>
      </c>
      <c r="H33" s="63"/>
      <c r="I33" s="62" t="n">
        <f aca="false">G33-H33</f>
        <v>0.258</v>
      </c>
      <c r="J33" s="64" t="n">
        <f aca="false">H33/G33</f>
        <v>0</v>
      </c>
      <c r="K33" s="66"/>
      <c r="L33" s="66"/>
      <c r="M33" s="66"/>
      <c r="N33" s="86"/>
    </row>
    <row r="34" customFormat="false" ht="14.4" hidden="false" customHeight="true" outlineLevel="0" collapsed="false">
      <c r="A34" s="83"/>
      <c r="B34" s="101" t="s">
        <v>71</v>
      </c>
      <c r="C34" s="54" t="n">
        <v>39083</v>
      </c>
      <c r="D34" s="54" t="n">
        <v>39386</v>
      </c>
      <c r="E34" s="55" t="n">
        <v>0</v>
      </c>
      <c r="F34" s="100" t="n">
        <f aca="false">3.09</f>
        <v>3.09</v>
      </c>
      <c r="G34" s="55" t="n">
        <f aca="false">E34+F34</f>
        <v>3.09</v>
      </c>
      <c r="H34" s="56"/>
      <c r="I34" s="55" t="n">
        <f aca="false">G34-H34</f>
        <v>3.09</v>
      </c>
      <c r="J34" s="57" t="n">
        <f aca="false">H34/G34</f>
        <v>0</v>
      </c>
      <c r="K34" s="66" t="n">
        <f aca="false">E34+E35+F34+F35</f>
        <v>3.09</v>
      </c>
      <c r="L34" s="66" t="n">
        <f aca="false">H34+H35</f>
        <v>0</v>
      </c>
      <c r="M34" s="66" t="n">
        <f aca="false">K34-L34</f>
        <v>3.09</v>
      </c>
      <c r="N34" s="86" t="n">
        <f aca="false">L34/K34</f>
        <v>0</v>
      </c>
    </row>
    <row r="35" customFormat="false" ht="14.4" hidden="false" customHeight="false" outlineLevel="0" collapsed="false">
      <c r="A35" s="83"/>
      <c r="B35" s="101"/>
      <c r="C35" s="61" t="n">
        <v>39387</v>
      </c>
      <c r="D35" s="61" t="n">
        <v>39447</v>
      </c>
      <c r="E35" s="62" t="n">
        <v>0</v>
      </c>
      <c r="F35" s="99"/>
      <c r="G35" s="62" t="n">
        <f aca="false">E35+F35+I34</f>
        <v>3.09</v>
      </c>
      <c r="H35" s="63"/>
      <c r="I35" s="62" t="n">
        <f aca="false">G35-H35</f>
        <v>3.09</v>
      </c>
      <c r="J35" s="64" t="n">
        <f aca="false">H35/G35</f>
        <v>0</v>
      </c>
      <c r="K35" s="66"/>
      <c r="L35" s="66"/>
      <c r="M35" s="66"/>
      <c r="N35" s="86"/>
    </row>
    <row r="36" customFormat="false" ht="14.4" hidden="false" customHeight="false" outlineLevel="0" collapsed="false">
      <c r="A36" s="102"/>
      <c r="B36" s="103"/>
      <c r="C36" s="74"/>
      <c r="D36" s="74"/>
      <c r="E36" s="75"/>
      <c r="F36" s="104"/>
      <c r="G36" s="75"/>
      <c r="H36" s="76"/>
      <c r="I36" s="75"/>
      <c r="J36" s="77"/>
      <c r="K36" s="78"/>
      <c r="L36" s="78"/>
      <c r="M36" s="78"/>
      <c r="N36" s="80"/>
    </row>
    <row r="37" customFormat="false" ht="14.25" hidden="false" customHeight="true" outlineLevel="0" collapsed="false">
      <c r="A37" s="6"/>
      <c r="B37" s="6"/>
      <c r="C37" s="81"/>
      <c r="D37" s="81"/>
      <c r="E37" s="81"/>
      <c r="F37" s="81"/>
      <c r="G37" s="81"/>
      <c r="H37" s="81"/>
      <c r="I37" s="76"/>
      <c r="J37" s="82"/>
      <c r="K37" s="105"/>
      <c r="L37" s="105"/>
      <c r="M37" s="105"/>
      <c r="N37" s="105"/>
    </row>
    <row r="38" customFormat="false" ht="15" hidden="false" customHeight="true" outlineLevel="0" collapsed="false">
      <c r="A38" s="106" t="s">
        <v>72</v>
      </c>
      <c r="B38" s="107" t="s">
        <v>73</v>
      </c>
      <c r="C38" s="108" t="n">
        <v>39083</v>
      </c>
      <c r="D38" s="109" t="n">
        <v>39202</v>
      </c>
      <c r="E38" s="55" t="n">
        <v>1438.139</v>
      </c>
      <c r="F38" s="56" t="n">
        <f aca="false">-70-950-70-70-315-40-40+207.961+2.492+15.329+8.0655352</f>
        <v>-1321.1524648</v>
      </c>
      <c r="G38" s="55" t="n">
        <f aca="false">E38+F38</f>
        <v>116.9865352</v>
      </c>
      <c r="H38" s="110"/>
      <c r="I38" s="55" t="n">
        <f aca="false">G38-H38</f>
        <v>116.9865352</v>
      </c>
      <c r="J38" s="57" t="n">
        <f aca="false">H38/G38</f>
        <v>0</v>
      </c>
      <c r="K38" s="111" t="n">
        <f aca="false">E38+E39+E40+F38+F39+F40</f>
        <v>250.8525352</v>
      </c>
      <c r="L38" s="111" t="n">
        <f aca="false">H38+H39+H40</f>
        <v>81.328</v>
      </c>
      <c r="M38" s="111" t="n">
        <f aca="false">K38-L38</f>
        <v>169.5245352</v>
      </c>
      <c r="N38" s="112" t="n">
        <f aca="false">L38/K38</f>
        <v>0.32420641049196</v>
      </c>
      <c r="O38" s="113"/>
    </row>
    <row r="39" customFormat="false" ht="15" hidden="false" customHeight="true" outlineLevel="0" collapsed="false">
      <c r="A39" s="106"/>
      <c r="B39" s="107"/>
      <c r="C39" s="114" t="n">
        <v>39203</v>
      </c>
      <c r="D39" s="115" t="n">
        <v>39691</v>
      </c>
      <c r="E39" s="93" t="n">
        <v>169.182</v>
      </c>
      <c r="F39" s="95" t="n">
        <f aca="false">-120</f>
        <v>-120</v>
      </c>
      <c r="G39" s="93" t="n">
        <f aca="false">E39+F39+I38</f>
        <v>166.1685352</v>
      </c>
      <c r="H39" s="93" t="n">
        <v>31.313</v>
      </c>
      <c r="I39" s="55" t="n">
        <f aca="false">G39-H39</f>
        <v>134.8555352</v>
      </c>
      <c r="J39" s="57" t="n">
        <f aca="false">H39/G39</f>
        <v>0.188441210980838</v>
      </c>
      <c r="K39" s="111"/>
      <c r="L39" s="111"/>
      <c r="M39" s="111"/>
      <c r="N39" s="112"/>
      <c r="O39" s="113"/>
    </row>
    <row r="40" customFormat="false" ht="15" hidden="false" customHeight="true" outlineLevel="0" collapsed="false">
      <c r="A40" s="106"/>
      <c r="B40" s="107"/>
      <c r="C40" s="116" t="n">
        <v>39692</v>
      </c>
      <c r="D40" s="117" t="n">
        <v>39813</v>
      </c>
      <c r="E40" s="93" t="n">
        <v>84.684</v>
      </c>
      <c r="F40" s="93"/>
      <c r="G40" s="93" t="n">
        <f aca="false">E40+F40+I39</f>
        <v>219.5395352</v>
      </c>
      <c r="H40" s="93" t="n">
        <v>50.015</v>
      </c>
      <c r="I40" s="55" t="n">
        <f aca="false">G40-H40</f>
        <v>169.5245352</v>
      </c>
      <c r="J40" s="57" t="n">
        <f aca="false">H40/G40</f>
        <v>0.227817736584149</v>
      </c>
      <c r="K40" s="111"/>
      <c r="L40" s="111"/>
      <c r="M40" s="111"/>
      <c r="N40" s="112"/>
      <c r="O40" s="113"/>
    </row>
    <row r="41" customFormat="false" ht="15" hidden="false" customHeight="true" outlineLevel="0" collapsed="false">
      <c r="A41" s="106"/>
      <c r="B41" s="118" t="s">
        <v>74</v>
      </c>
      <c r="C41" s="119" t="n">
        <v>39083</v>
      </c>
      <c r="D41" s="120" t="n">
        <v>39202</v>
      </c>
      <c r="E41" s="55" t="n">
        <v>27.075</v>
      </c>
      <c r="F41" s="56" t="n">
        <f aca="false">-27.075</f>
        <v>-27.075</v>
      </c>
      <c r="G41" s="55" t="n">
        <f aca="false">E41+F41</f>
        <v>0</v>
      </c>
      <c r="H41" s="55"/>
      <c r="I41" s="55" t="n">
        <f aca="false">G41-H41</f>
        <v>0</v>
      </c>
      <c r="J41" s="57" t="e">
        <f aca="false">H41/G41</f>
        <v>#DIV/0!</v>
      </c>
      <c r="K41" s="111" t="n">
        <f aca="false">E41+E42+E43+F41+F42+F43</f>
        <v>0</v>
      </c>
      <c r="L41" s="111" t="n">
        <f aca="false">H41+H42+H43</f>
        <v>0</v>
      </c>
      <c r="M41" s="111" t="n">
        <f aca="false">K41-L41</f>
        <v>0</v>
      </c>
      <c r="N41" s="112" t="e">
        <f aca="false">L41/K41</f>
        <v>#DIV/0!</v>
      </c>
      <c r="O41" s="113"/>
    </row>
    <row r="42" customFormat="false" ht="15" hidden="false" customHeight="true" outlineLevel="0" collapsed="false">
      <c r="A42" s="106"/>
      <c r="B42" s="118"/>
      <c r="C42" s="121" t="n">
        <v>39203</v>
      </c>
      <c r="D42" s="122" t="n">
        <v>39691</v>
      </c>
      <c r="E42" s="93" t="n">
        <v>3.185</v>
      </c>
      <c r="F42" s="95" t="n">
        <f aca="false">-3.185</f>
        <v>-3.185</v>
      </c>
      <c r="G42" s="93" t="n">
        <f aca="false">E42+F42+I41</f>
        <v>0</v>
      </c>
      <c r="H42" s="93"/>
      <c r="I42" s="93" t="n">
        <f aca="false">G42-H42</f>
        <v>0</v>
      </c>
      <c r="J42" s="96" t="e">
        <f aca="false">H42/G42</f>
        <v>#DIV/0!</v>
      </c>
      <c r="K42" s="111"/>
      <c r="L42" s="111"/>
      <c r="M42" s="111"/>
      <c r="N42" s="112"/>
      <c r="O42" s="113"/>
    </row>
    <row r="43" customFormat="false" ht="15" hidden="false" customHeight="true" outlineLevel="0" collapsed="false">
      <c r="A43" s="106"/>
      <c r="B43" s="118"/>
      <c r="C43" s="121" t="n">
        <v>39692</v>
      </c>
      <c r="D43" s="122" t="n">
        <v>39813</v>
      </c>
      <c r="E43" s="93" t="n">
        <v>1.594</v>
      </c>
      <c r="F43" s="95" t="n">
        <f aca="false">-1.594</f>
        <v>-1.594</v>
      </c>
      <c r="G43" s="93" t="n">
        <f aca="false">E43+F43+I42</f>
        <v>0</v>
      </c>
      <c r="H43" s="93"/>
      <c r="I43" s="93" t="n">
        <f aca="false">G43-H43</f>
        <v>0</v>
      </c>
      <c r="J43" s="96" t="e">
        <f aca="false">H43/G43</f>
        <v>#DIV/0!</v>
      </c>
      <c r="K43" s="111"/>
      <c r="L43" s="111"/>
      <c r="M43" s="111"/>
      <c r="N43" s="112"/>
      <c r="O43" s="113"/>
    </row>
    <row r="44" customFormat="false" ht="14.4" hidden="false" customHeight="true" outlineLevel="0" collapsed="false">
      <c r="A44" s="106"/>
      <c r="B44" s="107" t="s">
        <v>64</v>
      </c>
      <c r="C44" s="119" t="n">
        <v>39083</v>
      </c>
      <c r="D44" s="120" t="n">
        <v>39202</v>
      </c>
      <c r="E44" s="55" t="n">
        <v>1816.775</v>
      </c>
      <c r="F44" s="56" t="n">
        <f aca="false">-680-340-70-160-20</f>
        <v>-1270</v>
      </c>
      <c r="G44" s="55" t="n">
        <f aca="false">E44+F44</f>
        <v>546.775</v>
      </c>
      <c r="H44" s="55"/>
      <c r="I44" s="55" t="n">
        <f aca="false">G44-H44</f>
        <v>546.775</v>
      </c>
      <c r="J44" s="57" t="n">
        <f aca="false">H44/G44</f>
        <v>0</v>
      </c>
      <c r="K44" s="123" t="n">
        <f aca="false">E44+E45+E46+F44+F45+F46</f>
        <v>867.479</v>
      </c>
      <c r="L44" s="123" t="n">
        <f aca="false">H44+H45+H46</f>
        <v>66.287</v>
      </c>
      <c r="M44" s="123" t="n">
        <f aca="false">K44-L44</f>
        <v>801.192</v>
      </c>
      <c r="N44" s="86" t="n">
        <f aca="false">L44/K44</f>
        <v>0.0764133771537986</v>
      </c>
      <c r="O44" s="113"/>
    </row>
    <row r="45" customFormat="false" ht="14.4" hidden="false" customHeight="false" outlineLevel="0" collapsed="false">
      <c r="A45" s="106"/>
      <c r="B45" s="107"/>
      <c r="C45" s="121" t="n">
        <v>39203</v>
      </c>
      <c r="D45" s="122" t="n">
        <v>39691</v>
      </c>
      <c r="E45" s="93" t="n">
        <v>213.724</v>
      </c>
      <c r="F45" s="93"/>
      <c r="G45" s="93" t="n">
        <f aca="false">E45+F45+I44</f>
        <v>760.499</v>
      </c>
      <c r="H45" s="93" t="n">
        <v>66.287</v>
      </c>
      <c r="I45" s="93" t="n">
        <f aca="false">G45-H45</f>
        <v>694.212</v>
      </c>
      <c r="J45" s="96" t="n">
        <f aca="false">H45/G45</f>
        <v>0.0871625077745007</v>
      </c>
      <c r="K45" s="123"/>
      <c r="L45" s="123"/>
      <c r="M45" s="123"/>
      <c r="N45" s="86"/>
      <c r="O45" s="113"/>
    </row>
    <row r="46" customFormat="false" ht="14.4" hidden="false" customHeight="false" outlineLevel="0" collapsed="false">
      <c r="A46" s="106"/>
      <c r="B46" s="107"/>
      <c r="C46" s="124" t="n">
        <v>39692</v>
      </c>
      <c r="D46" s="125" t="n">
        <v>39813</v>
      </c>
      <c r="E46" s="62" t="n">
        <v>106.98</v>
      </c>
      <c r="F46" s="62"/>
      <c r="G46" s="62" t="n">
        <f aca="false">E46+F46+I45</f>
        <v>801.192</v>
      </c>
      <c r="H46" s="62"/>
      <c r="I46" s="62" t="n">
        <f aca="false">G46-H46</f>
        <v>801.192</v>
      </c>
      <c r="J46" s="64" t="n">
        <f aca="false">H46/G46</f>
        <v>0</v>
      </c>
      <c r="K46" s="123"/>
      <c r="L46" s="123"/>
      <c r="M46" s="123"/>
      <c r="N46" s="86"/>
      <c r="O46" s="113"/>
    </row>
    <row r="47" customFormat="false" ht="14.4" hidden="false" customHeight="true" outlineLevel="0" collapsed="false">
      <c r="A47" s="106"/>
      <c r="B47" s="126" t="s">
        <v>69</v>
      </c>
      <c r="C47" s="121" t="n">
        <v>39083</v>
      </c>
      <c r="D47" s="122" t="n">
        <v>39202</v>
      </c>
      <c r="E47" s="93" t="n">
        <v>1196.218</v>
      </c>
      <c r="F47" s="95" t="n">
        <f aca="false">-130-30-5</f>
        <v>-165</v>
      </c>
      <c r="G47" s="93" t="n">
        <f aca="false">E47+F47</f>
        <v>1031.218</v>
      </c>
      <c r="H47" s="75" t="n">
        <v>639.487</v>
      </c>
      <c r="I47" s="93" t="n">
        <f aca="false">G47-H47</f>
        <v>391.731</v>
      </c>
      <c r="J47" s="96" t="n">
        <f aca="false">H47/G47</f>
        <v>0.620127848815672</v>
      </c>
      <c r="K47" s="127" t="n">
        <f aca="false">E47+E48+E49+F47+F48+F49</f>
        <v>1185.379</v>
      </c>
      <c r="L47" s="127" t="n">
        <f aca="false">H47+H48+H49</f>
        <v>1174.957</v>
      </c>
      <c r="M47" s="127" t="n">
        <f aca="false">K47-L47</f>
        <v>10.4220000000003</v>
      </c>
      <c r="N47" s="128" t="n">
        <f aca="false">L47/K47</f>
        <v>0.991207875287144</v>
      </c>
      <c r="O47" s="113"/>
    </row>
    <row r="48" customFormat="false" ht="14.4" hidden="false" customHeight="false" outlineLevel="0" collapsed="false">
      <c r="A48" s="106"/>
      <c r="B48" s="126"/>
      <c r="C48" s="121" t="n">
        <v>39203</v>
      </c>
      <c r="D48" s="122" t="n">
        <v>39691</v>
      </c>
      <c r="E48" s="93" t="n">
        <v>140.722</v>
      </c>
      <c r="F48" s="93"/>
      <c r="G48" s="93" t="n">
        <f aca="false">E48+F48+I47</f>
        <v>532.453</v>
      </c>
      <c r="H48" s="93" t="n">
        <v>465.093</v>
      </c>
      <c r="I48" s="93" t="n">
        <f aca="false">G48-H48</f>
        <v>67.3600000000001</v>
      </c>
      <c r="J48" s="96" t="n">
        <f aca="false">H48/G48</f>
        <v>0.873491181381267</v>
      </c>
      <c r="K48" s="127"/>
      <c r="L48" s="127"/>
      <c r="M48" s="127"/>
      <c r="N48" s="128"/>
      <c r="O48" s="113"/>
    </row>
    <row r="49" customFormat="false" ht="14.4" hidden="false" customHeight="false" outlineLevel="0" collapsed="false">
      <c r="A49" s="106"/>
      <c r="B49" s="126"/>
      <c r="C49" s="121" t="n">
        <v>39692</v>
      </c>
      <c r="D49" s="122" t="n">
        <v>39813</v>
      </c>
      <c r="E49" s="93" t="n">
        <v>70.439</v>
      </c>
      <c r="F49" s="95" t="n">
        <f aca="false">-37-20</f>
        <v>-57</v>
      </c>
      <c r="G49" s="93" t="n">
        <f aca="false">E49+F49+I48</f>
        <v>80.7990000000001</v>
      </c>
      <c r="H49" s="93" t="n">
        <v>70.377</v>
      </c>
      <c r="I49" s="93" t="n">
        <f aca="false">G49-H49</f>
        <v>10.4220000000001</v>
      </c>
      <c r="J49" s="96" t="n">
        <f aca="false">H49/G49</f>
        <v>0.871013255114543</v>
      </c>
      <c r="K49" s="127"/>
      <c r="L49" s="127"/>
      <c r="M49" s="127"/>
      <c r="N49" s="128"/>
      <c r="O49" s="113"/>
    </row>
    <row r="50" customFormat="false" ht="14.4" hidden="false" customHeight="true" outlineLevel="0" collapsed="false">
      <c r="A50" s="106"/>
      <c r="B50" s="107" t="s">
        <v>58</v>
      </c>
      <c r="C50" s="119" t="n">
        <v>39083</v>
      </c>
      <c r="D50" s="120" t="n">
        <v>39202</v>
      </c>
      <c r="E50" s="55" t="n">
        <v>66.817</v>
      </c>
      <c r="F50" s="56" t="n">
        <f aca="false">-8.0655352</f>
        <v>-8.0655352</v>
      </c>
      <c r="G50" s="55" t="n">
        <f aca="false">E50+F50</f>
        <v>58.7514648</v>
      </c>
      <c r="H50" s="55"/>
      <c r="I50" s="55" t="n">
        <f aca="false">G50-H50</f>
        <v>58.7514648</v>
      </c>
      <c r="J50" s="57" t="n">
        <f aca="false">H50/G50</f>
        <v>0</v>
      </c>
      <c r="K50" s="123" t="n">
        <f aca="false">E50+E51+E52+F50+F51+F52</f>
        <v>70.5454648</v>
      </c>
      <c r="L50" s="123" t="n">
        <f aca="false">H50+H51+H52</f>
        <v>0</v>
      </c>
      <c r="M50" s="123" t="n">
        <f aca="false">K50-L50</f>
        <v>70.5454648</v>
      </c>
      <c r="N50" s="86" t="n">
        <f aca="false">L50/K50</f>
        <v>0</v>
      </c>
      <c r="O50" s="113"/>
    </row>
    <row r="51" customFormat="false" ht="14.4" hidden="false" customHeight="false" outlineLevel="0" collapsed="false">
      <c r="A51" s="106"/>
      <c r="B51" s="107"/>
      <c r="C51" s="121" t="n">
        <v>39203</v>
      </c>
      <c r="D51" s="122" t="n">
        <v>39691</v>
      </c>
      <c r="E51" s="93" t="n">
        <v>7.86</v>
      </c>
      <c r="F51" s="93"/>
      <c r="G51" s="93" t="n">
        <f aca="false">E51+F51+I50</f>
        <v>66.6114648</v>
      </c>
      <c r="H51" s="93"/>
      <c r="I51" s="93" t="n">
        <f aca="false">G51-H51</f>
        <v>66.6114648</v>
      </c>
      <c r="J51" s="96" t="n">
        <f aca="false">H51/G51</f>
        <v>0</v>
      </c>
      <c r="K51" s="123"/>
      <c r="L51" s="123"/>
      <c r="M51" s="123"/>
      <c r="N51" s="86"/>
      <c r="O51" s="113"/>
    </row>
    <row r="52" customFormat="false" ht="14.4" hidden="false" customHeight="false" outlineLevel="0" collapsed="false">
      <c r="A52" s="106"/>
      <c r="B52" s="107"/>
      <c r="C52" s="124" t="n">
        <v>39692</v>
      </c>
      <c r="D52" s="125" t="n">
        <v>39813</v>
      </c>
      <c r="E52" s="62" t="n">
        <v>3.934</v>
      </c>
      <c r="F52" s="62"/>
      <c r="G52" s="62" t="n">
        <f aca="false">E52+F52+I51</f>
        <v>70.5454648</v>
      </c>
      <c r="H52" s="62"/>
      <c r="I52" s="62" t="n">
        <f aca="false">G52-H52</f>
        <v>70.5454648</v>
      </c>
      <c r="J52" s="64" t="n">
        <f aca="false">H52/G52</f>
        <v>0</v>
      </c>
      <c r="K52" s="123"/>
      <c r="L52" s="123"/>
      <c r="M52" s="123"/>
      <c r="N52" s="86"/>
      <c r="O52" s="113"/>
    </row>
    <row r="53" customFormat="false" ht="14.4" hidden="false" customHeight="true" outlineLevel="0" collapsed="false">
      <c r="A53" s="106"/>
      <c r="B53" s="126" t="s">
        <v>75</v>
      </c>
      <c r="C53" s="121" t="n">
        <v>39083</v>
      </c>
      <c r="D53" s="122" t="n">
        <v>39202</v>
      </c>
      <c r="E53" s="93" t="n">
        <v>164.053</v>
      </c>
      <c r="F53" s="95" t="n">
        <f aca="false">-46.272-22.364-64.547-40.181</f>
        <v>-173.364</v>
      </c>
      <c r="G53" s="95" t="n">
        <f aca="false">E53+F53</f>
        <v>-9.31099999999998</v>
      </c>
      <c r="H53" s="93"/>
      <c r="I53" s="93" t="n">
        <f aca="false">G53-H53</f>
        <v>-9.31099999999998</v>
      </c>
      <c r="J53" s="96" t="n">
        <f aca="false">H53/G53</f>
        <v>-0</v>
      </c>
      <c r="K53" s="127" t="n">
        <f aca="false">E53+E54+E55+F53+F54+F55</f>
        <v>24.194</v>
      </c>
      <c r="L53" s="127" t="n">
        <f aca="false">H53+H54+H55</f>
        <v>0</v>
      </c>
      <c r="M53" s="127" t="n">
        <f aca="false">K53-L53</f>
        <v>24.194</v>
      </c>
      <c r="N53" s="128" t="n">
        <f aca="false">L53/K53</f>
        <v>0</v>
      </c>
      <c r="O53" s="113"/>
    </row>
    <row r="54" customFormat="false" ht="14.4" hidden="false" customHeight="false" outlineLevel="0" collapsed="false">
      <c r="A54" s="106"/>
      <c r="B54" s="126"/>
      <c r="C54" s="121" t="n">
        <v>39203</v>
      </c>
      <c r="D54" s="122" t="n">
        <v>39691</v>
      </c>
      <c r="E54" s="93" t="n">
        <v>19.299</v>
      </c>
      <c r="F54" s="93"/>
      <c r="G54" s="93" t="n">
        <f aca="false">E54+F54+I53</f>
        <v>9.98800000000002</v>
      </c>
      <c r="H54" s="93"/>
      <c r="I54" s="93" t="n">
        <f aca="false">G54-H54</f>
        <v>9.98800000000002</v>
      </c>
      <c r="J54" s="96" t="n">
        <f aca="false">H54/G54</f>
        <v>0</v>
      </c>
      <c r="K54" s="127"/>
      <c r="L54" s="127"/>
      <c r="M54" s="127"/>
      <c r="N54" s="128"/>
      <c r="O54" s="113"/>
    </row>
    <row r="55" customFormat="false" ht="15" hidden="false" customHeight="true" outlineLevel="0" collapsed="false">
      <c r="A55" s="106"/>
      <c r="B55" s="126"/>
      <c r="C55" s="121" t="n">
        <v>39692</v>
      </c>
      <c r="D55" s="122" t="n">
        <v>39813</v>
      </c>
      <c r="E55" s="93" t="n">
        <v>9.66</v>
      </c>
      <c r="F55" s="94" t="n">
        <f aca="false">4.546</f>
        <v>4.546</v>
      </c>
      <c r="G55" s="93" t="n">
        <f aca="false">E55+F55+I54</f>
        <v>24.194</v>
      </c>
      <c r="H55" s="93"/>
      <c r="I55" s="93" t="n">
        <f aca="false">G55-H55</f>
        <v>24.194</v>
      </c>
      <c r="J55" s="96" t="n">
        <f aca="false">H55/G55</f>
        <v>0</v>
      </c>
      <c r="K55" s="127"/>
      <c r="L55" s="127"/>
      <c r="M55" s="127"/>
      <c r="N55" s="128"/>
      <c r="O55" s="113"/>
    </row>
    <row r="56" customFormat="false" ht="15" hidden="false" customHeight="true" outlineLevel="0" collapsed="false">
      <c r="A56" s="106"/>
      <c r="B56" s="107" t="s">
        <v>76</v>
      </c>
      <c r="C56" s="119" t="n">
        <v>39083</v>
      </c>
      <c r="D56" s="120" t="n">
        <v>39202</v>
      </c>
      <c r="E56" s="55" t="n">
        <v>307.235</v>
      </c>
      <c r="F56" s="56" t="n">
        <f aca="false">-40-80</f>
        <v>-120</v>
      </c>
      <c r="G56" s="55" t="n">
        <f aca="false">E56+F56</f>
        <v>187.235</v>
      </c>
      <c r="H56" s="110"/>
      <c r="I56" s="55" t="n">
        <f aca="false">G56-H56</f>
        <v>187.235</v>
      </c>
      <c r="J56" s="57" t="n">
        <f aca="false">H56/G56</f>
        <v>0</v>
      </c>
      <c r="K56" s="123" t="n">
        <f aca="false">E56+E57+E58+F56+F57+F58</f>
        <v>135.469</v>
      </c>
      <c r="L56" s="123" t="n">
        <f aca="false">H56+H57+H58</f>
        <v>3.987</v>
      </c>
      <c r="M56" s="123" t="n">
        <f aca="false">K56-L56</f>
        <v>131.482</v>
      </c>
      <c r="N56" s="86" t="n">
        <f aca="false">L56/K56</f>
        <v>0.0294310875550864</v>
      </c>
      <c r="O56" s="113"/>
    </row>
    <row r="57" customFormat="false" ht="15" hidden="false" customHeight="true" outlineLevel="0" collapsed="false">
      <c r="A57" s="106"/>
      <c r="B57" s="107"/>
      <c r="C57" s="121" t="n">
        <v>39203</v>
      </c>
      <c r="D57" s="122" t="n">
        <v>39691</v>
      </c>
      <c r="E57" s="93" t="n">
        <v>36.143</v>
      </c>
      <c r="F57" s="95" t="n">
        <f aca="false">-40-13-13-40</f>
        <v>-106</v>
      </c>
      <c r="G57" s="93" t="n">
        <f aca="false">E57+F57+I56</f>
        <v>117.378</v>
      </c>
      <c r="H57" s="93" t="n">
        <v>3.987</v>
      </c>
      <c r="I57" s="93" t="n">
        <f aca="false">G57-H57</f>
        <v>113.391</v>
      </c>
      <c r="J57" s="96" t="n">
        <f aca="false">H57/G57</f>
        <v>0.0339671829474007</v>
      </c>
      <c r="K57" s="123"/>
      <c r="L57" s="123"/>
      <c r="M57" s="123"/>
      <c r="N57" s="86"/>
      <c r="O57" s="113"/>
    </row>
    <row r="58" customFormat="false" ht="15" hidden="false" customHeight="true" outlineLevel="0" collapsed="false">
      <c r="A58" s="106"/>
      <c r="B58" s="107"/>
      <c r="C58" s="124" t="n">
        <v>39692</v>
      </c>
      <c r="D58" s="125" t="n">
        <v>39813</v>
      </c>
      <c r="E58" s="62" t="n">
        <v>18.091</v>
      </c>
      <c r="F58" s="62"/>
      <c r="G58" s="62" t="n">
        <f aca="false">E58+F58+I57</f>
        <v>131.482</v>
      </c>
      <c r="H58" s="62"/>
      <c r="I58" s="62" t="n">
        <f aca="false">G58-H58</f>
        <v>131.482</v>
      </c>
      <c r="J58" s="64" t="n">
        <f aca="false">H58/G58</f>
        <v>0</v>
      </c>
      <c r="K58" s="123"/>
      <c r="L58" s="123"/>
      <c r="M58" s="123"/>
      <c r="N58" s="86"/>
      <c r="O58" s="113"/>
    </row>
    <row r="59" customFormat="false" ht="15" hidden="false" customHeight="true" outlineLevel="0" collapsed="false">
      <c r="A59" s="106"/>
      <c r="B59" s="126" t="s">
        <v>77</v>
      </c>
      <c r="C59" s="121" t="n">
        <v>39083</v>
      </c>
      <c r="D59" s="122" t="n">
        <v>39202</v>
      </c>
      <c r="E59" s="93" t="n">
        <v>2.342</v>
      </c>
      <c r="F59" s="95" t="n">
        <f aca="false">-2.342</f>
        <v>-2.342</v>
      </c>
      <c r="G59" s="93" t="n">
        <f aca="false">E59+F59</f>
        <v>0</v>
      </c>
      <c r="H59" s="93"/>
      <c r="I59" s="93" t="n">
        <f aca="false">G59-H59</f>
        <v>0</v>
      </c>
      <c r="J59" s="96" t="e">
        <f aca="false">H59/G59</f>
        <v>#DIV/0!</v>
      </c>
      <c r="K59" s="127" t="n">
        <f aca="false">E59+E60+E61+F59+F60+F61</f>
        <v>0</v>
      </c>
      <c r="L59" s="127" t="n">
        <f aca="false">H59+H60+H61</f>
        <v>0</v>
      </c>
      <c r="M59" s="127" t="n">
        <f aca="false">K59-L59</f>
        <v>0</v>
      </c>
      <c r="N59" s="129" t="e">
        <f aca="false">L59/K59</f>
        <v>#DIV/0!</v>
      </c>
      <c r="O59" s="113"/>
    </row>
    <row r="60" customFormat="false" ht="15" hidden="false" customHeight="true" outlineLevel="0" collapsed="false">
      <c r="A60" s="106"/>
      <c r="B60" s="126"/>
      <c r="C60" s="121" t="n">
        <v>39203</v>
      </c>
      <c r="D60" s="122" t="n">
        <v>39691</v>
      </c>
      <c r="E60" s="93" t="n">
        <v>0.276</v>
      </c>
      <c r="F60" s="95" t="n">
        <f aca="false">-0.276</f>
        <v>-0.276</v>
      </c>
      <c r="G60" s="93" t="n">
        <f aca="false">E60+F60+I59</f>
        <v>0</v>
      </c>
      <c r="H60" s="93"/>
      <c r="I60" s="93" t="n">
        <f aca="false">G60-H60</f>
        <v>0</v>
      </c>
      <c r="J60" s="96" t="e">
        <f aca="false">H60/G60</f>
        <v>#DIV/0!</v>
      </c>
      <c r="K60" s="127"/>
      <c r="L60" s="127"/>
      <c r="M60" s="127"/>
      <c r="N60" s="129"/>
      <c r="O60" s="113"/>
    </row>
    <row r="61" customFormat="false" ht="14.4" hidden="false" customHeight="false" outlineLevel="0" collapsed="false">
      <c r="A61" s="106"/>
      <c r="B61" s="126"/>
      <c r="C61" s="121" t="n">
        <v>39692</v>
      </c>
      <c r="D61" s="122" t="n">
        <v>39813</v>
      </c>
      <c r="E61" s="93" t="n">
        <v>0.138</v>
      </c>
      <c r="F61" s="95" t="n">
        <f aca="false">-0.138</f>
        <v>-0.138</v>
      </c>
      <c r="G61" s="93" t="n">
        <f aca="false">E61+F61+I60</f>
        <v>0</v>
      </c>
      <c r="H61" s="93"/>
      <c r="I61" s="93" t="n">
        <f aca="false">G61-H61</f>
        <v>0</v>
      </c>
      <c r="J61" s="96" t="e">
        <f aca="false">H61/G61</f>
        <v>#DIV/0!</v>
      </c>
      <c r="K61" s="127"/>
      <c r="L61" s="127"/>
      <c r="M61" s="127"/>
      <c r="N61" s="129"/>
      <c r="O61" s="113"/>
    </row>
    <row r="62" customFormat="false" ht="14.4" hidden="false" customHeight="true" outlineLevel="0" collapsed="false">
      <c r="A62" s="106"/>
      <c r="B62" s="107" t="s">
        <v>78</v>
      </c>
      <c r="C62" s="119" t="n">
        <v>39083</v>
      </c>
      <c r="D62" s="120" t="n">
        <v>39202</v>
      </c>
      <c r="E62" s="55" t="n">
        <v>7.252</v>
      </c>
      <c r="F62" s="56" t="n">
        <f aca="false">-7.252</f>
        <v>-7.252</v>
      </c>
      <c r="G62" s="55" t="n">
        <f aca="false">E62+F62</f>
        <v>0</v>
      </c>
      <c r="H62" s="55"/>
      <c r="I62" s="55" t="n">
        <f aca="false">G62-H62</f>
        <v>0</v>
      </c>
      <c r="J62" s="57" t="e">
        <f aca="false">H62/G62</f>
        <v>#DIV/0!</v>
      </c>
      <c r="K62" s="123" t="n">
        <f aca="false">E62+E63+E64+F62+F63+F64</f>
        <v>0</v>
      </c>
      <c r="L62" s="123" t="n">
        <f aca="false">H62+H63+H64</f>
        <v>0</v>
      </c>
      <c r="M62" s="123" t="n">
        <f aca="false">K62-L62</f>
        <v>0</v>
      </c>
      <c r="N62" s="129" t="e">
        <f aca="false">L62/K62</f>
        <v>#DIV/0!</v>
      </c>
      <c r="O62" s="113"/>
    </row>
    <row r="63" customFormat="false" ht="14.4" hidden="false" customHeight="false" outlineLevel="0" collapsed="false">
      <c r="A63" s="106"/>
      <c r="B63" s="107"/>
      <c r="C63" s="121" t="n">
        <v>39203</v>
      </c>
      <c r="D63" s="122" t="n">
        <v>39691</v>
      </c>
      <c r="E63" s="93" t="n">
        <v>0.853</v>
      </c>
      <c r="F63" s="95" t="n">
        <f aca="false">-0.853</f>
        <v>-0.853</v>
      </c>
      <c r="G63" s="93" t="n">
        <f aca="false">E63+F63+I62</f>
        <v>0</v>
      </c>
      <c r="H63" s="93"/>
      <c r="I63" s="93" t="n">
        <f aca="false">G63-H63</f>
        <v>0</v>
      </c>
      <c r="J63" s="96" t="e">
        <f aca="false">H63/G63</f>
        <v>#DIV/0!</v>
      </c>
      <c r="K63" s="123"/>
      <c r="L63" s="123"/>
      <c r="M63" s="123"/>
      <c r="N63" s="129"/>
      <c r="O63" s="113"/>
    </row>
    <row r="64" customFormat="false" ht="14.4" hidden="false" customHeight="false" outlineLevel="0" collapsed="false">
      <c r="A64" s="106"/>
      <c r="B64" s="107"/>
      <c r="C64" s="124" t="n">
        <v>39692</v>
      </c>
      <c r="D64" s="125" t="n">
        <v>39813</v>
      </c>
      <c r="E64" s="62" t="n">
        <v>0.427</v>
      </c>
      <c r="F64" s="63" t="n">
        <f aca="false">-0.427</f>
        <v>-0.427</v>
      </c>
      <c r="G64" s="62" t="n">
        <f aca="false">E64+F64+I63</f>
        <v>0</v>
      </c>
      <c r="H64" s="62"/>
      <c r="I64" s="62" t="n">
        <f aca="false">G64-H64</f>
        <v>0</v>
      </c>
      <c r="J64" s="64" t="e">
        <f aca="false">H64/G64</f>
        <v>#DIV/0!</v>
      </c>
      <c r="K64" s="123"/>
      <c r="L64" s="123"/>
      <c r="M64" s="123"/>
      <c r="N64" s="129"/>
      <c r="O64" s="113"/>
    </row>
    <row r="65" customFormat="false" ht="14.4" hidden="false" customHeight="true" outlineLevel="0" collapsed="false">
      <c r="A65" s="106"/>
      <c r="B65" s="126" t="s">
        <v>79</v>
      </c>
      <c r="C65" s="121" t="n">
        <v>39083</v>
      </c>
      <c r="D65" s="122" t="n">
        <v>39202</v>
      </c>
      <c r="E65" s="93" t="n">
        <v>120.234</v>
      </c>
      <c r="F65" s="95" t="n">
        <f aca="false">-71.637-48.597</f>
        <v>-120.234</v>
      </c>
      <c r="G65" s="93" t="n">
        <f aca="false">E65+F65</f>
        <v>0</v>
      </c>
      <c r="H65" s="93"/>
      <c r="I65" s="93" t="n">
        <f aca="false">G65-H65</f>
        <v>0</v>
      </c>
      <c r="J65" s="96" t="e">
        <f aca="false">H65/G65</f>
        <v>#DIV/0!</v>
      </c>
      <c r="K65" s="127" t="n">
        <f aca="false">E65+E66+E67+F65+F66+F67</f>
        <v>2.63799999999999</v>
      </c>
      <c r="L65" s="127" t="n">
        <f aca="false">H65+H66+H67</f>
        <v>0</v>
      </c>
      <c r="M65" s="127" t="n">
        <f aca="false">K65-L65</f>
        <v>2.63799999999999</v>
      </c>
      <c r="N65" s="128" t="n">
        <f aca="false">L65/K65</f>
        <v>0</v>
      </c>
      <c r="O65" s="113"/>
    </row>
    <row r="66" customFormat="false" ht="14.4" hidden="false" customHeight="false" outlineLevel="0" collapsed="false">
      <c r="A66" s="106"/>
      <c r="B66" s="126"/>
      <c r="C66" s="121" t="n">
        <v>39203</v>
      </c>
      <c r="D66" s="122" t="n">
        <v>39691</v>
      </c>
      <c r="E66" s="93" t="n">
        <v>14.144</v>
      </c>
      <c r="F66" s="95" t="n">
        <f aca="false">-14.04</f>
        <v>-14.04</v>
      </c>
      <c r="G66" s="93" t="n">
        <f aca="false">E66+F66+I65</f>
        <v>0.104000000000001</v>
      </c>
      <c r="H66" s="93"/>
      <c r="I66" s="93" t="n">
        <f aca="false">G66-H66</f>
        <v>0.104000000000001</v>
      </c>
      <c r="J66" s="96" t="n">
        <f aca="false">H66/G66</f>
        <v>0</v>
      </c>
      <c r="K66" s="127"/>
      <c r="L66" s="127"/>
      <c r="M66" s="127"/>
      <c r="N66" s="128"/>
      <c r="O66" s="113"/>
    </row>
    <row r="67" customFormat="false" ht="14.4" hidden="false" customHeight="false" outlineLevel="0" collapsed="false">
      <c r="A67" s="106"/>
      <c r="B67" s="126"/>
      <c r="C67" s="121" t="n">
        <v>39692</v>
      </c>
      <c r="D67" s="122" t="n">
        <v>39813</v>
      </c>
      <c r="E67" s="93" t="n">
        <v>7.08</v>
      </c>
      <c r="F67" s="95" t="n">
        <f aca="false">-4.546</f>
        <v>-4.546</v>
      </c>
      <c r="G67" s="93" t="n">
        <f aca="false">E67+F67+I66</f>
        <v>2.638</v>
      </c>
      <c r="H67" s="93"/>
      <c r="I67" s="93" t="n">
        <f aca="false">G67-H67</f>
        <v>2.638</v>
      </c>
      <c r="J67" s="96" t="n">
        <f aca="false">H67/G67</f>
        <v>0</v>
      </c>
      <c r="K67" s="127"/>
      <c r="L67" s="127"/>
      <c r="M67" s="127"/>
      <c r="N67" s="128"/>
      <c r="O67" s="113"/>
    </row>
    <row r="68" customFormat="false" ht="14.4" hidden="false" customHeight="true" outlineLevel="0" collapsed="false">
      <c r="A68" s="106"/>
      <c r="B68" s="107" t="s">
        <v>80</v>
      </c>
      <c r="C68" s="119" t="n">
        <v>39083</v>
      </c>
      <c r="D68" s="120" t="n">
        <v>39202</v>
      </c>
      <c r="E68" s="55" t="n">
        <v>64.027</v>
      </c>
      <c r="F68" s="56" t="n">
        <f aca="false">-20-40-15.329</f>
        <v>-75.329</v>
      </c>
      <c r="G68" s="56" t="n">
        <f aca="false">E68+F68</f>
        <v>-11.302</v>
      </c>
      <c r="H68" s="55"/>
      <c r="I68" s="55" t="n">
        <f aca="false">G68-H68</f>
        <v>-11.302</v>
      </c>
      <c r="J68" s="57" t="n">
        <f aca="false">H68/G68</f>
        <v>-0</v>
      </c>
      <c r="K68" s="123" t="n">
        <f aca="false">E68+E69+E70+F68+F69+F70</f>
        <v>0</v>
      </c>
      <c r="L68" s="123" t="n">
        <f aca="false">H68+H69+H70</f>
        <v>0</v>
      </c>
      <c r="M68" s="123" t="n">
        <f aca="false">K68-L68</f>
        <v>0</v>
      </c>
      <c r="N68" s="86" t="e">
        <f aca="false">L68/K68</f>
        <v>#DIV/0!</v>
      </c>
      <c r="O68" s="113"/>
    </row>
    <row r="69" customFormat="false" ht="14.4" hidden="false" customHeight="false" outlineLevel="0" collapsed="false">
      <c r="A69" s="106"/>
      <c r="B69" s="107"/>
      <c r="C69" s="121" t="n">
        <v>39203</v>
      </c>
      <c r="D69" s="122" t="n">
        <v>39691</v>
      </c>
      <c r="E69" s="93" t="n">
        <v>7.532</v>
      </c>
      <c r="F69" s="93"/>
      <c r="G69" s="95" t="n">
        <f aca="false">E69+F69+I68</f>
        <v>-3.77000000000001</v>
      </c>
      <c r="H69" s="93"/>
      <c r="I69" s="93" t="n">
        <f aca="false">G69-H69</f>
        <v>-3.77000000000001</v>
      </c>
      <c r="J69" s="96" t="n">
        <f aca="false">H69/G69</f>
        <v>-0</v>
      </c>
      <c r="K69" s="123"/>
      <c r="L69" s="123"/>
      <c r="M69" s="123"/>
      <c r="N69" s="86"/>
      <c r="O69" s="113"/>
    </row>
    <row r="70" customFormat="false" ht="14.4" hidden="false" customHeight="false" outlineLevel="0" collapsed="false">
      <c r="A70" s="106"/>
      <c r="B70" s="107"/>
      <c r="C70" s="124" t="n">
        <v>39692</v>
      </c>
      <c r="D70" s="125" t="n">
        <v>39813</v>
      </c>
      <c r="E70" s="62" t="n">
        <v>3.77</v>
      </c>
      <c r="F70" s="62"/>
      <c r="G70" s="62" t="n">
        <f aca="false">E70+F70+I69</f>
        <v>0</v>
      </c>
      <c r="H70" s="62"/>
      <c r="I70" s="62" t="n">
        <f aca="false">G70-H70</f>
        <v>0</v>
      </c>
      <c r="J70" s="64" t="e">
        <f aca="false">H70/G70</f>
        <v>#DIV/0!</v>
      </c>
      <c r="K70" s="123"/>
      <c r="L70" s="123"/>
      <c r="M70" s="123"/>
      <c r="N70" s="86"/>
      <c r="O70" s="113"/>
    </row>
    <row r="71" customFormat="false" ht="14.4" hidden="false" customHeight="true" outlineLevel="0" collapsed="false">
      <c r="A71" s="106"/>
      <c r="B71" s="126" t="s">
        <v>81</v>
      </c>
      <c r="C71" s="121" t="n">
        <v>39083</v>
      </c>
      <c r="D71" s="122" t="n">
        <v>39202</v>
      </c>
      <c r="E71" s="93" t="n">
        <v>541.056</v>
      </c>
      <c r="F71" s="94" t="n">
        <f aca="false">50.728</f>
        <v>50.728</v>
      </c>
      <c r="G71" s="93" t="n">
        <f aca="false">E71+F71</f>
        <v>591.784</v>
      </c>
      <c r="H71" s="93" t="n">
        <v>28.902</v>
      </c>
      <c r="I71" s="93" t="n">
        <f aca="false">G71-H71</f>
        <v>562.882</v>
      </c>
      <c r="J71" s="96" t="n">
        <f aca="false">H71/G71</f>
        <v>0.0488387654955186</v>
      </c>
      <c r="K71" s="127" t="n">
        <f aca="false">E71+E72+E73+F71+F72+F73</f>
        <v>737.294</v>
      </c>
      <c r="L71" s="127" t="n">
        <f aca="false">H71+H72+H73</f>
        <v>641.811</v>
      </c>
      <c r="M71" s="127" t="n">
        <f aca="false">K71-L71</f>
        <v>95.4830000000001</v>
      </c>
      <c r="N71" s="128" t="n">
        <f aca="false">L71/K71</f>
        <v>0.870495351922028</v>
      </c>
      <c r="O71" s="113"/>
    </row>
    <row r="72" customFormat="false" ht="14.4" hidden="false" customHeight="false" outlineLevel="0" collapsed="false">
      <c r="A72" s="106"/>
      <c r="B72" s="126"/>
      <c r="C72" s="121" t="n">
        <v>39203</v>
      </c>
      <c r="D72" s="122" t="n">
        <v>39691</v>
      </c>
      <c r="E72" s="93" t="n">
        <v>63.65</v>
      </c>
      <c r="F72" s="94" t="n">
        <f aca="false">50</f>
        <v>50</v>
      </c>
      <c r="G72" s="93" t="n">
        <f aca="false">E72+F72+I71</f>
        <v>676.532</v>
      </c>
      <c r="H72" s="93" t="n">
        <v>214.377</v>
      </c>
      <c r="I72" s="93" t="n">
        <f aca="false">G72-H72</f>
        <v>462.155</v>
      </c>
      <c r="J72" s="96" t="n">
        <f aca="false">H72/G72</f>
        <v>0.316876363571864</v>
      </c>
      <c r="K72" s="127"/>
      <c r="L72" s="127"/>
      <c r="M72" s="127"/>
      <c r="N72" s="128"/>
      <c r="O72" s="113"/>
    </row>
    <row r="73" customFormat="false" ht="14.4" hidden="false" customHeight="false" outlineLevel="0" collapsed="false">
      <c r="A73" s="106"/>
      <c r="B73" s="126"/>
      <c r="C73" s="121" t="n">
        <v>39692</v>
      </c>
      <c r="D73" s="122" t="n">
        <v>39813</v>
      </c>
      <c r="E73" s="93" t="n">
        <v>31.86</v>
      </c>
      <c r="F73" s="93"/>
      <c r="G73" s="93" t="n">
        <f aca="false">E73+F73+I72</f>
        <v>494.015</v>
      </c>
      <c r="H73" s="93" t="n">
        <v>398.532</v>
      </c>
      <c r="I73" s="93" t="n">
        <f aca="false">G73-H73</f>
        <v>95.483</v>
      </c>
      <c r="J73" s="96" t="n">
        <f aca="false">H73/G73</f>
        <v>0.806720443711223</v>
      </c>
      <c r="K73" s="127"/>
      <c r="L73" s="127"/>
      <c r="M73" s="127"/>
      <c r="N73" s="128"/>
      <c r="O73" s="113"/>
    </row>
    <row r="74" customFormat="false" ht="14.4" hidden="false" customHeight="true" outlineLevel="0" collapsed="false">
      <c r="A74" s="106"/>
      <c r="B74" s="107" t="s">
        <v>82</v>
      </c>
      <c r="C74" s="119" t="n">
        <v>39083</v>
      </c>
      <c r="D74" s="120" t="n">
        <v>39202</v>
      </c>
      <c r="E74" s="55" t="n">
        <v>89.343</v>
      </c>
      <c r="F74" s="100" t="n">
        <f aca="false">2.342+27.075+7.252+93.335</f>
        <v>130.004</v>
      </c>
      <c r="G74" s="55" t="n">
        <f aca="false">E74+F74</f>
        <v>219.347</v>
      </c>
      <c r="H74" s="55" t="n">
        <v>32.771</v>
      </c>
      <c r="I74" s="55" t="n">
        <f aca="false">G74-H74</f>
        <v>186.576</v>
      </c>
      <c r="J74" s="57" t="n">
        <f aca="false">H74/G74</f>
        <v>0.149402544826234</v>
      </c>
      <c r="K74" s="123" t="n">
        <f aca="false">E74+E75+E76+F74+F75+F76</f>
        <v>268.591</v>
      </c>
      <c r="L74" s="123" t="n">
        <f aca="false">H74+H75+H76</f>
        <v>144.795</v>
      </c>
      <c r="M74" s="123" t="n">
        <f aca="false">K74-L74</f>
        <v>123.796</v>
      </c>
      <c r="N74" s="86" t="n">
        <f aca="false">L74/K74</f>
        <v>0.539091034323563</v>
      </c>
      <c r="O74" s="113"/>
    </row>
    <row r="75" customFormat="false" ht="14.4" hidden="false" customHeight="false" outlineLevel="0" collapsed="false">
      <c r="A75" s="106"/>
      <c r="B75" s="107"/>
      <c r="C75" s="121" t="n">
        <v>39203</v>
      </c>
      <c r="D75" s="122" t="n">
        <v>39691</v>
      </c>
      <c r="E75" s="93" t="n">
        <v>10.51</v>
      </c>
      <c r="F75" s="94" t="n">
        <f aca="false">0.276+3.185+0.853+27</f>
        <v>31.314</v>
      </c>
      <c r="G75" s="93" t="n">
        <f aca="false">E75+F75+I74</f>
        <v>228.4</v>
      </c>
      <c r="H75" s="93" t="n">
        <v>87.318</v>
      </c>
      <c r="I75" s="93" t="n">
        <f aca="false">G75-H75</f>
        <v>141.082</v>
      </c>
      <c r="J75" s="96" t="n">
        <f aca="false">H75/G75</f>
        <v>0.382302977232925</v>
      </c>
      <c r="K75" s="123"/>
      <c r="L75" s="123"/>
      <c r="M75" s="123"/>
      <c r="N75" s="86"/>
      <c r="O75" s="113"/>
    </row>
    <row r="76" customFormat="false" ht="14.4" hidden="false" customHeight="false" outlineLevel="0" collapsed="false">
      <c r="A76" s="106"/>
      <c r="B76" s="107"/>
      <c r="C76" s="124" t="n">
        <v>39692</v>
      </c>
      <c r="D76" s="125" t="n">
        <v>39813</v>
      </c>
      <c r="E76" s="62" t="n">
        <v>5.261</v>
      </c>
      <c r="F76" s="130" t="n">
        <f aca="false">0.138+1.594+0.427</f>
        <v>2.159</v>
      </c>
      <c r="G76" s="62" t="n">
        <f aca="false">E76+F76+I75</f>
        <v>148.502</v>
      </c>
      <c r="H76" s="62" t="n">
        <v>24.706</v>
      </c>
      <c r="I76" s="62" t="n">
        <f aca="false">G76-H76</f>
        <v>123.796</v>
      </c>
      <c r="J76" s="64" t="n">
        <f aca="false">H76/G76</f>
        <v>0.166368129722159</v>
      </c>
      <c r="K76" s="123"/>
      <c r="L76" s="123"/>
      <c r="M76" s="123"/>
      <c r="N76" s="86"/>
      <c r="O76" s="113"/>
    </row>
    <row r="77" customFormat="false" ht="14.4" hidden="false" customHeight="true" outlineLevel="0" collapsed="false">
      <c r="A77" s="106"/>
      <c r="B77" s="126" t="s">
        <v>83</v>
      </c>
      <c r="C77" s="121" t="n">
        <v>39083</v>
      </c>
      <c r="D77" s="122" t="n">
        <v>39202</v>
      </c>
      <c r="E77" s="93" t="n">
        <v>31.867</v>
      </c>
      <c r="F77" s="131" t="n">
        <f aca="false">-35-2.492</f>
        <v>-37.492</v>
      </c>
      <c r="G77" s="95" t="n">
        <f aca="false">E77+F77</f>
        <v>-5.625</v>
      </c>
      <c r="H77" s="93"/>
      <c r="I77" s="93" t="n">
        <f aca="false">G77-H77</f>
        <v>-5.625</v>
      </c>
      <c r="J77" s="96" t="n">
        <f aca="false">H77/G77</f>
        <v>-0</v>
      </c>
      <c r="K77" s="127" t="n">
        <f aca="false">E77+E78+E79+F77+F78+F79</f>
        <v>0</v>
      </c>
      <c r="L77" s="127" t="n">
        <f aca="false">H77+H78+H79</f>
        <v>0</v>
      </c>
      <c r="M77" s="127" t="n">
        <f aca="false">K77-L77</f>
        <v>0</v>
      </c>
      <c r="N77" s="128" t="e">
        <f aca="false">L77/K77</f>
        <v>#DIV/0!</v>
      </c>
      <c r="O77" s="113"/>
    </row>
    <row r="78" customFormat="false" ht="14.4" hidden="false" customHeight="false" outlineLevel="0" collapsed="false">
      <c r="A78" s="106"/>
      <c r="B78" s="126"/>
      <c r="C78" s="121" t="n">
        <v>39203</v>
      </c>
      <c r="D78" s="122" t="n">
        <v>39691</v>
      </c>
      <c r="E78" s="93" t="n">
        <v>3.749</v>
      </c>
      <c r="F78" s="93"/>
      <c r="G78" s="95" t="n">
        <f aca="false">E78+F78+I77</f>
        <v>-1.876</v>
      </c>
      <c r="H78" s="93"/>
      <c r="I78" s="93" t="n">
        <f aca="false">G78-H78</f>
        <v>-1.876</v>
      </c>
      <c r="J78" s="96" t="n">
        <f aca="false">H78/G78</f>
        <v>-0</v>
      </c>
      <c r="K78" s="127"/>
      <c r="L78" s="127"/>
      <c r="M78" s="127"/>
      <c r="N78" s="128"/>
      <c r="O78" s="113"/>
    </row>
    <row r="79" customFormat="false" ht="14.4" hidden="false" customHeight="false" outlineLevel="0" collapsed="false">
      <c r="A79" s="106"/>
      <c r="B79" s="126"/>
      <c r="C79" s="121" t="n">
        <v>39692</v>
      </c>
      <c r="D79" s="122" t="n">
        <v>39813</v>
      </c>
      <c r="E79" s="93" t="n">
        <v>1.876</v>
      </c>
      <c r="F79" s="93"/>
      <c r="G79" s="93" t="n">
        <f aca="false">E79+F79+I78</f>
        <v>0</v>
      </c>
      <c r="H79" s="93"/>
      <c r="I79" s="93" t="n">
        <f aca="false">G79-H79</f>
        <v>0</v>
      </c>
      <c r="J79" s="96" t="e">
        <f aca="false">H79/G79</f>
        <v>#DIV/0!</v>
      </c>
      <c r="K79" s="127"/>
      <c r="L79" s="127"/>
      <c r="M79" s="127"/>
      <c r="N79" s="128"/>
      <c r="O79" s="113"/>
    </row>
    <row r="80" customFormat="false" ht="14.4" hidden="false" customHeight="true" outlineLevel="0" collapsed="false">
      <c r="A80" s="106"/>
      <c r="B80" s="107" t="s">
        <v>68</v>
      </c>
      <c r="C80" s="119" t="n">
        <v>39083</v>
      </c>
      <c r="D80" s="120" t="n">
        <v>39202</v>
      </c>
      <c r="E80" s="55" t="n">
        <v>1646.597</v>
      </c>
      <c r="F80" s="56" t="n">
        <f aca="false">-298.955</f>
        <v>-298.955</v>
      </c>
      <c r="G80" s="55" t="n">
        <f aca="false">E80+F80</f>
        <v>1347.642</v>
      </c>
      <c r="H80" s="55" t="n">
        <v>8.29</v>
      </c>
      <c r="I80" s="55" t="n">
        <f aca="false">G80-H80</f>
        <v>1339.352</v>
      </c>
      <c r="J80" s="57" t="n">
        <f aca="false">H80/G80</f>
        <v>0.00615148533512609</v>
      </c>
      <c r="K80" s="123" t="n">
        <f aca="false">E80+E81+E82+F80+F81+F82</f>
        <v>1638.306</v>
      </c>
      <c r="L80" s="123" t="n">
        <f aca="false">H80+H81+H82</f>
        <v>1601.799</v>
      </c>
      <c r="M80" s="123" t="n">
        <f aca="false">K80-L80</f>
        <v>36.5070000000001</v>
      </c>
      <c r="N80" s="86" t="n">
        <f aca="false">L80/K80</f>
        <v>0.977716617042237</v>
      </c>
      <c r="O80" s="113"/>
    </row>
    <row r="81" customFormat="false" ht="14.4" hidden="false" customHeight="false" outlineLevel="0" collapsed="false">
      <c r="A81" s="106"/>
      <c r="B81" s="107"/>
      <c r="C81" s="121" t="n">
        <v>39203</v>
      </c>
      <c r="D81" s="122" t="n">
        <v>39691</v>
      </c>
      <c r="E81" s="93" t="n">
        <v>193.705</v>
      </c>
      <c r="F81" s="93"/>
      <c r="G81" s="93" t="n">
        <f aca="false">E81+F81+I80</f>
        <v>1533.057</v>
      </c>
      <c r="H81" s="93" t="n">
        <v>1588.432</v>
      </c>
      <c r="I81" s="93" t="n">
        <f aca="false">G81-H81</f>
        <v>-55.375</v>
      </c>
      <c r="J81" s="96" t="n">
        <f aca="false">H81/G81</f>
        <v>1.0361206400023</v>
      </c>
      <c r="K81" s="123"/>
      <c r="L81" s="123"/>
      <c r="M81" s="123"/>
      <c r="N81" s="86"/>
      <c r="O81" s="113"/>
    </row>
    <row r="82" customFormat="false" ht="14.4" hidden="false" customHeight="false" outlineLevel="0" collapsed="false">
      <c r="A82" s="106"/>
      <c r="B82" s="107"/>
      <c r="C82" s="124" t="n">
        <v>39692</v>
      </c>
      <c r="D82" s="125" t="n">
        <v>39813</v>
      </c>
      <c r="E82" s="62" t="n">
        <v>96.959</v>
      </c>
      <c r="F82" s="62"/>
      <c r="G82" s="62" t="n">
        <f aca="false">E82+F82+I81</f>
        <v>41.584</v>
      </c>
      <c r="H82" s="62" t="n">
        <v>5.077</v>
      </c>
      <c r="I82" s="62" t="n">
        <f aca="false">G82-H82</f>
        <v>36.507</v>
      </c>
      <c r="J82" s="64" t="n">
        <f aca="false">H82/G82</f>
        <v>0.122090227010389</v>
      </c>
      <c r="K82" s="123"/>
      <c r="L82" s="123"/>
      <c r="M82" s="123"/>
      <c r="N82" s="86"/>
      <c r="O82" s="113"/>
    </row>
    <row r="83" customFormat="false" ht="14.4" hidden="false" customHeight="true" outlineLevel="0" collapsed="false">
      <c r="A83" s="106"/>
      <c r="B83" s="126" t="s">
        <v>84</v>
      </c>
      <c r="C83" s="121" t="n">
        <v>39083</v>
      </c>
      <c r="D83" s="122" t="n">
        <v>39202</v>
      </c>
      <c r="E83" s="93" t="n">
        <v>31.211</v>
      </c>
      <c r="F83" s="95" t="n">
        <f aca="false">-31.211</f>
        <v>-31.211</v>
      </c>
      <c r="G83" s="93" t="n">
        <f aca="false">E83+F83</f>
        <v>0</v>
      </c>
      <c r="H83" s="93"/>
      <c r="I83" s="93" t="n">
        <f aca="false">G83-H83</f>
        <v>0</v>
      </c>
      <c r="J83" s="96" t="e">
        <f aca="false">H83/G83</f>
        <v>#DIV/0!</v>
      </c>
      <c r="K83" s="127" t="n">
        <f aca="false">E83+E84+E85+F83+F84+F85</f>
        <v>0</v>
      </c>
      <c r="L83" s="127" t="n">
        <f aca="false">H83+H84+H85</f>
        <v>0</v>
      </c>
      <c r="M83" s="127" t="n">
        <f aca="false">K83-L83</f>
        <v>0</v>
      </c>
      <c r="N83" s="128" t="e">
        <f aca="false">L83/K83</f>
        <v>#DIV/0!</v>
      </c>
      <c r="O83" s="113"/>
    </row>
    <row r="84" customFormat="false" ht="14.4" hidden="false" customHeight="false" outlineLevel="0" collapsed="false">
      <c r="A84" s="106"/>
      <c r="B84" s="126"/>
      <c r="C84" s="121" t="n">
        <v>39203</v>
      </c>
      <c r="D84" s="122" t="n">
        <v>39691</v>
      </c>
      <c r="E84" s="93" t="n">
        <v>3.672</v>
      </c>
      <c r="F84" s="95" t="n">
        <f aca="false">-3.672</f>
        <v>-3.672</v>
      </c>
      <c r="G84" s="93" t="n">
        <f aca="false">E84+F84+I83</f>
        <v>0</v>
      </c>
      <c r="H84" s="93"/>
      <c r="I84" s="93" t="n">
        <f aca="false">G84-H84</f>
        <v>0</v>
      </c>
      <c r="J84" s="96" t="e">
        <f aca="false">H84/G84</f>
        <v>#DIV/0!</v>
      </c>
      <c r="K84" s="127"/>
      <c r="L84" s="127"/>
      <c r="M84" s="127"/>
      <c r="N84" s="128"/>
      <c r="O84" s="113"/>
    </row>
    <row r="85" customFormat="false" ht="14.4" hidden="false" customHeight="false" outlineLevel="0" collapsed="false">
      <c r="A85" s="106"/>
      <c r="B85" s="126"/>
      <c r="C85" s="121" t="n">
        <v>39692</v>
      </c>
      <c r="D85" s="122" t="n">
        <v>39813</v>
      </c>
      <c r="E85" s="93" t="n">
        <v>1.838</v>
      </c>
      <c r="F85" s="95" t="n">
        <f aca="false">-1.838</f>
        <v>-1.838</v>
      </c>
      <c r="G85" s="93" t="n">
        <f aca="false">E85+F85+I84</f>
        <v>0</v>
      </c>
      <c r="H85" s="93"/>
      <c r="I85" s="93" t="n">
        <f aca="false">G85-H85</f>
        <v>0</v>
      </c>
      <c r="J85" s="96" t="e">
        <f aca="false">H85/G85</f>
        <v>#DIV/0!</v>
      </c>
      <c r="K85" s="127"/>
      <c r="L85" s="127"/>
      <c r="M85" s="127"/>
      <c r="N85" s="128"/>
      <c r="O85" s="113"/>
    </row>
    <row r="86" customFormat="false" ht="14.4" hidden="false" customHeight="true" outlineLevel="0" collapsed="false">
      <c r="A86" s="106"/>
      <c r="B86" s="107" t="s">
        <v>85</v>
      </c>
      <c r="C86" s="119" t="n">
        <v>39083</v>
      </c>
      <c r="D86" s="120" t="n">
        <v>39202</v>
      </c>
      <c r="E86" s="55" t="n">
        <v>176.76</v>
      </c>
      <c r="F86" s="56" t="n">
        <f aca="false">-207.9621</f>
        <v>-207.9621</v>
      </c>
      <c r="G86" s="56" t="n">
        <f aca="false">E86+F86</f>
        <v>-31.2021</v>
      </c>
      <c r="H86" s="55"/>
      <c r="I86" s="55" t="n">
        <f aca="false">G86-H86</f>
        <v>-31.2021</v>
      </c>
      <c r="J86" s="57" t="n">
        <f aca="false">H86/G86</f>
        <v>-0</v>
      </c>
      <c r="K86" s="123" t="n">
        <f aca="false">E86+E87+E88+F86+F87+F88</f>
        <v>-0.00010000000000332</v>
      </c>
      <c r="L86" s="123" t="n">
        <f aca="false">H86+H87+H88</f>
        <v>0</v>
      </c>
      <c r="M86" s="123" t="n">
        <f aca="false">K86-L86</f>
        <v>-0.00010000000000332</v>
      </c>
      <c r="N86" s="86" t="n">
        <f aca="false">L86/K86</f>
        <v>-0</v>
      </c>
      <c r="O86" s="113"/>
    </row>
    <row r="87" customFormat="false" ht="14.4" hidden="false" customHeight="false" outlineLevel="0" collapsed="false">
      <c r="A87" s="106"/>
      <c r="B87" s="107"/>
      <c r="C87" s="121" t="n">
        <v>39203</v>
      </c>
      <c r="D87" s="122" t="n">
        <v>39691</v>
      </c>
      <c r="E87" s="93" t="n">
        <v>20.794</v>
      </c>
      <c r="F87" s="93"/>
      <c r="G87" s="95" t="n">
        <f aca="false">E87+F87+I86</f>
        <v>-10.4081</v>
      </c>
      <c r="H87" s="93"/>
      <c r="I87" s="93" t="n">
        <f aca="false">G87-H87</f>
        <v>-10.4081</v>
      </c>
      <c r="J87" s="96" t="n">
        <f aca="false">H87/G87</f>
        <v>-0</v>
      </c>
      <c r="K87" s="123"/>
      <c r="L87" s="123"/>
      <c r="M87" s="123"/>
      <c r="N87" s="86"/>
      <c r="O87" s="113"/>
    </row>
    <row r="88" customFormat="false" ht="14.4" hidden="false" customHeight="false" outlineLevel="0" collapsed="false">
      <c r="A88" s="106"/>
      <c r="B88" s="107"/>
      <c r="C88" s="124" t="n">
        <v>39692</v>
      </c>
      <c r="D88" s="125" t="n">
        <v>39813</v>
      </c>
      <c r="E88" s="62" t="n">
        <v>10.408</v>
      </c>
      <c r="F88" s="62"/>
      <c r="G88" s="62" t="n">
        <f aca="false">E88+F88+I87</f>
        <v>-0.000100000000001543</v>
      </c>
      <c r="H88" s="62"/>
      <c r="I88" s="62" t="n">
        <f aca="false">G88-H88</f>
        <v>-0.000100000000001543</v>
      </c>
      <c r="J88" s="64" t="n">
        <f aca="false">H88/G88</f>
        <v>-0</v>
      </c>
      <c r="K88" s="123"/>
      <c r="L88" s="123"/>
      <c r="M88" s="123"/>
      <c r="N88" s="86"/>
      <c r="O88" s="113"/>
    </row>
    <row r="89" customFormat="false" ht="14.4" hidden="false" customHeight="true" outlineLevel="0" collapsed="false">
      <c r="A89" s="106"/>
      <c r="B89" s="132" t="s">
        <v>86</v>
      </c>
      <c r="C89" s="119" t="n">
        <v>39083</v>
      </c>
      <c r="D89" s="120" t="n">
        <v>39202</v>
      </c>
      <c r="E89" s="133" t="n">
        <v>0</v>
      </c>
      <c r="F89" s="55" t="n">
        <f aca="false">31.211-31.211</f>
        <v>0</v>
      </c>
      <c r="G89" s="55" t="n">
        <f aca="false">E89+F89</f>
        <v>0</v>
      </c>
      <c r="H89" s="55"/>
      <c r="I89" s="55" t="n">
        <f aca="false">G89-H89</f>
        <v>0</v>
      </c>
      <c r="J89" s="134" t="e">
        <f aca="false">H89/G89</f>
        <v>#DIV/0!</v>
      </c>
      <c r="K89" s="135" t="n">
        <f aca="false">E89+E90+E91+F89+F90+F91</f>
        <v>1.085</v>
      </c>
      <c r="L89" s="135" t="n">
        <f aca="false">H89+H90+H91</f>
        <v>0</v>
      </c>
      <c r="M89" s="135" t="n">
        <f aca="false">K89-L89</f>
        <v>1.085</v>
      </c>
      <c r="N89" s="86" t="n">
        <f aca="false">L89/K89</f>
        <v>0</v>
      </c>
      <c r="O89" s="113"/>
    </row>
    <row r="90" customFormat="false" ht="14.4" hidden="false" customHeight="false" outlineLevel="0" collapsed="false">
      <c r="A90" s="106"/>
      <c r="B90" s="132"/>
      <c r="C90" s="121" t="n">
        <v>39203</v>
      </c>
      <c r="D90" s="122" t="n">
        <v>39691</v>
      </c>
      <c r="E90" s="136" t="n">
        <v>0</v>
      </c>
      <c r="F90" s="93" t="n">
        <f aca="false">3.672-3.672</f>
        <v>0</v>
      </c>
      <c r="G90" s="93" t="n">
        <f aca="false">E90+F90+I89</f>
        <v>0</v>
      </c>
      <c r="H90" s="93"/>
      <c r="I90" s="93" t="n">
        <f aca="false">G90-H90</f>
        <v>0</v>
      </c>
      <c r="J90" s="137" t="e">
        <f aca="false">H90/G90</f>
        <v>#DIV/0!</v>
      </c>
      <c r="K90" s="135"/>
      <c r="L90" s="135"/>
      <c r="M90" s="135"/>
      <c r="N90" s="86"/>
      <c r="O90" s="113"/>
    </row>
    <row r="91" customFormat="false" ht="14.4" hidden="false" customHeight="false" outlineLevel="0" collapsed="false">
      <c r="A91" s="106"/>
      <c r="B91" s="132"/>
      <c r="C91" s="124" t="n">
        <v>39692</v>
      </c>
      <c r="D91" s="125" t="n">
        <v>39813</v>
      </c>
      <c r="E91" s="138" t="n">
        <v>0</v>
      </c>
      <c r="F91" s="130" t="n">
        <f aca="false">1.838-0.753</f>
        <v>1.085</v>
      </c>
      <c r="G91" s="62" t="n">
        <f aca="false">E91+F91+I90</f>
        <v>1.085</v>
      </c>
      <c r="H91" s="62"/>
      <c r="I91" s="62" t="n">
        <f aca="false">G91-H91</f>
        <v>1.085</v>
      </c>
      <c r="J91" s="139" t="n">
        <f aca="false">H91/G91</f>
        <v>0</v>
      </c>
      <c r="K91" s="135"/>
      <c r="L91" s="135"/>
      <c r="M91" s="135"/>
      <c r="N91" s="86"/>
      <c r="O91" s="113"/>
    </row>
    <row r="92" customFormat="false" ht="14.4" hidden="false" customHeight="false" outlineLevel="0" collapsed="false">
      <c r="A92" s="102"/>
      <c r="B92" s="140"/>
      <c r="C92" s="141"/>
      <c r="D92" s="74"/>
      <c r="E92" s="75"/>
      <c r="F92" s="142"/>
      <c r="G92" s="75"/>
      <c r="H92" s="75"/>
      <c r="I92" s="75"/>
      <c r="J92" s="77"/>
      <c r="K92" s="143"/>
      <c r="L92" s="143"/>
      <c r="M92" s="143"/>
      <c r="N92" s="144"/>
      <c r="O92" s="113"/>
    </row>
    <row r="93" customFormat="false" ht="14.4" hidden="false" customHeight="false" outlineLevel="0" collapsed="false">
      <c r="A93" s="6"/>
      <c r="B93" s="6"/>
      <c r="C93" s="145"/>
      <c r="D93" s="81"/>
      <c r="E93" s="81"/>
      <c r="F93" s="81"/>
      <c r="G93" s="81"/>
      <c r="H93" s="81"/>
      <c r="I93" s="76"/>
      <c r="J93" s="82"/>
      <c r="K93" s="6"/>
      <c r="L93" s="6"/>
      <c r="M93" s="6"/>
      <c r="N93" s="146"/>
    </row>
    <row r="94" customFormat="false" ht="15" hidden="false" customHeight="true" outlineLevel="0" collapsed="false">
      <c r="A94" s="147" t="s">
        <v>87</v>
      </c>
      <c r="B94" s="148" t="s">
        <v>57</v>
      </c>
      <c r="C94" s="119" t="n">
        <v>39083</v>
      </c>
      <c r="D94" s="120" t="n">
        <v>39355</v>
      </c>
      <c r="E94" s="55" t="n">
        <v>158.878</v>
      </c>
      <c r="F94" s="56" t="n">
        <f aca="false">-158.878</f>
        <v>-158.878</v>
      </c>
      <c r="G94" s="55" t="n">
        <f aca="false">E94+F94</f>
        <v>0</v>
      </c>
      <c r="H94" s="55"/>
      <c r="I94" s="55" t="n">
        <f aca="false">G94-H94</f>
        <v>0</v>
      </c>
      <c r="J94" s="57" t="e">
        <f aca="false">H94/G94</f>
        <v>#DIV/0!</v>
      </c>
      <c r="K94" s="149" t="n">
        <f aca="false">E94+E95+F94+F95</f>
        <v>0</v>
      </c>
      <c r="L94" s="149" t="n">
        <f aca="false">H94+H95</f>
        <v>0</v>
      </c>
      <c r="M94" s="149" t="n">
        <f aca="false">K94-L94</f>
        <v>0</v>
      </c>
      <c r="N94" s="86" t="e">
        <f aca="false">L94/K94</f>
        <v>#DIV/0!</v>
      </c>
    </row>
    <row r="95" customFormat="false" ht="15" hidden="false" customHeight="true" outlineLevel="0" collapsed="false">
      <c r="A95" s="147"/>
      <c r="B95" s="148"/>
      <c r="C95" s="124" t="n">
        <v>39356</v>
      </c>
      <c r="D95" s="125" t="n">
        <v>39447</v>
      </c>
      <c r="E95" s="62" t="n">
        <v>8.362</v>
      </c>
      <c r="F95" s="63" t="n">
        <f aca="false">-8.362</f>
        <v>-8.362</v>
      </c>
      <c r="G95" s="62" t="n">
        <f aca="false">E95+F95+I94</f>
        <v>0</v>
      </c>
      <c r="H95" s="62"/>
      <c r="I95" s="62" t="n">
        <f aca="false">G95-H95</f>
        <v>0</v>
      </c>
      <c r="J95" s="64" t="e">
        <f aca="false">H95/G95</f>
        <v>#DIV/0!</v>
      </c>
      <c r="K95" s="149"/>
      <c r="L95" s="149"/>
      <c r="M95" s="149"/>
      <c r="N95" s="86"/>
    </row>
    <row r="96" customFormat="false" ht="15" hidden="false" customHeight="true" outlineLevel="0" collapsed="false">
      <c r="A96" s="147"/>
      <c r="B96" s="150" t="s">
        <v>58</v>
      </c>
      <c r="C96" s="119" t="n">
        <v>39083</v>
      </c>
      <c r="D96" s="120" t="n">
        <v>39355</v>
      </c>
      <c r="E96" s="93" t="n">
        <v>6731.119</v>
      </c>
      <c r="F96" s="95" t="n">
        <f aca="false">-1520.294</f>
        <v>-1520.294</v>
      </c>
      <c r="G96" s="93" t="n">
        <f aca="false">E96+F96</f>
        <v>5210.825</v>
      </c>
      <c r="H96" s="93" t="n">
        <v>3160.315</v>
      </c>
      <c r="I96" s="93" t="n">
        <f aca="false">G96-H96</f>
        <v>2050.51</v>
      </c>
      <c r="J96" s="96" t="n">
        <f aca="false">H96/G96</f>
        <v>0.606490335023725</v>
      </c>
      <c r="K96" s="151" t="n">
        <f aca="false">E96+E97+F96+F97</f>
        <v>3165.485</v>
      </c>
      <c r="L96" s="151" t="n">
        <f aca="false">H96+H97</f>
        <v>3160.315</v>
      </c>
      <c r="M96" s="151" t="n">
        <f aca="false">K96-L96</f>
        <v>5.17000000000007</v>
      </c>
      <c r="N96" s="128" t="n">
        <f aca="false">L96/K96</f>
        <v>0.998366758964266</v>
      </c>
    </row>
    <row r="97" customFormat="false" ht="14.4" hidden="false" customHeight="false" outlineLevel="0" collapsed="false">
      <c r="A97" s="147"/>
      <c r="B97" s="150"/>
      <c r="C97" s="124" t="n">
        <v>39356</v>
      </c>
      <c r="D97" s="125" t="n">
        <v>39447</v>
      </c>
      <c r="E97" s="93" t="n">
        <v>354.26</v>
      </c>
      <c r="F97" s="95" t="n">
        <f aca="false">-300-399.6-1700</f>
        <v>-2399.6</v>
      </c>
      <c r="G97" s="93" t="n">
        <f aca="false">E97+F97+I96</f>
        <v>5.16999999999985</v>
      </c>
      <c r="H97" s="93"/>
      <c r="I97" s="93" t="n">
        <f aca="false">G97-H97</f>
        <v>5.16999999999985</v>
      </c>
      <c r="J97" s="96" t="n">
        <f aca="false">H97/G97</f>
        <v>0</v>
      </c>
      <c r="K97" s="151"/>
      <c r="L97" s="151"/>
      <c r="M97" s="151"/>
      <c r="N97" s="128"/>
    </row>
    <row r="98" customFormat="false" ht="14.4" hidden="false" customHeight="true" outlineLevel="0" collapsed="false">
      <c r="A98" s="147"/>
      <c r="B98" s="148" t="s">
        <v>88</v>
      </c>
      <c r="C98" s="119" t="n">
        <v>39083</v>
      </c>
      <c r="D98" s="120" t="n">
        <v>39355</v>
      </c>
      <c r="E98" s="55" t="n">
        <v>31624.007</v>
      </c>
      <c r="F98" s="56" t="n">
        <f aca="false">-1000</f>
        <v>-1000</v>
      </c>
      <c r="G98" s="55" t="n">
        <f aca="false">E98+F98</f>
        <v>30624.007</v>
      </c>
      <c r="H98" s="55" t="n">
        <v>13248.485</v>
      </c>
      <c r="I98" s="55" t="n">
        <f aca="false">G98-H98</f>
        <v>17375.522</v>
      </c>
      <c r="J98" s="57" t="n">
        <f aca="false">H98/G98</f>
        <v>0.432617619242315</v>
      </c>
      <c r="K98" s="149" t="n">
        <f aca="false">E98+E99+F98+F99</f>
        <v>17288.385</v>
      </c>
      <c r="L98" s="149" t="n">
        <f aca="false">H98+H99</f>
        <v>13449.004</v>
      </c>
      <c r="M98" s="149" t="n">
        <f aca="false">K98-L98</f>
        <v>3839.381</v>
      </c>
      <c r="N98" s="86" t="n">
        <f aca="false">L98/K98</f>
        <v>0.777921361654082</v>
      </c>
    </row>
    <row r="99" customFormat="false" ht="14.4" hidden="false" customHeight="false" outlineLevel="0" collapsed="false">
      <c r="A99" s="147"/>
      <c r="B99" s="148"/>
      <c r="C99" s="124" t="n">
        <v>39356</v>
      </c>
      <c r="D99" s="125" t="n">
        <v>39447</v>
      </c>
      <c r="E99" s="62" t="n">
        <v>1664.378</v>
      </c>
      <c r="F99" s="95" t="n">
        <f aca="false">-3000-3000-2000-1000-1500-1500-3000</f>
        <v>-15000</v>
      </c>
      <c r="G99" s="62" t="n">
        <f aca="false">E99+F99+I98</f>
        <v>4039.9</v>
      </c>
      <c r="H99" s="62" t="n">
        <v>200.519</v>
      </c>
      <c r="I99" s="62" t="n">
        <f aca="false">G99-H99</f>
        <v>3839.381</v>
      </c>
      <c r="J99" s="64" t="n">
        <f aca="false">H99/G99</f>
        <v>0.0496346444218916</v>
      </c>
      <c r="K99" s="149"/>
      <c r="L99" s="149"/>
      <c r="M99" s="149"/>
      <c r="N99" s="86"/>
    </row>
    <row r="100" customFormat="false" ht="14.4" hidden="false" customHeight="true" outlineLevel="0" collapsed="false">
      <c r="A100" s="147"/>
      <c r="B100" s="148" t="s">
        <v>68</v>
      </c>
      <c r="C100" s="119" t="n">
        <v>39083</v>
      </c>
      <c r="D100" s="120" t="n">
        <v>39355</v>
      </c>
      <c r="E100" s="55" t="n">
        <v>0</v>
      </c>
      <c r="F100" s="55"/>
      <c r="G100" s="55" t="n">
        <f aca="false">E100+F100</f>
        <v>0</v>
      </c>
      <c r="H100" s="55"/>
      <c r="I100" s="55" t="n">
        <f aca="false">G100-H100</f>
        <v>0</v>
      </c>
      <c r="J100" s="57" t="e">
        <f aca="false">H100/G100</f>
        <v>#DIV/0!</v>
      </c>
      <c r="K100" s="149" t="n">
        <f aca="false">E100+E101+F100+F101</f>
        <v>0</v>
      </c>
      <c r="L100" s="149" t="n">
        <f aca="false">H100+H101</f>
        <v>0</v>
      </c>
      <c r="M100" s="149" t="n">
        <f aca="false">K100-L100</f>
        <v>0</v>
      </c>
      <c r="N100" s="86" t="e">
        <f aca="false">L100/K100</f>
        <v>#DIV/0!</v>
      </c>
    </row>
    <row r="101" customFormat="false" ht="14.4" hidden="false" customHeight="false" outlineLevel="0" collapsed="false">
      <c r="A101" s="147"/>
      <c r="B101" s="148"/>
      <c r="C101" s="124" t="n">
        <v>39356</v>
      </c>
      <c r="D101" s="125" t="n">
        <v>39447</v>
      </c>
      <c r="E101" s="62" t="n">
        <v>0</v>
      </c>
      <c r="F101" s="62"/>
      <c r="G101" s="62" t="n">
        <f aca="false">E101+F101+I100</f>
        <v>0</v>
      </c>
      <c r="H101" s="62"/>
      <c r="I101" s="62" t="n">
        <f aca="false">G101-H101</f>
        <v>0</v>
      </c>
      <c r="J101" s="64" t="e">
        <f aca="false">H101/G101</f>
        <v>#DIV/0!</v>
      </c>
      <c r="K101" s="149"/>
      <c r="L101" s="149"/>
      <c r="M101" s="149"/>
      <c r="N101" s="86"/>
    </row>
    <row r="102" customFormat="false" ht="14.4" hidden="false" customHeight="false" outlineLevel="0" collapsed="false">
      <c r="A102" s="152"/>
      <c r="B102" s="153"/>
      <c r="C102" s="141"/>
      <c r="D102" s="74"/>
      <c r="E102" s="75"/>
      <c r="F102" s="75"/>
      <c r="G102" s="75"/>
      <c r="H102" s="75"/>
      <c r="I102" s="75"/>
      <c r="J102" s="77"/>
      <c r="K102" s="154"/>
      <c r="L102" s="154"/>
      <c r="M102" s="154"/>
      <c r="N102" s="144"/>
    </row>
    <row r="103" customFormat="false" ht="14.4" hidden="false" customHeight="false" outlineLevel="0" collapsed="false">
      <c r="A103" s="6"/>
      <c r="B103" s="6"/>
      <c r="C103" s="145"/>
      <c r="D103" s="81"/>
      <c r="E103" s="81"/>
      <c r="F103" s="81"/>
      <c r="G103" s="81"/>
      <c r="H103" s="81"/>
      <c r="I103" s="76"/>
      <c r="J103" s="82"/>
      <c r="K103" s="6"/>
      <c r="L103" s="6"/>
      <c r="M103" s="6"/>
      <c r="N103" s="146"/>
    </row>
    <row r="104" customFormat="false" ht="15" hidden="false" customHeight="true" outlineLevel="0" collapsed="false">
      <c r="A104" s="155" t="s">
        <v>89</v>
      </c>
      <c r="B104" s="156" t="s">
        <v>73</v>
      </c>
      <c r="C104" s="119" t="n">
        <v>39083</v>
      </c>
      <c r="D104" s="120" t="n">
        <v>39355</v>
      </c>
      <c r="E104" s="55" t="n">
        <v>680.901</v>
      </c>
      <c r="F104" s="100" t="n">
        <f aca="false">114.463</f>
        <v>114.463</v>
      </c>
      <c r="G104" s="55" t="n">
        <f aca="false">E104+F104</f>
        <v>795.364</v>
      </c>
      <c r="H104" s="55" t="n">
        <v>715.707</v>
      </c>
      <c r="I104" s="89" t="n">
        <f aca="false">G104-H104</f>
        <v>79.6569999999999</v>
      </c>
      <c r="J104" s="57" t="n">
        <f aca="false">H104/G104</f>
        <v>0.899848371311752</v>
      </c>
      <c r="K104" s="149" t="n">
        <f aca="false">E104+E105+F104+F105</f>
        <v>716.844</v>
      </c>
      <c r="L104" s="149" t="n">
        <f aca="false">H104+H105</f>
        <v>715.707</v>
      </c>
      <c r="M104" s="149" t="n">
        <f aca="false">K104-L104</f>
        <v>1.13699999999994</v>
      </c>
      <c r="N104" s="157" t="n">
        <f aca="false">L104/K104</f>
        <v>0.998413880844368</v>
      </c>
    </row>
    <row r="105" customFormat="false" ht="15" hidden="false" customHeight="true" outlineLevel="0" collapsed="false">
      <c r="A105" s="155"/>
      <c r="B105" s="156"/>
      <c r="C105" s="124" t="n">
        <v>39356</v>
      </c>
      <c r="D105" s="125" t="n">
        <v>39447</v>
      </c>
      <c r="E105" s="62" t="n">
        <v>35.806</v>
      </c>
      <c r="F105" s="63" t="n">
        <f aca="false">13.921-128.247</f>
        <v>-114.326</v>
      </c>
      <c r="G105" s="62" t="n">
        <f aca="false">E105+F105+I104</f>
        <v>1.1369999999999</v>
      </c>
      <c r="H105" s="62"/>
      <c r="I105" s="62" t="n">
        <f aca="false">G105-H105</f>
        <v>1.1369999999999</v>
      </c>
      <c r="J105" s="64" t="n">
        <f aca="false">H105/G105</f>
        <v>0</v>
      </c>
      <c r="K105" s="149"/>
      <c r="L105" s="149"/>
      <c r="M105" s="149"/>
      <c r="N105" s="157"/>
    </row>
    <row r="106" customFormat="false" ht="14.4" hidden="false" customHeight="true" outlineLevel="0" collapsed="false">
      <c r="A106" s="155"/>
      <c r="B106" s="158" t="s">
        <v>90</v>
      </c>
      <c r="C106" s="119" t="n">
        <v>39083</v>
      </c>
      <c r="D106" s="120" t="n">
        <v>39355</v>
      </c>
      <c r="E106" s="93" t="n">
        <v>2.476</v>
      </c>
      <c r="F106" s="93"/>
      <c r="G106" s="93" t="n">
        <f aca="false">E106+F106</f>
        <v>2.476</v>
      </c>
      <c r="H106" s="93"/>
      <c r="I106" s="93" t="n">
        <f aca="false">G106-H106</f>
        <v>2.476</v>
      </c>
      <c r="J106" s="96" t="n">
        <f aca="false">H106/G106</f>
        <v>0</v>
      </c>
      <c r="K106" s="151" t="n">
        <f aca="false">E106+E107+F106+F107</f>
        <v>2.606</v>
      </c>
      <c r="L106" s="151" t="n">
        <f aca="false">H106+H107</f>
        <v>0</v>
      </c>
      <c r="M106" s="151" t="n">
        <f aca="false">K106-L106</f>
        <v>2.606</v>
      </c>
      <c r="N106" s="128" t="n">
        <f aca="false">L106/K106</f>
        <v>0</v>
      </c>
    </row>
    <row r="107" customFormat="false" ht="14.4" hidden="false" customHeight="false" outlineLevel="0" collapsed="false">
      <c r="A107" s="155"/>
      <c r="B107" s="158"/>
      <c r="C107" s="124" t="n">
        <v>39356</v>
      </c>
      <c r="D107" s="125" t="n">
        <v>39447</v>
      </c>
      <c r="E107" s="93" t="n">
        <v>0.13</v>
      </c>
      <c r="F107" s="93"/>
      <c r="G107" s="93" t="n">
        <f aca="false">E107+F107+I106</f>
        <v>2.606</v>
      </c>
      <c r="H107" s="93"/>
      <c r="I107" s="93" t="n">
        <f aca="false">G107-H107</f>
        <v>2.606</v>
      </c>
      <c r="J107" s="96" t="n">
        <f aca="false">H107/G107</f>
        <v>0</v>
      </c>
      <c r="K107" s="151"/>
      <c r="L107" s="151"/>
      <c r="M107" s="151"/>
      <c r="N107" s="128"/>
    </row>
    <row r="108" customFormat="false" ht="15" hidden="false" customHeight="true" outlineLevel="0" collapsed="false">
      <c r="A108" s="155"/>
      <c r="B108" s="156" t="s">
        <v>63</v>
      </c>
      <c r="C108" s="119" t="n">
        <v>39083</v>
      </c>
      <c r="D108" s="120" t="n">
        <v>39355</v>
      </c>
      <c r="E108" s="55" t="n">
        <v>36.079</v>
      </c>
      <c r="F108" s="55"/>
      <c r="G108" s="55" t="n">
        <f aca="false">E108+F108</f>
        <v>36.079</v>
      </c>
      <c r="H108" s="55"/>
      <c r="I108" s="55" t="n">
        <f aca="false">G108-H108</f>
        <v>36.079</v>
      </c>
      <c r="J108" s="57" t="n">
        <f aca="false">H108/G108</f>
        <v>0</v>
      </c>
      <c r="K108" s="149" t="n">
        <f aca="false">E108+E109+F108+F109</f>
        <v>37.976</v>
      </c>
      <c r="L108" s="149" t="n">
        <f aca="false">H108+H109</f>
        <v>0</v>
      </c>
      <c r="M108" s="149" t="n">
        <f aca="false">K108-L108</f>
        <v>37.976</v>
      </c>
      <c r="N108" s="86" t="n">
        <f aca="false">L108/K108</f>
        <v>0</v>
      </c>
    </row>
    <row r="109" customFormat="false" ht="15" hidden="false" customHeight="true" outlineLevel="0" collapsed="false">
      <c r="A109" s="155"/>
      <c r="B109" s="156"/>
      <c r="C109" s="124" t="n">
        <v>39356</v>
      </c>
      <c r="D109" s="125" t="n">
        <v>39447</v>
      </c>
      <c r="E109" s="62" t="n">
        <v>1.897</v>
      </c>
      <c r="F109" s="62"/>
      <c r="G109" s="62" t="n">
        <f aca="false">E109+F109+I108</f>
        <v>37.976</v>
      </c>
      <c r="H109" s="62"/>
      <c r="I109" s="62" t="n">
        <f aca="false">G109-H109</f>
        <v>37.976</v>
      </c>
      <c r="J109" s="64" t="n">
        <f aca="false">H109/G109</f>
        <v>0</v>
      </c>
      <c r="K109" s="149"/>
      <c r="L109" s="149"/>
      <c r="M109" s="149"/>
      <c r="N109" s="86"/>
    </row>
    <row r="110" customFormat="false" ht="15" hidden="false" customHeight="true" outlineLevel="0" collapsed="false">
      <c r="A110" s="155"/>
      <c r="B110" s="158" t="s">
        <v>64</v>
      </c>
      <c r="C110" s="119" t="n">
        <v>39083</v>
      </c>
      <c r="D110" s="120" t="n">
        <v>39355</v>
      </c>
      <c r="E110" s="93" t="n">
        <v>2185.5</v>
      </c>
      <c r="F110" s="95" t="n">
        <f aca="false">-1100</f>
        <v>-1100</v>
      </c>
      <c r="G110" s="93" t="n">
        <f aca="false">E110+F110</f>
        <v>1085.5</v>
      </c>
      <c r="H110" s="93" t="n">
        <v>1066.718</v>
      </c>
      <c r="I110" s="93" t="n">
        <f aca="false">G110-H110</f>
        <v>18.7819999999999</v>
      </c>
      <c r="J110" s="96" t="n">
        <f aca="false">H110/G110</f>
        <v>0.982697374481806</v>
      </c>
      <c r="K110" s="151" t="n">
        <f aca="false">E110+E111+F110+F111</f>
        <v>1200.427</v>
      </c>
      <c r="L110" s="151" t="n">
        <f aca="false">H110+H111</f>
        <v>1066.718</v>
      </c>
      <c r="M110" s="151" t="n">
        <f aca="false">K110-L110</f>
        <v>133.709</v>
      </c>
      <c r="N110" s="128" t="n">
        <f aca="false">L110/K110</f>
        <v>0.888615467662757</v>
      </c>
    </row>
    <row r="111" customFormat="false" ht="15" hidden="false" customHeight="true" outlineLevel="0" collapsed="false">
      <c r="A111" s="155"/>
      <c r="B111" s="158"/>
      <c r="C111" s="124" t="n">
        <v>39356</v>
      </c>
      <c r="D111" s="125" t="n">
        <v>39447</v>
      </c>
      <c r="E111" s="93" t="n">
        <v>114.927</v>
      </c>
      <c r="F111" s="130"/>
      <c r="G111" s="93" t="n">
        <f aca="false">E111+F111+I110</f>
        <v>133.709</v>
      </c>
      <c r="H111" s="93"/>
      <c r="I111" s="93" t="n">
        <f aca="false">G111-H111</f>
        <v>133.709</v>
      </c>
      <c r="J111" s="96" t="n">
        <f aca="false">H111/G111</f>
        <v>0</v>
      </c>
      <c r="K111" s="151"/>
      <c r="L111" s="151"/>
      <c r="M111" s="151"/>
      <c r="N111" s="128"/>
    </row>
    <row r="112" customFormat="false" ht="14.4" hidden="false" customHeight="true" outlineLevel="0" collapsed="false">
      <c r="A112" s="155"/>
      <c r="B112" s="156" t="s">
        <v>91</v>
      </c>
      <c r="C112" s="119" t="n">
        <v>39083</v>
      </c>
      <c r="D112" s="120" t="n">
        <v>39355</v>
      </c>
      <c r="E112" s="55" t="n">
        <v>264.728</v>
      </c>
      <c r="F112" s="56" t="n">
        <f aca="false">-150.265-114.463</f>
        <v>-264.728</v>
      </c>
      <c r="G112" s="55" t="n">
        <f aca="false">E112+F112</f>
        <v>0</v>
      </c>
      <c r="H112" s="55"/>
      <c r="I112" s="55" t="n">
        <f aca="false">G112-H112</f>
        <v>0</v>
      </c>
      <c r="J112" s="57" t="e">
        <f aca="false">H112/G112</f>
        <v>#DIV/0!</v>
      </c>
      <c r="K112" s="149" t="n">
        <f aca="false">E112+E113+F112+F113</f>
        <v>0</v>
      </c>
      <c r="L112" s="149" t="n">
        <f aca="false">H112+H113</f>
        <v>0</v>
      </c>
      <c r="M112" s="149" t="n">
        <f aca="false">K112-L112</f>
        <v>0</v>
      </c>
      <c r="N112" s="86" t="e">
        <f aca="false">L112/K112</f>
        <v>#DIV/0!</v>
      </c>
    </row>
    <row r="113" customFormat="false" ht="14.4" hidden="false" customHeight="false" outlineLevel="0" collapsed="false">
      <c r="A113" s="155"/>
      <c r="B113" s="156"/>
      <c r="C113" s="124" t="n">
        <v>39356</v>
      </c>
      <c r="D113" s="125" t="n">
        <v>39447</v>
      </c>
      <c r="E113" s="62" t="n">
        <v>13.921</v>
      </c>
      <c r="F113" s="63" t="n">
        <f aca="false">-13.921</f>
        <v>-13.921</v>
      </c>
      <c r="G113" s="62" t="n">
        <f aca="false">E113+F113+I112</f>
        <v>0</v>
      </c>
      <c r="H113" s="62"/>
      <c r="I113" s="62" t="n">
        <f aca="false">G113-H113</f>
        <v>0</v>
      </c>
      <c r="J113" s="64" t="e">
        <f aca="false">H113/G113</f>
        <v>#DIV/0!</v>
      </c>
      <c r="K113" s="149"/>
      <c r="L113" s="149"/>
      <c r="M113" s="149"/>
      <c r="N113" s="86"/>
    </row>
    <row r="114" customFormat="false" ht="14.4" hidden="false" customHeight="true" outlineLevel="0" collapsed="false">
      <c r="A114" s="155"/>
      <c r="B114" s="159" t="s">
        <v>66</v>
      </c>
      <c r="C114" s="119" t="n">
        <v>39083</v>
      </c>
      <c r="D114" s="120" t="n">
        <v>39355</v>
      </c>
      <c r="E114" s="93" t="n">
        <v>0</v>
      </c>
      <c r="F114" s="93"/>
      <c r="G114" s="93" t="n">
        <f aca="false">E114+F114</f>
        <v>0</v>
      </c>
      <c r="H114" s="93"/>
      <c r="I114" s="93" t="n">
        <f aca="false">G114-H114</f>
        <v>0</v>
      </c>
      <c r="J114" s="96" t="e">
        <f aca="false">H114/G114</f>
        <v>#DIV/0!</v>
      </c>
      <c r="K114" s="151" t="n">
        <f aca="false">E114+E115+F114+F115</f>
        <v>0</v>
      </c>
      <c r="L114" s="151" t="n">
        <f aca="false">H114+H115</f>
        <v>0</v>
      </c>
      <c r="M114" s="151" t="n">
        <f aca="false">K114-L114</f>
        <v>0</v>
      </c>
      <c r="N114" s="128" t="e">
        <f aca="false">L114/K114</f>
        <v>#DIV/0!</v>
      </c>
    </row>
    <row r="115" customFormat="false" ht="14.4" hidden="false" customHeight="false" outlineLevel="0" collapsed="false">
      <c r="A115" s="155"/>
      <c r="B115" s="159"/>
      <c r="C115" s="124" t="n">
        <v>39356</v>
      </c>
      <c r="D115" s="125" t="n">
        <v>39447</v>
      </c>
      <c r="E115" s="93" t="n">
        <v>0</v>
      </c>
      <c r="F115" s="93"/>
      <c r="G115" s="93" t="n">
        <f aca="false">E115+F115+I114</f>
        <v>0</v>
      </c>
      <c r="H115" s="93"/>
      <c r="I115" s="93" t="n">
        <f aca="false">G115-H115</f>
        <v>0</v>
      </c>
      <c r="J115" s="96" t="e">
        <f aca="false">H115/G115</f>
        <v>#DIV/0!</v>
      </c>
      <c r="K115" s="151"/>
      <c r="L115" s="151"/>
      <c r="M115" s="151"/>
      <c r="N115" s="128"/>
    </row>
    <row r="116" customFormat="false" ht="14.4" hidden="false" customHeight="true" outlineLevel="0" collapsed="false">
      <c r="A116" s="155"/>
      <c r="B116" s="156" t="s">
        <v>76</v>
      </c>
      <c r="C116" s="119" t="n">
        <v>39083</v>
      </c>
      <c r="D116" s="120" t="n">
        <v>39355</v>
      </c>
      <c r="E116" s="55" t="n">
        <v>55.439</v>
      </c>
      <c r="F116" s="55"/>
      <c r="G116" s="55" t="n">
        <f aca="false">E116+F116</f>
        <v>55.439</v>
      </c>
      <c r="H116" s="55" t="n">
        <v>52.4</v>
      </c>
      <c r="I116" s="55" t="n">
        <f aca="false">G116-H116</f>
        <v>3.039</v>
      </c>
      <c r="J116" s="57" t="n">
        <f aca="false">H116/G116</f>
        <v>0.945182993921247</v>
      </c>
      <c r="K116" s="149" t="n">
        <f aca="false">E116+E117+F116+F117</f>
        <v>53.4</v>
      </c>
      <c r="L116" s="149" t="n">
        <f aca="false">H116+H117</f>
        <v>52.4</v>
      </c>
      <c r="M116" s="149" t="n">
        <f aca="false">K116-L116</f>
        <v>1</v>
      </c>
      <c r="N116" s="86" t="n">
        <f aca="false">L116/K116</f>
        <v>0.9812734082397</v>
      </c>
    </row>
    <row r="117" customFormat="false" ht="14.4" hidden="false" customHeight="false" outlineLevel="0" collapsed="false">
      <c r="A117" s="155"/>
      <c r="B117" s="156"/>
      <c r="C117" s="124" t="n">
        <v>39356</v>
      </c>
      <c r="D117" s="125" t="n">
        <v>39447</v>
      </c>
      <c r="E117" s="62" t="n">
        <v>2.915</v>
      </c>
      <c r="F117" s="63" t="n">
        <f aca="false">-4.954</f>
        <v>-4.954</v>
      </c>
      <c r="G117" s="62" t="n">
        <f aca="false">E117+F117+I116</f>
        <v>1</v>
      </c>
      <c r="H117" s="62"/>
      <c r="I117" s="62" t="n">
        <f aca="false">G117-H117</f>
        <v>1</v>
      </c>
      <c r="J117" s="64" t="n">
        <f aca="false">H117/G117</f>
        <v>0</v>
      </c>
      <c r="K117" s="149"/>
      <c r="L117" s="149"/>
      <c r="M117" s="149"/>
      <c r="N117" s="86"/>
    </row>
    <row r="118" customFormat="false" ht="14.4" hidden="false" customHeight="true" outlineLevel="0" collapsed="false">
      <c r="A118" s="155"/>
      <c r="B118" s="158" t="s">
        <v>67</v>
      </c>
      <c r="C118" s="119" t="n">
        <v>39083</v>
      </c>
      <c r="D118" s="120" t="n">
        <v>39355</v>
      </c>
      <c r="E118" s="93" t="n">
        <v>92.955</v>
      </c>
      <c r="F118" s="95" t="n">
        <f aca="false">-48.443</f>
        <v>-48.443</v>
      </c>
      <c r="G118" s="93" t="n">
        <f aca="false">E118+F118</f>
        <v>44.512</v>
      </c>
      <c r="H118" s="93" t="n">
        <v>8.748</v>
      </c>
      <c r="I118" s="93" t="n">
        <f aca="false">G118-H118</f>
        <v>35.764</v>
      </c>
      <c r="J118" s="96" t="n">
        <f aca="false">H118/G118</f>
        <v>0.196531272465852</v>
      </c>
      <c r="K118" s="151" t="n">
        <f aca="false">E118+E119+F118+F119</f>
        <v>49.4</v>
      </c>
      <c r="L118" s="151" t="n">
        <f aca="false">H118+H119</f>
        <v>8.748</v>
      </c>
      <c r="M118" s="151" t="n">
        <f aca="false">K118-L118</f>
        <v>40.652</v>
      </c>
      <c r="N118" s="128" t="n">
        <f aca="false">L118/K118</f>
        <v>0.177085020242915</v>
      </c>
    </row>
    <row r="119" customFormat="false" ht="14.4" hidden="false" customHeight="false" outlineLevel="0" collapsed="false">
      <c r="A119" s="155"/>
      <c r="B119" s="158"/>
      <c r="C119" s="124" t="n">
        <v>39356</v>
      </c>
      <c r="D119" s="125" t="n">
        <v>39447</v>
      </c>
      <c r="E119" s="93" t="n">
        <v>4.888</v>
      </c>
      <c r="F119" s="95"/>
      <c r="G119" s="93" t="n">
        <f aca="false">E119+F119+I118</f>
        <v>40.652</v>
      </c>
      <c r="H119" s="93"/>
      <c r="I119" s="93" t="n">
        <f aca="false">G119-H119</f>
        <v>40.652</v>
      </c>
      <c r="J119" s="96" t="n">
        <f aca="false">H119/G119</f>
        <v>0</v>
      </c>
      <c r="K119" s="151"/>
      <c r="L119" s="151"/>
      <c r="M119" s="151"/>
      <c r="N119" s="128"/>
    </row>
    <row r="120" customFormat="false" ht="14.4" hidden="false" customHeight="true" outlineLevel="0" collapsed="false">
      <c r="A120" s="155"/>
      <c r="B120" s="156" t="s">
        <v>92</v>
      </c>
      <c r="C120" s="119" t="n">
        <v>39083</v>
      </c>
      <c r="D120" s="120" t="n">
        <v>39355</v>
      </c>
      <c r="E120" s="55" t="n">
        <v>9.15</v>
      </c>
      <c r="F120" s="55"/>
      <c r="G120" s="55" t="n">
        <f aca="false">E120+F120</f>
        <v>9.15</v>
      </c>
      <c r="H120" s="55"/>
      <c r="I120" s="55" t="n">
        <f aca="false">G120-H120</f>
        <v>9.15</v>
      </c>
      <c r="J120" s="57" t="n">
        <f aca="false">H120/G120</f>
        <v>0</v>
      </c>
      <c r="K120" s="149" t="n">
        <f aca="false">E120+E121+F120+F121</f>
        <v>9.631</v>
      </c>
      <c r="L120" s="149" t="n">
        <f aca="false">H120+H121</f>
        <v>0</v>
      </c>
      <c r="M120" s="149" t="n">
        <f aca="false">K120-L120</f>
        <v>9.631</v>
      </c>
      <c r="N120" s="86" t="n">
        <f aca="false">L120/K120</f>
        <v>0</v>
      </c>
    </row>
    <row r="121" customFormat="false" ht="14.4" hidden="false" customHeight="false" outlineLevel="0" collapsed="false">
      <c r="A121" s="155"/>
      <c r="B121" s="156"/>
      <c r="C121" s="124" t="n">
        <v>39356</v>
      </c>
      <c r="D121" s="125" t="n">
        <v>39447</v>
      </c>
      <c r="E121" s="62" t="n">
        <v>0.481</v>
      </c>
      <c r="F121" s="62"/>
      <c r="G121" s="62" t="n">
        <f aca="false">E121+F121+I120</f>
        <v>9.631</v>
      </c>
      <c r="H121" s="62"/>
      <c r="I121" s="62" t="n">
        <f aca="false">G121-H121</f>
        <v>9.631</v>
      </c>
      <c r="J121" s="64" t="n">
        <f aca="false">H121/G121</f>
        <v>0</v>
      </c>
      <c r="K121" s="149"/>
      <c r="L121" s="149"/>
      <c r="M121" s="149"/>
      <c r="N121" s="86"/>
    </row>
    <row r="122" customFormat="false" ht="14.4" hidden="false" customHeight="true" outlineLevel="0" collapsed="false">
      <c r="A122" s="155"/>
      <c r="B122" s="158" t="s">
        <v>81</v>
      </c>
      <c r="C122" s="119" t="n">
        <v>39083</v>
      </c>
      <c r="D122" s="120" t="n">
        <v>39355</v>
      </c>
      <c r="E122" s="93" t="n">
        <v>63.398</v>
      </c>
      <c r="F122" s="94" t="n">
        <f aca="false">4.118</f>
        <v>4.118</v>
      </c>
      <c r="G122" s="93" t="n">
        <f aca="false">E122+F122</f>
        <v>67.516</v>
      </c>
      <c r="H122" s="93" t="n">
        <v>69</v>
      </c>
      <c r="I122" s="95" t="n">
        <f aca="false">G122-H122</f>
        <v>-1.48399999999999</v>
      </c>
      <c r="J122" s="96" t="n">
        <f aca="false">H122/G122</f>
        <v>1.02197997511701</v>
      </c>
      <c r="K122" s="151" t="n">
        <f aca="false">E122+E123+F122+F123</f>
        <v>71.067</v>
      </c>
      <c r="L122" s="151" t="n">
        <f aca="false">H122+H123</f>
        <v>69</v>
      </c>
      <c r="M122" s="151" t="n">
        <f aca="false">K122-L122</f>
        <v>2.06699999999999</v>
      </c>
      <c r="N122" s="160" t="n">
        <f aca="false">L122/K122</f>
        <v>0.970914770568618</v>
      </c>
    </row>
    <row r="123" customFormat="false" ht="14.4" hidden="false" customHeight="false" outlineLevel="0" collapsed="false">
      <c r="A123" s="155"/>
      <c r="B123" s="158"/>
      <c r="C123" s="124" t="n">
        <v>39356</v>
      </c>
      <c r="D123" s="125" t="n">
        <v>39447</v>
      </c>
      <c r="E123" s="93" t="n">
        <v>3.334</v>
      </c>
      <c r="F123" s="94" t="n">
        <f aca="false">0.217</f>
        <v>0.217</v>
      </c>
      <c r="G123" s="93" t="n">
        <f aca="false">E123+F123+I122</f>
        <v>2.06700000000001</v>
      </c>
      <c r="H123" s="93"/>
      <c r="I123" s="93" t="n">
        <f aca="false">G123-H123</f>
        <v>2.06700000000001</v>
      </c>
      <c r="J123" s="96" t="n">
        <f aca="false">H123/G123</f>
        <v>0</v>
      </c>
      <c r="K123" s="151"/>
      <c r="L123" s="151"/>
      <c r="M123" s="151"/>
      <c r="N123" s="160"/>
    </row>
    <row r="124" customFormat="false" ht="14.4" hidden="false" customHeight="true" outlineLevel="0" collapsed="false">
      <c r="A124" s="155"/>
      <c r="B124" s="156" t="s">
        <v>82</v>
      </c>
      <c r="C124" s="119" t="n">
        <v>39083</v>
      </c>
      <c r="D124" s="120" t="n">
        <v>39355</v>
      </c>
      <c r="E124" s="55" t="n">
        <v>4.118</v>
      </c>
      <c r="F124" s="56" t="n">
        <f aca="false">-4.118</f>
        <v>-4.118</v>
      </c>
      <c r="G124" s="55" t="n">
        <f aca="false">E124+F124</f>
        <v>0</v>
      </c>
      <c r="H124" s="55"/>
      <c r="I124" s="55" t="n">
        <f aca="false">G124-H124</f>
        <v>0</v>
      </c>
      <c r="J124" s="57" t="e">
        <f aca="false">H124/G124</f>
        <v>#DIV/0!</v>
      </c>
      <c r="K124" s="149" t="n">
        <f aca="false">E124+E125+F124+F125</f>
        <v>0</v>
      </c>
      <c r="L124" s="149" t="n">
        <f aca="false">H124+H125</f>
        <v>0</v>
      </c>
      <c r="M124" s="149" t="n">
        <f aca="false">K124-L124</f>
        <v>0</v>
      </c>
      <c r="N124" s="129" t="e">
        <f aca="false">L124/K124</f>
        <v>#DIV/0!</v>
      </c>
    </row>
    <row r="125" customFormat="false" ht="14.4" hidden="false" customHeight="false" outlineLevel="0" collapsed="false">
      <c r="A125" s="155"/>
      <c r="B125" s="156"/>
      <c r="C125" s="124" t="n">
        <v>39356</v>
      </c>
      <c r="D125" s="125" t="n">
        <v>39447</v>
      </c>
      <c r="E125" s="62" t="n">
        <v>0.217</v>
      </c>
      <c r="F125" s="63" t="n">
        <f aca="false">-0.217</f>
        <v>-0.217</v>
      </c>
      <c r="G125" s="62" t="n">
        <f aca="false">E125+F125+I124</f>
        <v>0</v>
      </c>
      <c r="H125" s="62" t="n">
        <v>0</v>
      </c>
      <c r="I125" s="63" t="n">
        <f aca="false">G125-H125</f>
        <v>0</v>
      </c>
      <c r="J125" s="64" t="e">
        <f aca="false">H125/G125</f>
        <v>#DIV/0!</v>
      </c>
      <c r="K125" s="149"/>
      <c r="L125" s="149"/>
      <c r="M125" s="149"/>
      <c r="N125" s="129"/>
    </row>
    <row r="126" customFormat="false" ht="14.4" hidden="false" customHeight="true" outlineLevel="0" collapsed="false">
      <c r="A126" s="155"/>
      <c r="B126" s="159" t="s">
        <v>68</v>
      </c>
      <c r="C126" s="119" t="n">
        <v>39083</v>
      </c>
      <c r="D126" s="120" t="n">
        <v>39355</v>
      </c>
      <c r="E126" s="93" t="n">
        <v>4175.499</v>
      </c>
      <c r="F126" s="95" t="n">
        <f aca="false">-900</f>
        <v>-900</v>
      </c>
      <c r="G126" s="93" t="n">
        <f aca="false">E126+F126</f>
        <v>3275.499</v>
      </c>
      <c r="H126" s="93" t="n">
        <v>3308.091</v>
      </c>
      <c r="I126" s="95" t="n">
        <f aca="false">G126-H126</f>
        <v>-32.5920000000001</v>
      </c>
      <c r="J126" s="96" t="n">
        <f aca="false">H126/G126</f>
        <v>1.00995023964288</v>
      </c>
      <c r="K126" s="151" t="n">
        <f aca="false">E126+E127+F126+F127</f>
        <v>3345.073</v>
      </c>
      <c r="L126" s="151" t="n">
        <f aca="false">H126+H127</f>
        <v>3318.091</v>
      </c>
      <c r="M126" s="151" t="n">
        <f aca="false">K126-L126</f>
        <v>26.9819999999995</v>
      </c>
      <c r="N126" s="128" t="n">
        <f aca="false">L126/K126</f>
        <v>0.991933808320476</v>
      </c>
    </row>
    <row r="127" customFormat="false" ht="14.4" hidden="false" customHeight="false" outlineLevel="0" collapsed="false">
      <c r="A127" s="155"/>
      <c r="B127" s="159"/>
      <c r="C127" s="124" t="n">
        <v>39356</v>
      </c>
      <c r="D127" s="125" t="n">
        <v>39447</v>
      </c>
      <c r="E127" s="93" t="n">
        <v>219.574</v>
      </c>
      <c r="F127" s="63" t="n">
        <f aca="false">-33.958-116.042</f>
        <v>-150</v>
      </c>
      <c r="G127" s="93" t="n">
        <f aca="false">E127+F127+I126</f>
        <v>36.9819999999999</v>
      </c>
      <c r="H127" s="93" t="n">
        <v>10</v>
      </c>
      <c r="I127" s="93" t="n">
        <f aca="false">G127-H127</f>
        <v>26.9819999999999</v>
      </c>
      <c r="J127" s="96" t="n">
        <f aca="false">H127/G127</f>
        <v>0.270401817100212</v>
      </c>
      <c r="K127" s="151"/>
      <c r="L127" s="151"/>
      <c r="M127" s="151"/>
      <c r="N127" s="128"/>
    </row>
    <row r="128" customFormat="false" ht="14.4" hidden="false" customHeight="true" outlineLevel="0" collapsed="false">
      <c r="A128" s="155"/>
      <c r="B128" s="156" t="s">
        <v>69</v>
      </c>
      <c r="C128" s="119" t="n">
        <v>39083</v>
      </c>
      <c r="D128" s="120" t="n">
        <v>39355</v>
      </c>
      <c r="E128" s="55" t="n">
        <v>568.757</v>
      </c>
      <c r="F128" s="55"/>
      <c r="G128" s="55" t="n">
        <f aca="false">E128+F128</f>
        <v>568.757</v>
      </c>
      <c r="H128" s="55" t="n">
        <v>584.369</v>
      </c>
      <c r="I128" s="56" t="n">
        <f aca="false">G128-H128</f>
        <v>-15.6120000000001</v>
      </c>
      <c r="J128" s="57" t="n">
        <f aca="false">H128/G128</f>
        <v>1.02744933249173</v>
      </c>
      <c r="K128" s="149" t="n">
        <f aca="false">E128+E129+F128+F129</f>
        <v>898.666</v>
      </c>
      <c r="L128" s="149" t="n">
        <f aca="false">H128+H129</f>
        <v>584.369</v>
      </c>
      <c r="M128" s="149" t="n">
        <f aca="false">K128-L128</f>
        <v>314.297</v>
      </c>
      <c r="N128" s="86" t="n">
        <f aca="false">L128/K128</f>
        <v>0.650262722746827</v>
      </c>
    </row>
    <row r="129" customFormat="false" ht="14.4" hidden="false" customHeight="false" outlineLevel="0" collapsed="false">
      <c r="A129" s="155"/>
      <c r="B129" s="156"/>
      <c r="C129" s="124" t="n">
        <v>39356</v>
      </c>
      <c r="D129" s="125" t="n">
        <v>39447</v>
      </c>
      <c r="E129" s="62" t="n">
        <v>29.909</v>
      </c>
      <c r="F129" s="130" t="n">
        <f aca="false">300</f>
        <v>300</v>
      </c>
      <c r="G129" s="62" t="n">
        <f aca="false">E129+F129+I128</f>
        <v>314.297</v>
      </c>
      <c r="H129" s="62"/>
      <c r="I129" s="62" t="n">
        <f aca="false">G129-H129</f>
        <v>314.297</v>
      </c>
      <c r="J129" s="64" t="n">
        <f aca="false">H129/G129</f>
        <v>0</v>
      </c>
      <c r="K129" s="149"/>
      <c r="L129" s="149"/>
      <c r="M129" s="149"/>
      <c r="N129" s="86"/>
    </row>
    <row r="130" customFormat="false" ht="14.4" hidden="false" customHeight="true" outlineLevel="0" collapsed="false">
      <c r="A130" s="155"/>
      <c r="B130" s="158" t="s">
        <v>93</v>
      </c>
      <c r="C130" s="119" t="n">
        <v>39083</v>
      </c>
      <c r="D130" s="120" t="n">
        <v>39355</v>
      </c>
      <c r="E130" s="93" t="n">
        <v>0</v>
      </c>
      <c r="F130" s="94"/>
      <c r="G130" s="93" t="n">
        <f aca="false">E130+F130</f>
        <v>0</v>
      </c>
      <c r="H130" s="93"/>
      <c r="I130" s="93" t="n">
        <f aca="false">G130-H130</f>
        <v>0</v>
      </c>
      <c r="J130" s="96" t="e">
        <f aca="false">H130/G130</f>
        <v>#DIV/0!</v>
      </c>
      <c r="K130" s="161" t="n">
        <f aca="false">E130+E131+F130+F131</f>
        <v>0</v>
      </c>
      <c r="L130" s="161" t="n">
        <f aca="false">H130+H131</f>
        <v>0</v>
      </c>
      <c r="M130" s="161" t="n">
        <f aca="false">K130-L130</f>
        <v>0</v>
      </c>
      <c r="N130" s="162" t="e">
        <f aca="false">L130/K130</f>
        <v>#DIV/0!</v>
      </c>
    </row>
    <row r="131" customFormat="false" ht="14.4" hidden="false" customHeight="false" outlineLevel="0" collapsed="false">
      <c r="A131" s="155"/>
      <c r="B131" s="158"/>
      <c r="C131" s="124" t="n">
        <v>39356</v>
      </c>
      <c r="D131" s="125" t="n">
        <v>39447</v>
      </c>
      <c r="E131" s="62" t="n">
        <v>0</v>
      </c>
      <c r="F131" s="130"/>
      <c r="G131" s="62" t="n">
        <f aca="false">E131+F131+I130</f>
        <v>0</v>
      </c>
      <c r="H131" s="62"/>
      <c r="I131" s="62" t="n">
        <f aca="false">G131-H131</f>
        <v>0</v>
      </c>
      <c r="J131" s="64" t="e">
        <f aca="false">H131/G131</f>
        <v>#DIV/0!</v>
      </c>
      <c r="K131" s="161"/>
      <c r="L131" s="161"/>
      <c r="M131" s="161"/>
      <c r="N131" s="162"/>
    </row>
    <row r="132" customFormat="false" ht="14.4" hidden="false" customHeight="true" outlineLevel="0" collapsed="false">
      <c r="A132" s="155"/>
      <c r="B132" s="163" t="s">
        <v>70</v>
      </c>
      <c r="C132" s="119" t="n">
        <v>39083</v>
      </c>
      <c r="D132" s="120" t="n">
        <v>39355</v>
      </c>
      <c r="E132" s="133" t="n">
        <v>0</v>
      </c>
      <c r="F132" s="100" t="n">
        <f aca="false">48.443</f>
        <v>48.443</v>
      </c>
      <c r="G132" s="55" t="n">
        <f aca="false">E132+F132</f>
        <v>48.443</v>
      </c>
      <c r="H132" s="55" t="n">
        <v>3.605</v>
      </c>
      <c r="I132" s="55" t="n">
        <f aca="false">G132-H132</f>
        <v>44.838</v>
      </c>
      <c r="J132" s="57" t="n">
        <f aca="false">H132/G132</f>
        <v>0.0744173564808125</v>
      </c>
      <c r="K132" s="164" t="n">
        <f aca="false">E132+E133+F132+F133</f>
        <v>48.443</v>
      </c>
      <c r="L132" s="164" t="n">
        <f aca="false">H132+H133</f>
        <v>3.605</v>
      </c>
      <c r="M132" s="164" t="n">
        <f aca="false">K132-L132</f>
        <v>44.838</v>
      </c>
      <c r="N132" s="162" t="n">
        <f aca="false">L132/K132</f>
        <v>0.0744173564808125</v>
      </c>
    </row>
    <row r="133" customFormat="false" ht="14.4" hidden="false" customHeight="false" outlineLevel="0" collapsed="false">
      <c r="A133" s="155"/>
      <c r="B133" s="163"/>
      <c r="C133" s="124" t="n">
        <v>39356</v>
      </c>
      <c r="D133" s="125" t="n">
        <v>39447</v>
      </c>
      <c r="E133" s="138" t="n">
        <v>0</v>
      </c>
      <c r="F133" s="130"/>
      <c r="G133" s="62" t="n">
        <f aca="false">E133+F133+I132</f>
        <v>44.838</v>
      </c>
      <c r="H133" s="62"/>
      <c r="I133" s="62" t="n">
        <f aca="false">G133-H133</f>
        <v>44.838</v>
      </c>
      <c r="J133" s="64" t="n">
        <f aca="false">H133/G133</f>
        <v>0</v>
      </c>
      <c r="K133" s="164"/>
      <c r="L133" s="164"/>
      <c r="M133" s="164"/>
      <c r="N133" s="162"/>
    </row>
    <row r="134" customFormat="false" ht="14.4" hidden="false" customHeight="false" outlineLevel="0" collapsed="false">
      <c r="A134" s="165"/>
      <c r="B134" s="166"/>
      <c r="C134" s="74"/>
      <c r="D134" s="74"/>
      <c r="E134" s="75"/>
      <c r="F134" s="142"/>
      <c r="G134" s="75"/>
      <c r="H134" s="75"/>
      <c r="I134" s="75"/>
      <c r="J134" s="77"/>
      <c r="K134" s="154"/>
      <c r="L134" s="154"/>
      <c r="M134" s="154"/>
      <c r="N134" s="80"/>
    </row>
    <row r="135" customFormat="false" ht="14.4" hidden="false" customHeight="false" outlineLevel="0" collapsed="false">
      <c r="A135" s="6"/>
      <c r="B135" s="6"/>
      <c r="C135" s="81"/>
      <c r="D135" s="81"/>
      <c r="E135" s="81"/>
      <c r="F135" s="81"/>
      <c r="G135" s="81"/>
      <c r="H135" s="81"/>
      <c r="I135" s="76"/>
      <c r="J135" s="82"/>
      <c r="K135" s="1"/>
      <c r="L135" s="1"/>
      <c r="M135" s="1"/>
      <c r="N135" s="1"/>
    </row>
    <row r="136" customFormat="false" ht="15" hidden="false" customHeight="true" outlineLevel="0" collapsed="false">
      <c r="A136" s="155" t="s">
        <v>94</v>
      </c>
      <c r="B136" s="167" t="s">
        <v>73</v>
      </c>
      <c r="C136" s="119" t="n">
        <v>39083</v>
      </c>
      <c r="D136" s="120" t="n">
        <v>40816</v>
      </c>
      <c r="E136" s="55" t="n">
        <v>18407.664</v>
      </c>
      <c r="F136" s="100" t="n">
        <f aca="false">1421.419+514.297+2404.493+54.043+40.4</f>
        <v>4434.652</v>
      </c>
      <c r="G136" s="55" t="n">
        <f aca="false">E136+F136</f>
        <v>22842.316</v>
      </c>
      <c r="H136" s="55" t="n">
        <v>23951.199</v>
      </c>
      <c r="I136" s="168" t="n">
        <f aca="false">G136-H136</f>
        <v>-1108.883</v>
      </c>
      <c r="J136" s="57" t="n">
        <f aca="false">H136/G136</f>
        <v>1.04854512125653</v>
      </c>
      <c r="K136" s="169" t="n">
        <f aca="false">E136+E137+F136+F137</f>
        <v>26795.225</v>
      </c>
      <c r="L136" s="169" t="n">
        <f aca="false">H136+H137</f>
        <v>26439.7</v>
      </c>
      <c r="M136" s="170" t="n">
        <f aca="false">K136-L136</f>
        <v>355.524999999998</v>
      </c>
      <c r="N136" s="157" t="n">
        <f aca="false">L136/K136</f>
        <v>0.986731777770107</v>
      </c>
    </row>
    <row r="137" customFormat="false" ht="15" hidden="false" customHeight="true" outlineLevel="0" collapsed="false">
      <c r="A137" s="155"/>
      <c r="B137" s="167"/>
      <c r="C137" s="124" t="n">
        <v>40817</v>
      </c>
      <c r="D137" s="125" t="n">
        <v>40908</v>
      </c>
      <c r="E137" s="62" t="n">
        <v>968.874</v>
      </c>
      <c r="F137" s="130" t="n">
        <f aca="false">74.815+27.07+126.559+2.844+345+128.247+106.5+673+1500</f>
        <v>2984.035</v>
      </c>
      <c r="G137" s="62" t="n">
        <f aca="false">E137+F137+I136</f>
        <v>2844.026</v>
      </c>
      <c r="H137" s="62" t="n">
        <v>2488.501</v>
      </c>
      <c r="I137" s="171" t="n">
        <f aca="false">G137-H137</f>
        <v>355.524999999998</v>
      </c>
      <c r="J137" s="57" t="n">
        <f aca="false">H137/G137</f>
        <v>0.874992352390591</v>
      </c>
      <c r="K137" s="169"/>
      <c r="L137" s="169"/>
      <c r="M137" s="170"/>
      <c r="N137" s="157"/>
    </row>
    <row r="138" customFormat="false" ht="15" hidden="false" customHeight="true" outlineLevel="0" collapsed="false">
      <c r="A138" s="155"/>
      <c r="B138" s="167" t="s">
        <v>74</v>
      </c>
      <c r="C138" s="119" t="n">
        <v>39083</v>
      </c>
      <c r="D138" s="120" t="n">
        <v>40816</v>
      </c>
      <c r="E138" s="55" t="n">
        <v>262.47</v>
      </c>
      <c r="F138" s="56" t="n">
        <f aca="false">-262.47</f>
        <v>-262.47</v>
      </c>
      <c r="G138" s="55" t="n">
        <f aca="false">E138+F138</f>
        <v>0</v>
      </c>
      <c r="H138" s="55"/>
      <c r="I138" s="172" t="n">
        <f aca="false">G138-H138</f>
        <v>0</v>
      </c>
      <c r="J138" s="57" t="e">
        <f aca="false">H138/G138</f>
        <v>#DIV/0!</v>
      </c>
      <c r="K138" s="169" t="n">
        <f aca="false">E138+E139+F138+F139</f>
        <v>0</v>
      </c>
      <c r="L138" s="169" t="n">
        <f aca="false">H138+H139</f>
        <v>0</v>
      </c>
      <c r="M138" s="170" t="n">
        <f aca="false">K138-L138</f>
        <v>0</v>
      </c>
      <c r="N138" s="86" t="e">
        <f aca="false">L138/K138</f>
        <v>#DIV/0!</v>
      </c>
    </row>
    <row r="139" customFormat="false" ht="15" hidden="false" customHeight="true" outlineLevel="0" collapsed="false">
      <c r="A139" s="155"/>
      <c r="B139" s="167"/>
      <c r="C139" s="124" t="n">
        <v>40817</v>
      </c>
      <c r="D139" s="125" t="n">
        <v>40908</v>
      </c>
      <c r="E139" s="62" t="n">
        <v>13.815</v>
      </c>
      <c r="F139" s="63" t="n">
        <f aca="false">-13.815</f>
        <v>-13.815</v>
      </c>
      <c r="G139" s="62" t="n">
        <f aca="false">E139+F139+I138</f>
        <v>0</v>
      </c>
      <c r="H139" s="62"/>
      <c r="I139" s="171" t="n">
        <f aca="false">G139-H139</f>
        <v>0</v>
      </c>
      <c r="J139" s="57" t="e">
        <f aca="false">H139/G139</f>
        <v>#DIV/0!</v>
      </c>
      <c r="K139" s="169"/>
      <c r="L139" s="169"/>
      <c r="M139" s="170"/>
      <c r="N139" s="86"/>
    </row>
    <row r="140" customFormat="false" ht="14.4" hidden="false" customHeight="true" outlineLevel="0" collapsed="false">
      <c r="A140" s="155"/>
      <c r="B140" s="167" t="s">
        <v>64</v>
      </c>
      <c r="C140" s="119" t="n">
        <v>39083</v>
      </c>
      <c r="D140" s="120" t="n">
        <v>40816</v>
      </c>
      <c r="E140" s="55" t="n">
        <v>41205.985</v>
      </c>
      <c r="F140" s="100" t="n">
        <f aca="false">1100</f>
        <v>1100</v>
      </c>
      <c r="G140" s="55" t="n">
        <f aca="false">E140+F140</f>
        <v>42305.985</v>
      </c>
      <c r="H140" s="55" t="n">
        <v>43854.765</v>
      </c>
      <c r="I140" s="172" t="n">
        <f aca="false">G140-H140</f>
        <v>-1548.78</v>
      </c>
      <c r="J140" s="57" t="n">
        <f aca="false">H140/G140</f>
        <v>1.03660900461247</v>
      </c>
      <c r="K140" s="169" t="n">
        <f aca="false">E140+E141+F140+F141</f>
        <v>47674.833</v>
      </c>
      <c r="L140" s="169" t="n">
        <f aca="false">H140+H141</f>
        <v>46534.742</v>
      </c>
      <c r="M140" s="170" t="n">
        <f aca="false">K140-L140</f>
        <v>1140.091</v>
      </c>
      <c r="N140" s="157" t="n">
        <f aca="false">L140/K140</f>
        <v>0.976086103961812</v>
      </c>
    </row>
    <row r="141" customFormat="false" ht="14.4" hidden="false" customHeight="false" outlineLevel="0" collapsed="false">
      <c r="A141" s="155"/>
      <c r="B141" s="167"/>
      <c r="C141" s="124" t="n">
        <v>40817</v>
      </c>
      <c r="D141" s="125" t="n">
        <v>40908</v>
      </c>
      <c r="E141" s="62" t="n">
        <v>2168.848</v>
      </c>
      <c r="F141" s="130" t="n">
        <f aca="false">200+3000</f>
        <v>3200</v>
      </c>
      <c r="G141" s="62" t="n">
        <f aca="false">E141+F141+I140</f>
        <v>3820.068</v>
      </c>
      <c r="H141" s="62" t="n">
        <v>2679.977</v>
      </c>
      <c r="I141" s="171" t="n">
        <f aca="false">G141-H141</f>
        <v>1140.091</v>
      </c>
      <c r="J141" s="57" t="n">
        <f aca="false">H141/G141</f>
        <v>0.701552171322605</v>
      </c>
      <c r="K141" s="169"/>
      <c r="L141" s="169"/>
      <c r="M141" s="170"/>
      <c r="N141" s="157"/>
    </row>
    <row r="142" customFormat="false" ht="14.4" hidden="false" customHeight="true" outlineLevel="0" collapsed="false">
      <c r="A142" s="155"/>
      <c r="B142" s="167" t="s">
        <v>69</v>
      </c>
      <c r="C142" s="119" t="n">
        <v>39083</v>
      </c>
      <c r="D142" s="120" t="n">
        <v>40816</v>
      </c>
      <c r="E142" s="55" t="n">
        <v>34334.117</v>
      </c>
      <c r="F142" s="100" t="n">
        <f aca="false">146.792+510.56+150.265+190</f>
        <v>997.617</v>
      </c>
      <c r="G142" s="55" t="n">
        <f aca="false">E142+F142</f>
        <v>35331.734</v>
      </c>
      <c r="H142" s="55" t="n">
        <v>36846.813</v>
      </c>
      <c r="I142" s="172" t="n">
        <f aca="false">G142-H142</f>
        <v>-1515.07900000001</v>
      </c>
      <c r="J142" s="57" t="n">
        <f aca="false">H142/G142</f>
        <v>1.04288153533591</v>
      </c>
      <c r="K142" s="169" t="n">
        <f aca="false">E142+E143+F142+F143</f>
        <v>42758.78</v>
      </c>
      <c r="L142" s="169" t="n">
        <f aca="false">H142+H143</f>
        <v>38878.449</v>
      </c>
      <c r="M142" s="170" t="n">
        <f aca="false">K142-L142</f>
        <v>3880.331</v>
      </c>
      <c r="N142" s="157" t="n">
        <f aca="false">L142/K142</f>
        <v>0.909250661501568</v>
      </c>
      <c r="P142" s="0" t="s">
        <v>95</v>
      </c>
    </row>
    <row r="143" customFormat="false" ht="14.4" hidden="false" customHeight="false" outlineLevel="0" collapsed="false">
      <c r="A143" s="155"/>
      <c r="B143" s="167"/>
      <c r="C143" s="124" t="n">
        <v>40817</v>
      </c>
      <c r="D143" s="125" t="n">
        <v>40908</v>
      </c>
      <c r="E143" s="62" t="n">
        <v>1807.152</v>
      </c>
      <c r="F143" s="130" t="n">
        <f aca="false">1520.294+2000+399.6+1700</f>
        <v>5619.894</v>
      </c>
      <c r="G143" s="62" t="n">
        <f aca="false">E143+F143+I142</f>
        <v>5911.967</v>
      </c>
      <c r="H143" s="62" t="n">
        <v>2031.636</v>
      </c>
      <c r="I143" s="171" t="n">
        <f aca="false">G143-H143</f>
        <v>3880.331</v>
      </c>
      <c r="J143" s="57" t="n">
        <f aca="false">H143/G143</f>
        <v>0.343648061634986</v>
      </c>
      <c r="K143" s="169"/>
      <c r="L143" s="169"/>
      <c r="M143" s="170"/>
      <c r="N143" s="157"/>
    </row>
    <row r="144" customFormat="false" ht="14.4" hidden="false" customHeight="true" outlineLevel="0" collapsed="false">
      <c r="A144" s="155"/>
      <c r="B144" s="167" t="s">
        <v>91</v>
      </c>
      <c r="C144" s="119" t="n">
        <v>39083</v>
      </c>
      <c r="D144" s="120" t="n">
        <v>40816</v>
      </c>
      <c r="E144" s="55" t="n">
        <v>485.031</v>
      </c>
      <c r="F144" s="56" t="n">
        <f aca="false">-485.031</f>
        <v>-485.031</v>
      </c>
      <c r="G144" s="55" t="n">
        <f aca="false">E144+F144</f>
        <v>0</v>
      </c>
      <c r="H144" s="55"/>
      <c r="I144" s="172" t="n">
        <f aca="false">G144-H144</f>
        <v>0</v>
      </c>
      <c r="J144" s="57" t="e">
        <f aca="false">H144/G144</f>
        <v>#DIV/0!</v>
      </c>
      <c r="K144" s="169" t="n">
        <f aca="false">E144+E145+F144+F145</f>
        <v>0</v>
      </c>
      <c r="L144" s="169" t="n">
        <f aca="false">H144+H145</f>
        <v>0</v>
      </c>
      <c r="M144" s="170" t="n">
        <f aca="false">K144-L144</f>
        <v>0</v>
      </c>
      <c r="N144" s="86" t="e">
        <f aca="false">L144/K144</f>
        <v>#DIV/0!</v>
      </c>
    </row>
    <row r="145" customFormat="false" ht="14.4" hidden="false" customHeight="false" outlineLevel="0" collapsed="false">
      <c r="A145" s="155"/>
      <c r="B145" s="167"/>
      <c r="C145" s="124" t="n">
        <v>40817</v>
      </c>
      <c r="D145" s="125" t="n">
        <v>40908</v>
      </c>
      <c r="E145" s="62" t="n">
        <v>25.529</v>
      </c>
      <c r="F145" s="63" t="n">
        <f aca="false">-25.529</f>
        <v>-25.529</v>
      </c>
      <c r="G145" s="62" t="n">
        <f aca="false">E145+F145+I144</f>
        <v>0</v>
      </c>
      <c r="H145" s="62"/>
      <c r="I145" s="171" t="n">
        <f aca="false">G145-H145</f>
        <v>0</v>
      </c>
      <c r="J145" s="57" t="e">
        <f aca="false">H145/G145</f>
        <v>#DIV/0!</v>
      </c>
      <c r="K145" s="169"/>
      <c r="L145" s="169"/>
      <c r="M145" s="170"/>
      <c r="N145" s="86"/>
    </row>
    <row r="146" customFormat="false" ht="15" hidden="false" customHeight="true" outlineLevel="0" collapsed="false">
      <c r="A146" s="155"/>
      <c r="B146" s="167" t="s">
        <v>75</v>
      </c>
      <c r="C146" s="119" t="n">
        <v>39083</v>
      </c>
      <c r="D146" s="120" t="n">
        <v>40816</v>
      </c>
      <c r="E146" s="55" t="n">
        <v>7686.716</v>
      </c>
      <c r="F146" s="56" t="n">
        <f aca="false">-2000.578+1008.541</f>
        <v>-992.037</v>
      </c>
      <c r="G146" s="55" t="n">
        <f aca="false">E146+F146</f>
        <v>6694.679</v>
      </c>
      <c r="H146" s="55" t="n">
        <v>6996.63</v>
      </c>
      <c r="I146" s="172" t="n">
        <f aca="false">G146-H146</f>
        <v>-301.951</v>
      </c>
      <c r="J146" s="57" t="n">
        <f aca="false">H146/G146</f>
        <v>1.04510313339893</v>
      </c>
      <c r="K146" s="169" t="n">
        <f aca="false">E146+E147+F146+F147</f>
        <v>7099.264</v>
      </c>
      <c r="L146" s="169" t="n">
        <f aca="false">H146+H147</f>
        <v>6996.63</v>
      </c>
      <c r="M146" s="170" t="n">
        <f aca="false">K146-L146</f>
        <v>102.634</v>
      </c>
      <c r="N146" s="157" t="n">
        <f aca="false">L146/K146</f>
        <v>0.985543008401998</v>
      </c>
    </row>
    <row r="147" customFormat="false" ht="15" hidden="false" customHeight="true" outlineLevel="0" collapsed="false">
      <c r="A147" s="155"/>
      <c r="B147" s="167"/>
      <c r="C147" s="124" t="n">
        <v>40817</v>
      </c>
      <c r="D147" s="125" t="n">
        <v>40908</v>
      </c>
      <c r="E147" s="62" t="n">
        <v>404.585</v>
      </c>
      <c r="F147" s="63"/>
      <c r="G147" s="62" t="n">
        <f aca="false">E147+F147+I146</f>
        <v>102.634</v>
      </c>
      <c r="H147" s="62"/>
      <c r="I147" s="171" t="n">
        <f aca="false">G147-H147</f>
        <v>102.634</v>
      </c>
      <c r="J147" s="57" t="n">
        <f aca="false">H147/G147</f>
        <v>0</v>
      </c>
      <c r="K147" s="169"/>
      <c r="L147" s="169"/>
      <c r="M147" s="170"/>
      <c r="N147" s="157"/>
    </row>
    <row r="148" customFormat="false" ht="14.4" hidden="false" customHeight="true" outlineLevel="0" collapsed="false">
      <c r="A148" s="155"/>
      <c r="B148" s="167" t="s">
        <v>59</v>
      </c>
      <c r="C148" s="119" t="n">
        <v>39083</v>
      </c>
      <c r="D148" s="120" t="n">
        <v>40816</v>
      </c>
      <c r="E148" s="55" t="n">
        <v>0</v>
      </c>
      <c r="F148" s="56"/>
      <c r="G148" s="55" t="n">
        <f aca="false">E148+F148</f>
        <v>0</v>
      </c>
      <c r="H148" s="55"/>
      <c r="I148" s="172" t="n">
        <f aca="false">G148-H148</f>
        <v>0</v>
      </c>
      <c r="J148" s="57" t="e">
        <f aca="false">H148/G148</f>
        <v>#DIV/0!</v>
      </c>
      <c r="K148" s="169" t="n">
        <f aca="false">E148+E149+F148+F149</f>
        <v>0</v>
      </c>
      <c r="L148" s="169" t="n">
        <f aca="false">H148+H149</f>
        <v>0</v>
      </c>
      <c r="M148" s="170" t="n">
        <f aca="false">K148-L148</f>
        <v>0</v>
      </c>
      <c r="N148" s="86" t="e">
        <f aca="false">L148/K148</f>
        <v>#DIV/0!</v>
      </c>
    </row>
    <row r="149" customFormat="false" ht="14.4" hidden="false" customHeight="false" outlineLevel="0" collapsed="false">
      <c r="A149" s="155"/>
      <c r="B149" s="167"/>
      <c r="C149" s="124" t="n">
        <v>40817</v>
      </c>
      <c r="D149" s="125" t="n">
        <v>40908</v>
      </c>
      <c r="E149" s="62" t="n">
        <v>0</v>
      </c>
      <c r="F149" s="63"/>
      <c r="G149" s="62" t="n">
        <f aca="false">E149+F149+I148</f>
        <v>0</v>
      </c>
      <c r="H149" s="62"/>
      <c r="I149" s="171" t="n">
        <f aca="false">G149-H149</f>
        <v>0</v>
      </c>
      <c r="J149" s="57" t="e">
        <f aca="false">H149/G149</f>
        <v>#DIV/0!</v>
      </c>
      <c r="K149" s="169"/>
      <c r="L149" s="169"/>
      <c r="M149" s="170"/>
      <c r="N149" s="86"/>
    </row>
    <row r="150" customFormat="false" ht="14.4" hidden="false" customHeight="true" outlineLevel="0" collapsed="false">
      <c r="A150" s="155"/>
      <c r="B150" s="167" t="s">
        <v>96</v>
      </c>
      <c r="C150" s="119" t="n">
        <v>39083</v>
      </c>
      <c r="D150" s="120" t="n">
        <v>40816</v>
      </c>
      <c r="E150" s="55" t="n">
        <v>5.627</v>
      </c>
      <c r="F150" s="56" t="n">
        <f aca="false">-5.627</f>
        <v>-5.627</v>
      </c>
      <c r="G150" s="55" t="n">
        <f aca="false">E150+F150</f>
        <v>0</v>
      </c>
      <c r="H150" s="55"/>
      <c r="I150" s="172" t="n">
        <f aca="false">G150-H150</f>
        <v>0</v>
      </c>
      <c r="J150" s="57" t="e">
        <f aca="false">H150/G150</f>
        <v>#DIV/0!</v>
      </c>
      <c r="K150" s="169" t="n">
        <f aca="false">E150+E151+F150+F151</f>
        <v>0</v>
      </c>
      <c r="L150" s="169" t="n">
        <f aca="false">H150+H151</f>
        <v>0</v>
      </c>
      <c r="M150" s="170" t="n">
        <f aca="false">K150-L150</f>
        <v>0</v>
      </c>
      <c r="N150" s="86" t="e">
        <f aca="false">L150/K150</f>
        <v>#DIV/0!</v>
      </c>
    </row>
    <row r="151" customFormat="false" ht="14.4" hidden="false" customHeight="false" outlineLevel="0" collapsed="false">
      <c r="A151" s="155"/>
      <c r="B151" s="167"/>
      <c r="C151" s="124" t="n">
        <v>40817</v>
      </c>
      <c r="D151" s="125" t="n">
        <v>40908</v>
      </c>
      <c r="E151" s="62" t="n">
        <v>0.296</v>
      </c>
      <c r="F151" s="63" t="n">
        <f aca="false">-0.296</f>
        <v>-0.296</v>
      </c>
      <c r="G151" s="62" t="n">
        <f aca="false">E151+F151+I150</f>
        <v>0</v>
      </c>
      <c r="H151" s="62"/>
      <c r="I151" s="171" t="n">
        <f aca="false">G151-H151</f>
        <v>0</v>
      </c>
      <c r="J151" s="57" t="e">
        <f aca="false">H151/G151</f>
        <v>#DIV/0!</v>
      </c>
      <c r="K151" s="169"/>
      <c r="L151" s="169"/>
      <c r="M151" s="170"/>
      <c r="N151" s="86"/>
    </row>
    <row r="152" customFormat="false" ht="14.4" hidden="false" customHeight="true" outlineLevel="0" collapsed="false">
      <c r="A152" s="155"/>
      <c r="B152" s="167" t="s">
        <v>97</v>
      </c>
      <c r="C152" s="119" t="n">
        <v>39083</v>
      </c>
      <c r="D152" s="120" t="n">
        <v>40816</v>
      </c>
      <c r="E152" s="55" t="n">
        <v>22.646</v>
      </c>
      <c r="F152" s="56"/>
      <c r="G152" s="55" t="n">
        <f aca="false">E152+F152</f>
        <v>22.646</v>
      </c>
      <c r="H152" s="55"/>
      <c r="I152" s="172" t="n">
        <f aca="false">G152-H152</f>
        <v>22.646</v>
      </c>
      <c r="J152" s="57" t="n">
        <f aca="false">H152/G152</f>
        <v>0</v>
      </c>
      <c r="K152" s="169" t="n">
        <f aca="false">E152+E153+F152+F153</f>
        <v>23.838</v>
      </c>
      <c r="L152" s="169" t="n">
        <f aca="false">H152+H153</f>
        <v>0</v>
      </c>
      <c r="M152" s="170" t="n">
        <f aca="false">K152-L152</f>
        <v>23.838</v>
      </c>
      <c r="N152" s="86" t="n">
        <f aca="false">L152/K152</f>
        <v>0</v>
      </c>
    </row>
    <row r="153" customFormat="false" ht="14.4" hidden="false" customHeight="false" outlineLevel="0" collapsed="false">
      <c r="A153" s="155"/>
      <c r="B153" s="167"/>
      <c r="C153" s="124" t="n">
        <v>40817</v>
      </c>
      <c r="D153" s="125" t="n">
        <v>40908</v>
      </c>
      <c r="E153" s="62" t="n">
        <v>1.192</v>
      </c>
      <c r="F153" s="63"/>
      <c r="G153" s="62" t="n">
        <f aca="false">E153+F153+I152</f>
        <v>23.838</v>
      </c>
      <c r="H153" s="62"/>
      <c r="I153" s="171" t="n">
        <f aca="false">G153-H153</f>
        <v>23.838</v>
      </c>
      <c r="J153" s="57" t="n">
        <f aca="false">H153/G153</f>
        <v>0</v>
      </c>
      <c r="K153" s="169"/>
      <c r="L153" s="169"/>
      <c r="M153" s="170"/>
      <c r="N153" s="86"/>
    </row>
    <row r="154" customFormat="false" ht="14.4" hidden="false" customHeight="true" outlineLevel="0" collapsed="false">
      <c r="A154" s="155"/>
      <c r="B154" s="167" t="s">
        <v>76</v>
      </c>
      <c r="C154" s="119" t="n">
        <v>39083</v>
      </c>
      <c r="D154" s="120" t="n">
        <v>40816</v>
      </c>
      <c r="E154" s="55" t="n">
        <v>16410.142</v>
      </c>
      <c r="F154" s="100" t="n">
        <f aca="false">1300-40.4+400</f>
        <v>1659.6</v>
      </c>
      <c r="G154" s="55" t="n">
        <f aca="false">E154+F154</f>
        <v>18069.742</v>
      </c>
      <c r="H154" s="55" t="n">
        <v>18487.574</v>
      </c>
      <c r="I154" s="172" t="n">
        <f aca="false">G154-H154</f>
        <v>-417.832000000002</v>
      </c>
      <c r="J154" s="57" t="n">
        <f aca="false">H154/G154</f>
        <v>1.02312329639239</v>
      </c>
      <c r="K154" s="169" t="n">
        <f aca="false">E154+E155+F154+F155</f>
        <v>21160.04</v>
      </c>
      <c r="L154" s="169" t="n">
        <f aca="false">H154+H155</f>
        <v>20749.35</v>
      </c>
      <c r="M154" s="170" t="n">
        <f aca="false">K154-L154</f>
        <v>410.690000000002</v>
      </c>
      <c r="N154" s="157" t="n">
        <f aca="false">L154/K154</f>
        <v>0.980591246519383</v>
      </c>
      <c r="P154" s="0" t="s">
        <v>98</v>
      </c>
    </row>
    <row r="155" customFormat="false" ht="14.4" hidden="false" customHeight="false" outlineLevel="0" collapsed="false">
      <c r="A155" s="155"/>
      <c r="B155" s="167"/>
      <c r="C155" s="124" t="n">
        <v>40817</v>
      </c>
      <c r="D155" s="125" t="n">
        <v>40908</v>
      </c>
      <c r="E155" s="62" t="n">
        <v>863.736</v>
      </c>
      <c r="F155" s="130" t="n">
        <f aca="false">4.954+48.608+673+1500</f>
        <v>2226.562</v>
      </c>
      <c r="G155" s="62" t="n">
        <f aca="false">E155+F155+I154</f>
        <v>2672.466</v>
      </c>
      <c r="H155" s="62" t="n">
        <v>2261.776</v>
      </c>
      <c r="I155" s="171" t="n">
        <f aca="false">G155-H155</f>
        <v>410.689999999998</v>
      </c>
      <c r="J155" s="57" t="n">
        <f aca="false">H155/G155</f>
        <v>0.846325453719524</v>
      </c>
      <c r="K155" s="169"/>
      <c r="L155" s="169"/>
      <c r="M155" s="170"/>
      <c r="N155" s="157"/>
    </row>
    <row r="156" customFormat="false" ht="14.4" hidden="false" customHeight="true" outlineLevel="0" collapsed="false">
      <c r="A156" s="155"/>
      <c r="B156" s="167" t="s">
        <v>77</v>
      </c>
      <c r="C156" s="119" t="n">
        <v>39083</v>
      </c>
      <c r="D156" s="120" t="n">
        <v>40816</v>
      </c>
      <c r="E156" s="55" t="n">
        <v>26.305</v>
      </c>
      <c r="F156" s="56" t="n">
        <f aca="false">-26.305</f>
        <v>-26.305</v>
      </c>
      <c r="G156" s="55" t="n">
        <f aca="false">E156+F156</f>
        <v>0</v>
      </c>
      <c r="H156" s="55"/>
      <c r="I156" s="172" t="n">
        <f aca="false">G156-H156</f>
        <v>0</v>
      </c>
      <c r="J156" s="57" t="e">
        <f aca="false">H156/G156</f>
        <v>#DIV/0!</v>
      </c>
      <c r="K156" s="169" t="n">
        <f aca="false">E156+E157+F156+F157</f>
        <v>0</v>
      </c>
      <c r="L156" s="169" t="n">
        <f aca="false">H156+H157</f>
        <v>0</v>
      </c>
      <c r="M156" s="170" t="n">
        <f aca="false">K156-L156</f>
        <v>0</v>
      </c>
      <c r="N156" s="86" t="e">
        <f aca="false">L156/K156</f>
        <v>#DIV/0!</v>
      </c>
    </row>
    <row r="157" customFormat="false" ht="14.4" hidden="false" customHeight="false" outlineLevel="0" collapsed="false">
      <c r="A157" s="155"/>
      <c r="B157" s="167"/>
      <c r="C157" s="124" t="n">
        <v>40817</v>
      </c>
      <c r="D157" s="125" t="n">
        <v>40908</v>
      </c>
      <c r="E157" s="62" t="n">
        <v>1.385</v>
      </c>
      <c r="F157" s="63" t="n">
        <f aca="false">-1.385</f>
        <v>-1.385</v>
      </c>
      <c r="G157" s="62" t="n">
        <f aca="false">E157+F157+I156</f>
        <v>0</v>
      </c>
      <c r="H157" s="62"/>
      <c r="I157" s="171" t="n">
        <f aca="false">G157-H157</f>
        <v>0</v>
      </c>
      <c r="J157" s="57" t="e">
        <f aca="false">H157/G157</f>
        <v>#DIV/0!</v>
      </c>
      <c r="K157" s="169"/>
      <c r="L157" s="169"/>
      <c r="M157" s="170"/>
      <c r="N157" s="86"/>
    </row>
    <row r="158" customFormat="false" ht="14.4" hidden="false" customHeight="true" outlineLevel="0" collapsed="false">
      <c r="A158" s="155"/>
      <c r="B158" s="167" t="s">
        <v>78</v>
      </c>
      <c r="C158" s="119" t="n">
        <v>39083</v>
      </c>
      <c r="D158" s="120" t="n">
        <v>40816</v>
      </c>
      <c r="E158" s="55" t="n">
        <v>31.13</v>
      </c>
      <c r="F158" s="56" t="n">
        <f aca="false">-31.13</f>
        <v>-31.13</v>
      </c>
      <c r="G158" s="55" t="n">
        <f aca="false">E158+F158</f>
        <v>0</v>
      </c>
      <c r="H158" s="55"/>
      <c r="I158" s="172" t="n">
        <f aca="false">G158-H158</f>
        <v>0</v>
      </c>
      <c r="J158" s="57" t="e">
        <f aca="false">H158/G158</f>
        <v>#DIV/0!</v>
      </c>
      <c r="K158" s="169" t="n">
        <f aca="false">E158+E159+F158+F159</f>
        <v>0</v>
      </c>
      <c r="L158" s="169" t="n">
        <f aca="false">H158+H159</f>
        <v>0</v>
      </c>
      <c r="M158" s="170" t="n">
        <f aca="false">K158-L158</f>
        <v>0</v>
      </c>
      <c r="N158" s="86" t="e">
        <f aca="false">L158/K158</f>
        <v>#DIV/0!</v>
      </c>
    </row>
    <row r="159" customFormat="false" ht="14.4" hidden="false" customHeight="false" outlineLevel="0" collapsed="false">
      <c r="A159" s="155"/>
      <c r="B159" s="167"/>
      <c r="C159" s="124" t="n">
        <v>40817</v>
      </c>
      <c r="D159" s="125" t="n">
        <v>40908</v>
      </c>
      <c r="E159" s="62" t="n">
        <v>1.639</v>
      </c>
      <c r="F159" s="63" t="n">
        <f aca="false">-1.639</f>
        <v>-1.639</v>
      </c>
      <c r="G159" s="62" t="n">
        <f aca="false">E159+F159+I158</f>
        <v>0</v>
      </c>
      <c r="H159" s="62"/>
      <c r="I159" s="171" t="n">
        <f aca="false">G159-H159</f>
        <v>0</v>
      </c>
      <c r="J159" s="57" t="e">
        <f aca="false">H159/G159</f>
        <v>#DIV/0!</v>
      </c>
      <c r="K159" s="169"/>
      <c r="L159" s="169"/>
      <c r="M159" s="170"/>
      <c r="N159" s="86"/>
    </row>
    <row r="160" customFormat="false" ht="14.4" hidden="false" customHeight="true" outlineLevel="0" collapsed="false">
      <c r="A160" s="155"/>
      <c r="B160" s="167" t="s">
        <v>79</v>
      </c>
      <c r="C160" s="119" t="n">
        <v>39083</v>
      </c>
      <c r="D160" s="120" t="n">
        <v>40816</v>
      </c>
      <c r="E160" s="55" t="n">
        <v>1916.274</v>
      </c>
      <c r="F160" s="100" t="n">
        <f aca="false">1400+873.344+2000.578-1008.541</f>
        <v>3265.381</v>
      </c>
      <c r="G160" s="55" t="n">
        <f aca="false">E160+F160</f>
        <v>5181.655</v>
      </c>
      <c r="H160" s="55" t="n">
        <v>5228.588</v>
      </c>
      <c r="I160" s="172" t="n">
        <f aca="false">G160-H160</f>
        <v>-46.9329999999991</v>
      </c>
      <c r="J160" s="57" t="n">
        <f aca="false">H160/G160</f>
        <v>1.0090575308468</v>
      </c>
      <c r="K160" s="169" t="n">
        <f aca="false">E160+E161+F160+F161</f>
        <v>5328.485</v>
      </c>
      <c r="L160" s="169" t="n">
        <f aca="false">H160+H161</f>
        <v>5282.008</v>
      </c>
      <c r="M160" s="173" t="n">
        <f aca="false">K160-L160</f>
        <v>46.4769999999999</v>
      </c>
      <c r="N160" s="157" t="n">
        <f aca="false">L160/K160</f>
        <v>0.991277633323543</v>
      </c>
    </row>
    <row r="161" customFormat="false" ht="14.4" hidden="false" customHeight="false" outlineLevel="0" collapsed="false">
      <c r="A161" s="155"/>
      <c r="B161" s="167"/>
      <c r="C161" s="124" t="n">
        <v>40817</v>
      </c>
      <c r="D161" s="125" t="n">
        <v>40908</v>
      </c>
      <c r="E161" s="62" t="n">
        <v>100.862</v>
      </c>
      <c r="F161" s="130" t="n">
        <f aca="false">45.968</f>
        <v>45.968</v>
      </c>
      <c r="G161" s="62" t="n">
        <f aca="false">E161+F161+I160</f>
        <v>99.8970000000009</v>
      </c>
      <c r="H161" s="62" t="n">
        <v>53.42</v>
      </c>
      <c r="I161" s="171" t="n">
        <f aca="false">G161-H161</f>
        <v>46.4770000000009</v>
      </c>
      <c r="J161" s="57" t="n">
        <f aca="false">H161/G161</f>
        <v>0.534750793317112</v>
      </c>
      <c r="K161" s="169"/>
      <c r="L161" s="169"/>
      <c r="M161" s="173"/>
      <c r="N161" s="157"/>
    </row>
    <row r="162" customFormat="false" ht="14.4" hidden="false" customHeight="true" outlineLevel="0" collapsed="false">
      <c r="A162" s="155"/>
      <c r="B162" s="167" t="s">
        <v>80</v>
      </c>
      <c r="C162" s="119" t="n">
        <v>39083</v>
      </c>
      <c r="D162" s="120" t="n">
        <v>40816</v>
      </c>
      <c r="E162" s="55" t="n">
        <v>1421.419</v>
      </c>
      <c r="F162" s="56" t="n">
        <f aca="false">-1421.419</f>
        <v>-1421.419</v>
      </c>
      <c r="G162" s="55" t="n">
        <f aca="false">E162+F162</f>
        <v>0</v>
      </c>
      <c r="H162" s="55"/>
      <c r="I162" s="172" t="n">
        <f aca="false">G162-H162</f>
        <v>0</v>
      </c>
      <c r="J162" s="57" t="e">
        <f aca="false">H162/G162</f>
        <v>#DIV/0!</v>
      </c>
      <c r="K162" s="169" t="n">
        <f aca="false">E162+E163+F162+F163</f>
        <v>0</v>
      </c>
      <c r="L162" s="169" t="n">
        <f aca="false">H162+H163</f>
        <v>0</v>
      </c>
      <c r="M162" s="170" t="n">
        <f aca="false">K162-L162</f>
        <v>0</v>
      </c>
      <c r="N162" s="86" t="e">
        <f aca="false">L162/K162</f>
        <v>#DIV/0!</v>
      </c>
    </row>
    <row r="163" customFormat="false" ht="14.4" hidden="false" customHeight="false" outlineLevel="0" collapsed="false">
      <c r="A163" s="155"/>
      <c r="B163" s="167"/>
      <c r="C163" s="124" t="n">
        <v>40817</v>
      </c>
      <c r="D163" s="125" t="n">
        <v>40908</v>
      </c>
      <c r="E163" s="62" t="n">
        <v>74.815</v>
      </c>
      <c r="F163" s="63" t="n">
        <f aca="false">-74.815</f>
        <v>-74.815</v>
      </c>
      <c r="G163" s="62" t="n">
        <f aca="false">E163+F163+I162</f>
        <v>0</v>
      </c>
      <c r="H163" s="62"/>
      <c r="I163" s="171" t="n">
        <f aca="false">G163-H163</f>
        <v>0</v>
      </c>
      <c r="J163" s="57" t="e">
        <f aca="false">H163/G163</f>
        <v>#DIV/0!</v>
      </c>
      <c r="K163" s="169"/>
      <c r="L163" s="169"/>
      <c r="M163" s="170"/>
      <c r="N163" s="86"/>
    </row>
    <row r="164" customFormat="false" ht="14.4" hidden="false" customHeight="true" outlineLevel="0" collapsed="false">
      <c r="A164" s="155"/>
      <c r="B164" s="167" t="s">
        <v>81</v>
      </c>
      <c r="C164" s="119" t="n">
        <v>39083</v>
      </c>
      <c r="D164" s="120" t="n">
        <v>40816</v>
      </c>
      <c r="E164" s="55" t="n">
        <v>8145.877</v>
      </c>
      <c r="F164" s="100" t="n">
        <f aca="false">2470.881+31.13+26.305+12.908+5.627+700-145+2300</f>
        <v>5401.851</v>
      </c>
      <c r="G164" s="55" t="n">
        <f aca="false">E164+F164</f>
        <v>13547.728</v>
      </c>
      <c r="H164" s="55" t="n">
        <v>12337.644</v>
      </c>
      <c r="I164" s="172" t="n">
        <f aca="false">G164-H164</f>
        <v>1210.084</v>
      </c>
      <c r="J164" s="57" t="n">
        <f aca="false">H164/G164</f>
        <v>0.910679930981785</v>
      </c>
      <c r="K164" s="169" t="n">
        <f aca="false">E164+E165+F164+F165</f>
        <v>14310.533</v>
      </c>
      <c r="L164" s="169" t="n">
        <f aca="false">H164+H165</f>
        <v>14134.511</v>
      </c>
      <c r="M164" s="170" t="n">
        <f aca="false">K164-L164</f>
        <v>176.021999999999</v>
      </c>
      <c r="N164" s="157" t="n">
        <f aca="false">L164/K164</f>
        <v>0.987699829209716</v>
      </c>
    </row>
    <row r="165" customFormat="false" ht="14.4" hidden="false" customHeight="false" outlineLevel="0" collapsed="false">
      <c r="A165" s="155"/>
      <c r="B165" s="167"/>
      <c r="C165" s="124" t="n">
        <v>40817</v>
      </c>
      <c r="D165" s="125" t="n">
        <v>40908</v>
      </c>
      <c r="E165" s="62" t="n">
        <v>428.753</v>
      </c>
      <c r="F165" s="130" t="n">
        <f aca="false">130.053+1.639+1.385+0.679+0.296+200</f>
        <v>334.052</v>
      </c>
      <c r="G165" s="62" t="n">
        <f aca="false">E165+F165+I164</f>
        <v>1972.889</v>
      </c>
      <c r="H165" s="62" t="n">
        <v>1796.867</v>
      </c>
      <c r="I165" s="171" t="n">
        <f aca="false">G165-H165</f>
        <v>176.021999999999</v>
      </c>
      <c r="J165" s="57" t="n">
        <f aca="false">H165/G165</f>
        <v>0.910779572494956</v>
      </c>
      <c r="K165" s="169"/>
      <c r="L165" s="169"/>
      <c r="M165" s="170"/>
      <c r="N165" s="157"/>
    </row>
    <row r="166" customFormat="false" ht="14.4" hidden="false" customHeight="true" outlineLevel="0" collapsed="false">
      <c r="A166" s="155"/>
      <c r="B166" s="167" t="s">
        <v>99</v>
      </c>
      <c r="C166" s="119" t="n">
        <v>39083</v>
      </c>
      <c r="D166" s="120" t="n">
        <v>40816</v>
      </c>
      <c r="E166" s="55" t="n">
        <v>2470.881</v>
      </c>
      <c r="F166" s="56" t="n">
        <f aca="false">26.305+262.47+5.627+12.908+31.13-2470.881-31.13-26.305-12.908-5.627</f>
        <v>-2208.411</v>
      </c>
      <c r="G166" s="55" t="n">
        <f aca="false">E166+F166</f>
        <v>262.47</v>
      </c>
      <c r="H166" s="55" t="n">
        <v>258.173</v>
      </c>
      <c r="I166" s="172" t="n">
        <f aca="false">G166-H166</f>
        <v>4.29700000000025</v>
      </c>
      <c r="J166" s="57" t="n">
        <f aca="false">H166/G166</f>
        <v>0.983628605173924</v>
      </c>
      <c r="K166" s="169" t="n">
        <f aca="false">E166+E167+F166+F167</f>
        <v>276.285</v>
      </c>
      <c r="L166" s="169" t="n">
        <f aca="false">H166+H167</f>
        <v>258.173</v>
      </c>
      <c r="M166" s="170" t="n">
        <f aca="false">K166-L166</f>
        <v>18.1120000000001</v>
      </c>
      <c r="N166" s="86" t="n">
        <f aca="false">L166/K166</f>
        <v>0.934444504768626</v>
      </c>
    </row>
    <row r="167" customFormat="false" ht="14.4" hidden="false" customHeight="false" outlineLevel="0" collapsed="false">
      <c r="A167" s="155"/>
      <c r="B167" s="167"/>
      <c r="C167" s="124" t="n">
        <v>40817</v>
      </c>
      <c r="D167" s="125" t="n">
        <v>40908</v>
      </c>
      <c r="E167" s="62" t="n">
        <v>130.053</v>
      </c>
      <c r="F167" s="63" t="n">
        <f aca="false">1.385+13.815+0.296+0.679+1.639-130.053-1.639-1.385-0.679-0.296</f>
        <v>-116.238</v>
      </c>
      <c r="G167" s="62" t="n">
        <f aca="false">E167+F167+I166</f>
        <v>18.1120000000002</v>
      </c>
      <c r="H167" s="62"/>
      <c r="I167" s="171" t="n">
        <f aca="false">G167-H167</f>
        <v>18.1120000000002</v>
      </c>
      <c r="J167" s="57" t="n">
        <f aca="false">H167/G167</f>
        <v>0</v>
      </c>
      <c r="K167" s="169"/>
      <c r="L167" s="169"/>
      <c r="M167" s="170"/>
      <c r="N167" s="86"/>
    </row>
    <row r="168" customFormat="false" ht="14.4" hidden="false" customHeight="true" outlineLevel="0" collapsed="false">
      <c r="A168" s="155"/>
      <c r="B168" s="167" t="s">
        <v>83</v>
      </c>
      <c r="C168" s="119" t="n">
        <v>39083</v>
      </c>
      <c r="D168" s="120" t="n">
        <v>40816</v>
      </c>
      <c r="E168" s="55" t="n">
        <v>2404.493</v>
      </c>
      <c r="F168" s="56" t="n">
        <f aca="false">-2404.493</f>
        <v>-2404.493</v>
      </c>
      <c r="G168" s="55" t="n">
        <f aca="false">E168+F168</f>
        <v>0</v>
      </c>
      <c r="H168" s="55"/>
      <c r="I168" s="172" t="n">
        <f aca="false">G168-H168</f>
        <v>0</v>
      </c>
      <c r="J168" s="57" t="e">
        <f aca="false">H168/G168</f>
        <v>#DIV/0!</v>
      </c>
      <c r="K168" s="169" t="n">
        <f aca="false">E168+E169+F168+F169</f>
        <v>0</v>
      </c>
      <c r="L168" s="169" t="n">
        <f aca="false">H168+H169</f>
        <v>0</v>
      </c>
      <c r="M168" s="170" t="n">
        <f aca="false">K168-L168</f>
        <v>0</v>
      </c>
      <c r="N168" s="86" t="e">
        <f aca="false">L168/K168</f>
        <v>#DIV/0!</v>
      </c>
    </row>
    <row r="169" customFormat="false" ht="14.4" hidden="false" customHeight="false" outlineLevel="0" collapsed="false">
      <c r="A169" s="155"/>
      <c r="B169" s="167"/>
      <c r="C169" s="124" t="n">
        <v>40817</v>
      </c>
      <c r="D169" s="125" t="n">
        <v>40908</v>
      </c>
      <c r="E169" s="62" t="n">
        <v>126.559</v>
      </c>
      <c r="F169" s="63" t="n">
        <f aca="false">-126.559</f>
        <v>-126.559</v>
      </c>
      <c r="G169" s="62" t="n">
        <f aca="false">E169+F169+I168</f>
        <v>0</v>
      </c>
      <c r="H169" s="62"/>
      <c r="I169" s="171" t="n">
        <f aca="false">G169-H169</f>
        <v>0</v>
      </c>
      <c r="J169" s="57" t="e">
        <f aca="false">H169/G169</f>
        <v>#DIV/0!</v>
      </c>
      <c r="K169" s="169"/>
      <c r="L169" s="169"/>
      <c r="M169" s="170"/>
      <c r="N169" s="86"/>
    </row>
    <row r="170" customFormat="false" ht="14.4" hidden="false" customHeight="true" outlineLevel="0" collapsed="false">
      <c r="A170" s="155"/>
      <c r="B170" s="167" t="s">
        <v>100</v>
      </c>
      <c r="C170" s="119" t="n">
        <v>39083</v>
      </c>
      <c r="D170" s="120" t="n">
        <v>40816</v>
      </c>
      <c r="E170" s="55" t="n">
        <v>12.908</v>
      </c>
      <c r="F170" s="56" t="n">
        <f aca="false">-12.908</f>
        <v>-12.908</v>
      </c>
      <c r="G170" s="55" t="n">
        <f aca="false">E170+F170</f>
        <v>0</v>
      </c>
      <c r="H170" s="55"/>
      <c r="I170" s="172" t="n">
        <f aca="false">G170-H170</f>
        <v>0</v>
      </c>
      <c r="J170" s="57" t="e">
        <f aca="false">H170/G170</f>
        <v>#DIV/0!</v>
      </c>
      <c r="K170" s="169" t="n">
        <f aca="false">E170+E171+F170+F171</f>
        <v>0</v>
      </c>
      <c r="L170" s="169" t="n">
        <f aca="false">H170+H171</f>
        <v>0</v>
      </c>
      <c r="M170" s="170" t="n">
        <f aca="false">K170-L170</f>
        <v>0</v>
      </c>
      <c r="N170" s="86" t="e">
        <f aca="false">L170/K170</f>
        <v>#DIV/0!</v>
      </c>
    </row>
    <row r="171" customFormat="false" ht="14.4" hidden="false" customHeight="false" outlineLevel="0" collapsed="false">
      <c r="A171" s="155"/>
      <c r="B171" s="167"/>
      <c r="C171" s="124" t="n">
        <v>40817</v>
      </c>
      <c r="D171" s="125" t="n">
        <v>40908</v>
      </c>
      <c r="E171" s="62" t="n">
        <v>0.679</v>
      </c>
      <c r="F171" s="63" t="n">
        <f aca="false">-0.679</f>
        <v>-0.679</v>
      </c>
      <c r="G171" s="62" t="n">
        <f aca="false">E171+F171+I170</f>
        <v>0</v>
      </c>
      <c r="H171" s="62"/>
      <c r="I171" s="171" t="n">
        <f aca="false">G171-H171</f>
        <v>0</v>
      </c>
      <c r="J171" s="57" t="e">
        <f aca="false">H171/G171</f>
        <v>#DIV/0!</v>
      </c>
      <c r="K171" s="169"/>
      <c r="L171" s="169"/>
      <c r="M171" s="170"/>
      <c r="N171" s="86"/>
    </row>
    <row r="172" customFormat="false" ht="14.4" hidden="false" customHeight="true" outlineLevel="0" collapsed="false">
      <c r="A172" s="155"/>
      <c r="B172" s="167" t="s">
        <v>68</v>
      </c>
      <c r="C172" s="119" t="n">
        <v>39083</v>
      </c>
      <c r="D172" s="120" t="n">
        <v>40816</v>
      </c>
      <c r="E172" s="55" t="n">
        <v>37497.433</v>
      </c>
      <c r="F172" s="100" t="n">
        <f aca="false">2500+900+3000</f>
        <v>6400</v>
      </c>
      <c r="G172" s="55" t="n">
        <f aca="false">E172+F172</f>
        <v>43897.433</v>
      </c>
      <c r="H172" s="55" t="n">
        <v>42472.798</v>
      </c>
      <c r="I172" s="172" t="n">
        <f aca="false">G172-H172</f>
        <v>1424.63499999999</v>
      </c>
      <c r="J172" s="57" t="n">
        <f aca="false">H172/G172</f>
        <v>0.967546279984071</v>
      </c>
      <c r="K172" s="169" t="n">
        <f aca="false">E172+E173+F172+F173</f>
        <v>49091.084</v>
      </c>
      <c r="L172" s="169" t="n">
        <f aca="false">H172+H173</f>
        <v>44484.055</v>
      </c>
      <c r="M172" s="170" t="n">
        <f aca="false">K172-L172</f>
        <v>4607.029</v>
      </c>
      <c r="N172" s="86" t="n">
        <f aca="false">L172/K172</f>
        <v>0.906153447334754</v>
      </c>
    </row>
    <row r="173" customFormat="false" ht="14.4" hidden="false" customHeight="false" outlineLevel="0" collapsed="false">
      <c r="A173" s="155"/>
      <c r="B173" s="167"/>
      <c r="C173" s="124" t="n">
        <v>40817</v>
      </c>
      <c r="D173" s="125" t="n">
        <v>40908</v>
      </c>
      <c r="E173" s="62" t="n">
        <v>1973.651</v>
      </c>
      <c r="F173" s="130" t="n">
        <f aca="false">33.958+116.042+70+3000</f>
        <v>3220</v>
      </c>
      <c r="G173" s="62" t="n">
        <f aca="false">E173+F173+I172</f>
        <v>6618.286</v>
      </c>
      <c r="H173" s="62" t="n">
        <v>2011.257</v>
      </c>
      <c r="I173" s="171" t="n">
        <f aca="false">G173-H173</f>
        <v>4607.029</v>
      </c>
      <c r="J173" s="57" t="n">
        <f aca="false">H173/G173</f>
        <v>0.303893938702559</v>
      </c>
      <c r="K173" s="169"/>
      <c r="L173" s="169"/>
      <c r="M173" s="170"/>
      <c r="N173" s="86"/>
    </row>
    <row r="174" customFormat="false" ht="14.4" hidden="false" customHeight="true" outlineLevel="0" collapsed="false">
      <c r="A174" s="155"/>
      <c r="B174" s="167" t="s">
        <v>101</v>
      </c>
      <c r="C174" s="119" t="n">
        <v>39083</v>
      </c>
      <c r="D174" s="120" t="n">
        <v>40816</v>
      </c>
      <c r="E174" s="55" t="n">
        <v>873.344</v>
      </c>
      <c r="F174" s="56" t="n">
        <f aca="false">-873.344</f>
        <v>-873.344</v>
      </c>
      <c r="G174" s="55" t="n">
        <f aca="false">E174+F174</f>
        <v>0</v>
      </c>
      <c r="H174" s="55"/>
      <c r="I174" s="172" t="n">
        <f aca="false">G174-H174</f>
        <v>0</v>
      </c>
      <c r="J174" s="57" t="e">
        <f aca="false">H174/G174</f>
        <v>#DIV/0!</v>
      </c>
      <c r="K174" s="169" t="n">
        <f aca="false">E174+E175+F174+F175</f>
        <v>0</v>
      </c>
      <c r="L174" s="169" t="n">
        <f aca="false">H174+H175</f>
        <v>0</v>
      </c>
      <c r="M174" s="170" t="n">
        <f aca="false">K174-L174</f>
        <v>0</v>
      </c>
      <c r="N174" s="86" t="e">
        <f aca="false">L174/K174</f>
        <v>#DIV/0!</v>
      </c>
    </row>
    <row r="175" customFormat="false" ht="14.4" hidden="false" customHeight="false" outlineLevel="0" collapsed="false">
      <c r="A175" s="155"/>
      <c r="B175" s="167"/>
      <c r="C175" s="124" t="n">
        <v>40817</v>
      </c>
      <c r="D175" s="125" t="n">
        <v>40908</v>
      </c>
      <c r="E175" s="62" t="n">
        <v>45.968</v>
      </c>
      <c r="F175" s="63" t="n">
        <f aca="false">-45.968</f>
        <v>-45.968</v>
      </c>
      <c r="G175" s="62" t="n">
        <f aca="false">E175+F175+I174</f>
        <v>0</v>
      </c>
      <c r="H175" s="62"/>
      <c r="I175" s="171" t="n">
        <f aca="false">G175-H175</f>
        <v>0</v>
      </c>
      <c r="J175" s="57" t="e">
        <f aca="false">H175/G175</f>
        <v>#DIV/0!</v>
      </c>
      <c r="K175" s="169"/>
      <c r="L175" s="169"/>
      <c r="M175" s="170"/>
      <c r="N175" s="86"/>
    </row>
    <row r="176" customFormat="false" ht="14.4" hidden="false" customHeight="true" outlineLevel="0" collapsed="false">
      <c r="A176" s="155"/>
      <c r="B176" s="167" t="s">
        <v>102</v>
      </c>
      <c r="C176" s="119" t="n">
        <v>39083</v>
      </c>
      <c r="D176" s="120" t="n">
        <v>40816</v>
      </c>
      <c r="E176" s="55" t="n">
        <v>514.297</v>
      </c>
      <c r="F176" s="56" t="n">
        <f aca="false">-514.297</f>
        <v>-514.297</v>
      </c>
      <c r="G176" s="55" t="n">
        <f aca="false">E176+F176</f>
        <v>0</v>
      </c>
      <c r="H176" s="55"/>
      <c r="I176" s="172" t="n">
        <f aca="false">G176-H176</f>
        <v>0</v>
      </c>
      <c r="J176" s="57" t="e">
        <f aca="false">H176/G176</f>
        <v>#DIV/0!</v>
      </c>
      <c r="K176" s="169" t="n">
        <f aca="false">E176+E177+F176+F177</f>
        <v>0</v>
      </c>
      <c r="L176" s="169" t="n">
        <f aca="false">H176+H177</f>
        <v>0</v>
      </c>
      <c r="M176" s="170" t="n">
        <f aca="false">K176-L176</f>
        <v>0</v>
      </c>
      <c r="N176" s="86" t="e">
        <f aca="false">L176/K176</f>
        <v>#DIV/0!</v>
      </c>
    </row>
    <row r="177" customFormat="false" ht="14.4" hidden="false" customHeight="false" outlineLevel="0" collapsed="false">
      <c r="A177" s="155"/>
      <c r="B177" s="167"/>
      <c r="C177" s="124" t="n">
        <v>40817</v>
      </c>
      <c r="D177" s="125" t="n">
        <v>40908</v>
      </c>
      <c r="E177" s="62" t="n">
        <v>27.07</v>
      </c>
      <c r="F177" s="63" t="n">
        <f aca="false">-27.07</f>
        <v>-27.07</v>
      </c>
      <c r="G177" s="62" t="n">
        <f aca="false">E177+F177+I176</f>
        <v>0</v>
      </c>
      <c r="H177" s="62"/>
      <c r="I177" s="171" t="n">
        <f aca="false">G177-H177</f>
        <v>0</v>
      </c>
      <c r="J177" s="57" t="e">
        <f aca="false">H177/G177</f>
        <v>#DIV/0!</v>
      </c>
      <c r="K177" s="169"/>
      <c r="L177" s="169"/>
      <c r="M177" s="170"/>
      <c r="N177" s="86"/>
    </row>
    <row r="178" customFormat="false" ht="14.4" hidden="false" customHeight="true" outlineLevel="0" collapsed="false">
      <c r="A178" s="155"/>
      <c r="B178" s="174" t="s">
        <v>103</v>
      </c>
      <c r="C178" s="119" t="n">
        <v>39083</v>
      </c>
      <c r="D178" s="120" t="n">
        <v>40816</v>
      </c>
      <c r="E178" s="55" t="n">
        <v>67.242</v>
      </c>
      <c r="F178" s="56"/>
      <c r="G178" s="55" t="n">
        <f aca="false">E178+F178</f>
        <v>67.242</v>
      </c>
      <c r="H178" s="55"/>
      <c r="I178" s="172" t="n">
        <f aca="false">G178-H178</f>
        <v>67.242</v>
      </c>
      <c r="J178" s="57" t="n">
        <f aca="false">H178/G178</f>
        <v>0</v>
      </c>
      <c r="K178" s="175" t="n">
        <f aca="false">E178+E179+F178+F179</f>
        <v>70.781</v>
      </c>
      <c r="L178" s="175" t="n">
        <f aca="false">H178+H179</f>
        <v>0</v>
      </c>
      <c r="M178" s="176" t="n">
        <f aca="false">K178-L178</f>
        <v>70.781</v>
      </c>
      <c r="N178" s="112" t="n">
        <f aca="false">L178/K178</f>
        <v>0</v>
      </c>
    </row>
    <row r="179" customFormat="false" ht="14.4" hidden="false" customHeight="false" outlineLevel="0" collapsed="false">
      <c r="A179" s="155"/>
      <c r="B179" s="174"/>
      <c r="C179" s="121" t="n">
        <v>40817</v>
      </c>
      <c r="D179" s="122" t="n">
        <v>40908</v>
      </c>
      <c r="E179" s="93" t="n">
        <v>3.539</v>
      </c>
      <c r="F179" s="95"/>
      <c r="G179" s="93" t="n">
        <f aca="false">E179+F179+I178</f>
        <v>70.781</v>
      </c>
      <c r="H179" s="93"/>
      <c r="I179" s="172" t="n">
        <f aca="false">G179-H179</f>
        <v>70.781</v>
      </c>
      <c r="J179" s="57" t="n">
        <f aca="false">H179/G179</f>
        <v>0</v>
      </c>
      <c r="K179" s="175"/>
      <c r="L179" s="175"/>
      <c r="M179" s="176"/>
      <c r="N179" s="112"/>
    </row>
    <row r="180" customFormat="false" ht="14.4" hidden="false" customHeight="true" outlineLevel="0" collapsed="false">
      <c r="A180" s="155"/>
      <c r="B180" s="177" t="s">
        <v>93</v>
      </c>
      <c r="C180" s="119" t="n">
        <v>39083</v>
      </c>
      <c r="D180" s="120" t="n">
        <v>40816</v>
      </c>
      <c r="E180" s="55" t="n">
        <v>0</v>
      </c>
      <c r="F180" s="100"/>
      <c r="G180" s="55" t="n">
        <f aca="false">E180+F180</f>
        <v>0</v>
      </c>
      <c r="H180" s="55"/>
      <c r="I180" s="168" t="n">
        <f aca="false">G180-H180</f>
        <v>0</v>
      </c>
      <c r="J180" s="57" t="e">
        <f aca="false">H180/G180</f>
        <v>#DIV/0!</v>
      </c>
      <c r="K180" s="178" t="n">
        <f aca="false">E180+E181+F180+F181</f>
        <v>0</v>
      </c>
      <c r="L180" s="178" t="n">
        <f aca="false">H180+H181</f>
        <v>0</v>
      </c>
      <c r="M180" s="170" t="n">
        <f aca="false">K180-L180</f>
        <v>0</v>
      </c>
      <c r="N180" s="86" t="e">
        <f aca="false">L180/K180</f>
        <v>#DIV/0!</v>
      </c>
    </row>
    <row r="181" customFormat="false" ht="14.4" hidden="false" customHeight="false" outlineLevel="0" collapsed="false">
      <c r="A181" s="155"/>
      <c r="B181" s="177"/>
      <c r="C181" s="124" t="n">
        <v>40817</v>
      </c>
      <c r="D181" s="125" t="n">
        <v>40908</v>
      </c>
      <c r="E181" s="62" t="n">
        <v>0</v>
      </c>
      <c r="F181" s="130"/>
      <c r="G181" s="62" t="n">
        <f aca="false">E181+F181+I180</f>
        <v>0</v>
      </c>
      <c r="H181" s="62"/>
      <c r="I181" s="171" t="n">
        <f aca="false">G181-H181</f>
        <v>0</v>
      </c>
      <c r="J181" s="64" t="e">
        <f aca="false">H181/G181</f>
        <v>#DIV/0!</v>
      </c>
      <c r="K181" s="178"/>
      <c r="L181" s="178"/>
      <c r="M181" s="170"/>
      <c r="N181" s="86"/>
    </row>
    <row r="182" customFormat="false" ht="14.4" hidden="false" customHeight="true" outlineLevel="0" collapsed="false">
      <c r="A182" s="155"/>
      <c r="B182" s="177" t="s">
        <v>104</v>
      </c>
      <c r="C182" s="119" t="n">
        <v>39083</v>
      </c>
      <c r="D182" s="120" t="n">
        <v>40816</v>
      </c>
      <c r="E182" s="133" t="n">
        <v>0</v>
      </c>
      <c r="F182" s="89" t="n">
        <f aca="false">873.344-873.344</f>
        <v>0</v>
      </c>
      <c r="G182" s="55" t="n">
        <f aca="false">E182+F182</f>
        <v>0</v>
      </c>
      <c r="H182" s="55"/>
      <c r="I182" s="168" t="n">
        <f aca="false">G182-H182</f>
        <v>0</v>
      </c>
      <c r="J182" s="57" t="e">
        <f aca="false">H182/G182</f>
        <v>#DIV/0!</v>
      </c>
      <c r="K182" s="178" t="n">
        <f aca="false">E182+E183+F182+F183</f>
        <v>0</v>
      </c>
      <c r="L182" s="178" t="n">
        <f aca="false">H182+H183</f>
        <v>0</v>
      </c>
      <c r="M182" s="170" t="n">
        <f aca="false">K182-L182</f>
        <v>0</v>
      </c>
      <c r="N182" s="86" t="e">
        <f aca="false">L182/K182</f>
        <v>#DIV/0!</v>
      </c>
    </row>
    <row r="183" customFormat="false" ht="14.4" hidden="false" customHeight="false" outlineLevel="0" collapsed="false">
      <c r="A183" s="155"/>
      <c r="B183" s="177"/>
      <c r="C183" s="124" t="n">
        <v>40817</v>
      </c>
      <c r="D183" s="125" t="n">
        <v>40908</v>
      </c>
      <c r="E183" s="138" t="n">
        <v>0</v>
      </c>
      <c r="F183" s="88" t="n">
        <f aca="false">45.968-45.968</f>
        <v>0</v>
      </c>
      <c r="G183" s="62" t="n">
        <f aca="false">E183+F183+I182</f>
        <v>0</v>
      </c>
      <c r="H183" s="62"/>
      <c r="I183" s="171" t="n">
        <f aca="false">G183-H183</f>
        <v>0</v>
      </c>
      <c r="J183" s="64" t="e">
        <f aca="false">H183/G183</f>
        <v>#DIV/0!</v>
      </c>
      <c r="K183" s="178"/>
      <c r="L183" s="178"/>
      <c r="M183" s="170"/>
      <c r="N183" s="86"/>
    </row>
    <row r="184" customFormat="false" ht="14.4" hidden="false" customHeight="true" outlineLevel="0" collapsed="false">
      <c r="A184" s="155"/>
      <c r="B184" s="177" t="s">
        <v>105</v>
      </c>
      <c r="C184" s="119" t="n">
        <v>39083</v>
      </c>
      <c r="D184" s="120" t="n">
        <v>40816</v>
      </c>
      <c r="E184" s="133" t="n">
        <v>0</v>
      </c>
      <c r="F184" s="55" t="n">
        <v>0</v>
      </c>
      <c r="G184" s="55" t="n">
        <f aca="false">E184+F184</f>
        <v>0</v>
      </c>
      <c r="H184" s="55"/>
      <c r="I184" s="168" t="n">
        <f aca="false">G184-H184</f>
        <v>0</v>
      </c>
      <c r="J184" s="57" t="e">
        <f aca="false">H184/G184</f>
        <v>#DIV/0!</v>
      </c>
      <c r="K184" s="169" t="n">
        <f aca="false">E184+E185+F184+F185</f>
        <v>0</v>
      </c>
      <c r="L184" s="178" t="n">
        <f aca="false">H184+H185</f>
        <v>0</v>
      </c>
      <c r="M184" s="170" t="n">
        <f aca="false">K184-L184</f>
        <v>0</v>
      </c>
      <c r="N184" s="86" t="e">
        <f aca="false">L184/K184</f>
        <v>#DIV/0!</v>
      </c>
    </row>
    <row r="185" customFormat="false" ht="14.4" hidden="false" customHeight="false" outlineLevel="0" collapsed="false">
      <c r="A185" s="155"/>
      <c r="B185" s="177"/>
      <c r="C185" s="124" t="n">
        <v>40817</v>
      </c>
      <c r="D185" s="125" t="n">
        <v>40908</v>
      </c>
      <c r="E185" s="138" t="n">
        <v>0</v>
      </c>
      <c r="F185" s="88" t="n">
        <v>0</v>
      </c>
      <c r="G185" s="62" t="n">
        <f aca="false">E185+F185+I184</f>
        <v>0</v>
      </c>
      <c r="H185" s="62"/>
      <c r="I185" s="171" t="n">
        <f aca="false">G185-H185</f>
        <v>0</v>
      </c>
      <c r="J185" s="64" t="e">
        <f aca="false">H185/G185</f>
        <v>#DIV/0!</v>
      </c>
      <c r="K185" s="169"/>
      <c r="L185" s="178"/>
      <c r="M185" s="170"/>
      <c r="N185" s="86"/>
    </row>
    <row r="186" customFormat="false" ht="14.4" hidden="false" customHeight="true" outlineLevel="0" collapsed="false">
      <c r="A186" s="155"/>
      <c r="B186" s="179" t="s">
        <v>106</v>
      </c>
      <c r="C186" s="119" t="n">
        <v>39083</v>
      </c>
      <c r="D186" s="120" t="n">
        <v>40816</v>
      </c>
      <c r="E186" s="133" t="n">
        <v>0</v>
      </c>
      <c r="F186" s="89" t="n">
        <v>0</v>
      </c>
      <c r="G186" s="55" t="n">
        <f aca="false">E186+F186</f>
        <v>0</v>
      </c>
      <c r="H186" s="55"/>
      <c r="I186" s="168" t="n">
        <f aca="false">G186-H186</f>
        <v>0</v>
      </c>
      <c r="J186" s="57" t="e">
        <f aca="false">H186/G186</f>
        <v>#DIV/0!</v>
      </c>
      <c r="K186" s="178" t="n">
        <f aca="false">E186+E187+F186+F187</f>
        <v>0</v>
      </c>
      <c r="L186" s="178" t="n">
        <f aca="false">H186+H187</f>
        <v>0</v>
      </c>
      <c r="M186" s="170" t="n">
        <f aca="false">K186-L186</f>
        <v>0</v>
      </c>
      <c r="N186" s="86" t="e">
        <f aca="false">L186/K186</f>
        <v>#DIV/0!</v>
      </c>
    </row>
    <row r="187" customFormat="false" ht="14.4" hidden="false" customHeight="false" outlineLevel="0" collapsed="false">
      <c r="A187" s="155"/>
      <c r="B187" s="179"/>
      <c r="C187" s="124" t="n">
        <v>40817</v>
      </c>
      <c r="D187" s="125" t="n">
        <v>40908</v>
      </c>
      <c r="E187" s="138" t="n">
        <v>0</v>
      </c>
      <c r="F187" s="88" t="n">
        <f aca="false">45.968-45.968</f>
        <v>0</v>
      </c>
      <c r="G187" s="62" t="n">
        <f aca="false">E187+F187+I186</f>
        <v>0</v>
      </c>
      <c r="H187" s="62"/>
      <c r="I187" s="171" t="n">
        <f aca="false">G187-H187</f>
        <v>0</v>
      </c>
      <c r="J187" s="64" t="e">
        <f aca="false">H187/G187</f>
        <v>#DIV/0!</v>
      </c>
      <c r="K187" s="178"/>
      <c r="L187" s="178"/>
      <c r="M187" s="170"/>
      <c r="N187" s="86"/>
    </row>
    <row r="188" customFormat="false" ht="14.4" hidden="false" customHeight="true" outlineLevel="0" collapsed="false">
      <c r="A188" s="155"/>
      <c r="B188" s="179" t="s">
        <v>107</v>
      </c>
      <c r="C188" s="119" t="n">
        <v>39083</v>
      </c>
      <c r="D188" s="120" t="n">
        <v>40816</v>
      </c>
      <c r="E188" s="133" t="n">
        <v>0</v>
      </c>
      <c r="F188" s="89" t="n">
        <v>0</v>
      </c>
      <c r="G188" s="55" t="n">
        <f aca="false">E188+F188</f>
        <v>0</v>
      </c>
      <c r="H188" s="55"/>
      <c r="I188" s="168" t="n">
        <f aca="false">G188-H188</f>
        <v>0</v>
      </c>
      <c r="J188" s="57" t="e">
        <f aca="false">H188/G188</f>
        <v>#DIV/0!</v>
      </c>
      <c r="K188" s="178" t="n">
        <f aca="false">E188+E189+F188+F189</f>
        <v>0</v>
      </c>
      <c r="L188" s="178" t="n">
        <f aca="false">H188+H189</f>
        <v>0</v>
      </c>
      <c r="M188" s="170" t="n">
        <f aca="false">K188-L188</f>
        <v>0</v>
      </c>
      <c r="N188" s="86" t="e">
        <f aca="false">L188/K188</f>
        <v>#DIV/0!</v>
      </c>
    </row>
    <row r="189" customFormat="false" ht="14.4" hidden="false" customHeight="false" outlineLevel="0" collapsed="false">
      <c r="A189" s="155"/>
      <c r="B189" s="179"/>
      <c r="C189" s="124" t="n">
        <v>40817</v>
      </c>
      <c r="D189" s="125" t="n">
        <v>40908</v>
      </c>
      <c r="E189" s="138" t="n">
        <v>0</v>
      </c>
      <c r="F189" s="88" t="n">
        <f aca="false">45.968-45.968</f>
        <v>0</v>
      </c>
      <c r="G189" s="62" t="n">
        <f aca="false">E189+F189+I188</f>
        <v>0</v>
      </c>
      <c r="H189" s="62"/>
      <c r="I189" s="171" t="n">
        <f aca="false">G189-H189</f>
        <v>0</v>
      </c>
      <c r="J189" s="64" t="e">
        <f aca="false">H189/G189</f>
        <v>#DIV/0!</v>
      </c>
      <c r="K189" s="178"/>
      <c r="L189" s="178"/>
      <c r="M189" s="170"/>
      <c r="N189" s="86"/>
    </row>
    <row r="190" customFormat="false" ht="14.4" hidden="false" customHeight="true" outlineLevel="0" collapsed="false">
      <c r="A190" s="155"/>
      <c r="B190" s="179" t="s">
        <v>108</v>
      </c>
      <c r="C190" s="119" t="n">
        <v>39083</v>
      </c>
      <c r="D190" s="120" t="n">
        <v>40816</v>
      </c>
      <c r="E190" s="133" t="n">
        <v>0</v>
      </c>
      <c r="F190" s="89" t="n">
        <v>0</v>
      </c>
      <c r="G190" s="55" t="n">
        <f aca="false">E190+F190</f>
        <v>0</v>
      </c>
      <c r="H190" s="55"/>
      <c r="I190" s="168" t="n">
        <f aca="false">G190-H190</f>
        <v>0</v>
      </c>
      <c r="J190" s="57" t="e">
        <f aca="false">H190/G190</f>
        <v>#DIV/0!</v>
      </c>
      <c r="K190" s="178" t="n">
        <f aca="false">E190+E191+F190+F191</f>
        <v>0</v>
      </c>
      <c r="L190" s="178" t="n">
        <f aca="false">H190+H191</f>
        <v>0</v>
      </c>
      <c r="M190" s="170" t="n">
        <f aca="false">K190-L190</f>
        <v>0</v>
      </c>
      <c r="N190" s="86" t="e">
        <f aca="false">L190/K190</f>
        <v>#DIV/0!</v>
      </c>
    </row>
    <row r="191" customFormat="false" ht="14.4" hidden="false" customHeight="false" outlineLevel="0" collapsed="false">
      <c r="A191" s="155"/>
      <c r="B191" s="179"/>
      <c r="C191" s="124" t="n">
        <v>40817</v>
      </c>
      <c r="D191" s="125" t="n">
        <v>40908</v>
      </c>
      <c r="E191" s="138" t="n">
        <v>0</v>
      </c>
      <c r="F191" s="88" t="n">
        <f aca="false">45.968-45.968</f>
        <v>0</v>
      </c>
      <c r="G191" s="62" t="n">
        <f aca="false">E191+F191+I190</f>
        <v>0</v>
      </c>
      <c r="H191" s="62"/>
      <c r="I191" s="171" t="n">
        <f aca="false">G191-H191</f>
        <v>0</v>
      </c>
      <c r="J191" s="64" t="e">
        <f aca="false">H191/G191</f>
        <v>#DIV/0!</v>
      </c>
      <c r="K191" s="178"/>
      <c r="L191" s="178"/>
      <c r="M191" s="170"/>
      <c r="N191" s="86"/>
    </row>
    <row r="192" customFormat="false" ht="14.4" hidden="false" customHeight="true" outlineLevel="0" collapsed="false">
      <c r="A192" s="155"/>
      <c r="B192" s="179" t="s">
        <v>109</v>
      </c>
      <c r="C192" s="119" t="n">
        <v>39083</v>
      </c>
      <c r="D192" s="120" t="n">
        <v>40816</v>
      </c>
      <c r="E192" s="133" t="n">
        <v>0</v>
      </c>
      <c r="F192" s="89" t="n">
        <v>0</v>
      </c>
      <c r="G192" s="55" t="n">
        <f aca="false">E192+F192</f>
        <v>0</v>
      </c>
      <c r="H192" s="55"/>
      <c r="I192" s="168" t="n">
        <f aca="false">G192-H192</f>
        <v>0</v>
      </c>
      <c r="J192" s="57" t="e">
        <f aca="false">H192/G192</f>
        <v>#DIV/0!</v>
      </c>
      <c r="K192" s="178" t="n">
        <f aca="false">E192+E193+F192+F193</f>
        <v>0</v>
      </c>
      <c r="L192" s="178" t="n">
        <f aca="false">H192+H193</f>
        <v>0</v>
      </c>
      <c r="M192" s="170" t="n">
        <f aca="false">K192-L192</f>
        <v>0</v>
      </c>
      <c r="N192" s="86" t="e">
        <f aca="false">L192/K192</f>
        <v>#DIV/0!</v>
      </c>
    </row>
    <row r="193" customFormat="false" ht="14.4" hidden="false" customHeight="false" outlineLevel="0" collapsed="false">
      <c r="A193" s="155"/>
      <c r="B193" s="179"/>
      <c r="C193" s="124" t="n">
        <v>40817</v>
      </c>
      <c r="D193" s="125" t="n">
        <v>40908</v>
      </c>
      <c r="E193" s="138" t="n">
        <v>0</v>
      </c>
      <c r="F193" s="88" t="n">
        <f aca="false">45.968-45.968</f>
        <v>0</v>
      </c>
      <c r="G193" s="62" t="n">
        <f aca="false">E193+F193+I192</f>
        <v>0</v>
      </c>
      <c r="H193" s="62"/>
      <c r="I193" s="171" t="n">
        <f aca="false">G193-H193</f>
        <v>0</v>
      </c>
      <c r="J193" s="64" t="e">
        <f aca="false">H193/G193</f>
        <v>#DIV/0!</v>
      </c>
      <c r="K193" s="178"/>
      <c r="L193" s="178"/>
      <c r="M193" s="170"/>
      <c r="N193" s="86"/>
    </row>
    <row r="194" customFormat="false" ht="14.4" hidden="false" customHeight="true" outlineLevel="0" collapsed="false">
      <c r="A194" s="155"/>
      <c r="B194" s="179" t="s">
        <v>110</v>
      </c>
      <c r="C194" s="119" t="n">
        <v>39083</v>
      </c>
      <c r="D194" s="120" t="n">
        <v>40816</v>
      </c>
      <c r="E194" s="133" t="n">
        <v>0</v>
      </c>
      <c r="F194" s="89" t="n">
        <v>0</v>
      </c>
      <c r="G194" s="55" t="n">
        <f aca="false">E194+F194</f>
        <v>0</v>
      </c>
      <c r="H194" s="55"/>
      <c r="I194" s="168" t="n">
        <f aca="false">G194-H194</f>
        <v>0</v>
      </c>
      <c r="J194" s="57" t="e">
        <f aca="false">H194/G194</f>
        <v>#DIV/0!</v>
      </c>
      <c r="K194" s="178" t="n">
        <f aca="false">E194+E195+F194+F195</f>
        <v>0</v>
      </c>
      <c r="L194" s="178" t="n">
        <f aca="false">H194+H195</f>
        <v>0</v>
      </c>
      <c r="M194" s="170" t="n">
        <f aca="false">K194-L194</f>
        <v>0</v>
      </c>
      <c r="N194" s="86" t="e">
        <f aca="false">L194/K194</f>
        <v>#DIV/0!</v>
      </c>
    </row>
    <row r="195" customFormat="false" ht="14.4" hidden="false" customHeight="false" outlineLevel="0" collapsed="false">
      <c r="A195" s="155"/>
      <c r="B195" s="179"/>
      <c r="C195" s="124" t="n">
        <v>40817</v>
      </c>
      <c r="D195" s="125" t="n">
        <v>40908</v>
      </c>
      <c r="E195" s="138" t="n">
        <v>0</v>
      </c>
      <c r="F195" s="88" t="n">
        <f aca="false">45.968-45.968</f>
        <v>0</v>
      </c>
      <c r="G195" s="62" t="n">
        <f aca="false">E195+F195+I194</f>
        <v>0</v>
      </c>
      <c r="H195" s="62"/>
      <c r="I195" s="171" t="n">
        <f aca="false">G195-H195</f>
        <v>0</v>
      </c>
      <c r="J195" s="64" t="e">
        <f aca="false">H195/G195</f>
        <v>#DIV/0!</v>
      </c>
      <c r="K195" s="178"/>
      <c r="L195" s="178"/>
      <c r="M195" s="170"/>
      <c r="N195" s="86"/>
    </row>
    <row r="196" customFormat="false" ht="14.4" hidden="false" customHeight="true" outlineLevel="0" collapsed="false">
      <c r="A196" s="155"/>
      <c r="B196" s="179" t="s">
        <v>111</v>
      </c>
      <c r="C196" s="119" t="n">
        <v>39083</v>
      </c>
      <c r="D196" s="120" t="n">
        <v>40816</v>
      </c>
      <c r="E196" s="133" t="n">
        <v>0</v>
      </c>
      <c r="F196" s="89" t="n">
        <v>0</v>
      </c>
      <c r="G196" s="55" t="n">
        <f aca="false">E196+F196</f>
        <v>0</v>
      </c>
      <c r="H196" s="55"/>
      <c r="I196" s="168" t="n">
        <f aca="false">G196-H196</f>
        <v>0</v>
      </c>
      <c r="J196" s="57" t="e">
        <f aca="false">H196/G196</f>
        <v>#DIV/0!</v>
      </c>
      <c r="K196" s="178" t="n">
        <f aca="false">E196+E197+F196+F197</f>
        <v>0</v>
      </c>
      <c r="L196" s="178" t="n">
        <f aca="false">H196+H197</f>
        <v>0</v>
      </c>
      <c r="M196" s="170" t="n">
        <f aca="false">K196-L196</f>
        <v>0</v>
      </c>
      <c r="N196" s="86" t="e">
        <f aca="false">L196/K196</f>
        <v>#DIV/0!</v>
      </c>
    </row>
    <row r="197" customFormat="false" ht="14.4" hidden="false" customHeight="false" outlineLevel="0" collapsed="false">
      <c r="A197" s="155"/>
      <c r="B197" s="179"/>
      <c r="C197" s="124" t="n">
        <v>40817</v>
      </c>
      <c r="D197" s="125" t="n">
        <v>40908</v>
      </c>
      <c r="E197" s="138" t="n">
        <v>0</v>
      </c>
      <c r="F197" s="88" t="n">
        <f aca="false">45.968-45.968</f>
        <v>0</v>
      </c>
      <c r="G197" s="62" t="n">
        <f aca="false">E197+F197+I196</f>
        <v>0</v>
      </c>
      <c r="H197" s="62"/>
      <c r="I197" s="171" t="n">
        <f aca="false">G197-H197</f>
        <v>0</v>
      </c>
      <c r="J197" s="64" t="e">
        <f aca="false">H197/G197</f>
        <v>#DIV/0!</v>
      </c>
      <c r="K197" s="178"/>
      <c r="L197" s="178"/>
      <c r="M197" s="170"/>
      <c r="N197" s="86"/>
    </row>
    <row r="198" customFormat="false" ht="14.4" hidden="false" customHeight="true" outlineLevel="0" collapsed="false">
      <c r="A198" s="155"/>
      <c r="B198" s="179" t="s">
        <v>112</v>
      </c>
      <c r="C198" s="119" t="n">
        <v>39083</v>
      </c>
      <c r="D198" s="120" t="n">
        <v>40816</v>
      </c>
      <c r="E198" s="133" t="n">
        <v>0</v>
      </c>
      <c r="F198" s="89" t="n">
        <v>0</v>
      </c>
      <c r="G198" s="55" t="n">
        <f aca="false">E198+F198</f>
        <v>0</v>
      </c>
      <c r="H198" s="55"/>
      <c r="I198" s="168" t="n">
        <f aca="false">G198-H198</f>
        <v>0</v>
      </c>
      <c r="J198" s="57" t="e">
        <f aca="false">H198/G198</f>
        <v>#DIV/0!</v>
      </c>
      <c r="K198" s="178" t="n">
        <f aca="false">E198+E199+F198+F199</f>
        <v>0</v>
      </c>
      <c r="L198" s="178" t="n">
        <f aca="false">H198+H199</f>
        <v>0</v>
      </c>
      <c r="M198" s="170" t="n">
        <f aca="false">K198-L198</f>
        <v>0</v>
      </c>
      <c r="N198" s="86" t="e">
        <f aca="false">L198/K198</f>
        <v>#DIV/0!</v>
      </c>
    </row>
    <row r="199" customFormat="false" ht="14.4" hidden="false" customHeight="false" outlineLevel="0" collapsed="false">
      <c r="A199" s="155"/>
      <c r="B199" s="179"/>
      <c r="C199" s="124" t="n">
        <v>40817</v>
      </c>
      <c r="D199" s="125" t="n">
        <v>40908</v>
      </c>
      <c r="E199" s="138" t="n">
        <v>0</v>
      </c>
      <c r="F199" s="88" t="n">
        <f aca="false">45.968-45.968</f>
        <v>0</v>
      </c>
      <c r="G199" s="62" t="n">
        <f aca="false">E199+F199+I198</f>
        <v>0</v>
      </c>
      <c r="H199" s="62"/>
      <c r="I199" s="171" t="n">
        <f aca="false">G199-H199</f>
        <v>0</v>
      </c>
      <c r="J199" s="64" t="e">
        <f aca="false">H199/G199</f>
        <v>#DIV/0!</v>
      </c>
      <c r="K199" s="178"/>
      <c r="L199" s="178"/>
      <c r="M199" s="170"/>
      <c r="N199" s="86"/>
    </row>
    <row r="200" customFormat="false" ht="14.4" hidden="false" customHeight="false" outlineLevel="0" collapsed="false">
      <c r="A200" s="165"/>
      <c r="B200" s="180"/>
      <c r="C200" s="74"/>
      <c r="D200" s="74"/>
      <c r="E200" s="75"/>
      <c r="F200" s="181"/>
      <c r="G200" s="75"/>
      <c r="H200" s="75"/>
      <c r="I200" s="75"/>
      <c r="J200" s="77"/>
      <c r="K200" s="182"/>
      <c r="L200" s="182"/>
      <c r="M200" s="182"/>
      <c r="N200" s="80"/>
    </row>
    <row r="201" customFormat="false" ht="14.4" hidden="false" customHeight="false" outlineLevel="0" collapsed="false">
      <c r="A201" s="6"/>
      <c r="B201" s="6"/>
      <c r="C201" s="81"/>
      <c r="D201" s="81"/>
      <c r="E201" s="81"/>
      <c r="F201" s="81"/>
      <c r="G201" s="81"/>
      <c r="H201" s="81"/>
      <c r="I201" s="76"/>
      <c r="J201" s="82"/>
      <c r="K201" s="6"/>
      <c r="L201" s="6"/>
      <c r="M201" s="6"/>
      <c r="N201" s="6"/>
    </row>
    <row r="202" customFormat="false" ht="15" hidden="false" customHeight="true" outlineLevel="0" collapsed="false">
      <c r="A202" s="183" t="s">
        <v>113</v>
      </c>
      <c r="B202" s="184" t="s">
        <v>73</v>
      </c>
      <c r="C202" s="119" t="n">
        <v>39083</v>
      </c>
      <c r="D202" s="120" t="n">
        <v>40816</v>
      </c>
      <c r="E202" s="55" t="n">
        <v>2597.06</v>
      </c>
      <c r="F202" s="100" t="n">
        <f aca="false">100+900+148.236</f>
        <v>1148.236</v>
      </c>
      <c r="G202" s="55" t="n">
        <f aca="false">E202+F202</f>
        <v>3745.296</v>
      </c>
      <c r="H202" s="55" t="n">
        <v>3789.595</v>
      </c>
      <c r="I202" s="168" t="n">
        <f aca="false">G202-H202</f>
        <v>-44.299</v>
      </c>
      <c r="J202" s="185" t="n">
        <f aca="false">H202/G202</f>
        <v>1.01182790358893</v>
      </c>
      <c r="K202" s="186" t="n">
        <f aca="false">E202+E203+F202+F203</f>
        <v>3790.96673</v>
      </c>
      <c r="L202" s="186" t="n">
        <f aca="false">H202+H203</f>
        <v>3789.595</v>
      </c>
      <c r="M202" s="186" t="n">
        <f aca="false">K202-L202</f>
        <v>1.3717300000003</v>
      </c>
      <c r="N202" s="157" t="n">
        <f aca="false">L202/K202</f>
        <v>0.999638158259437</v>
      </c>
      <c r="P202" s="0" t="s">
        <v>114</v>
      </c>
    </row>
    <row r="203" customFormat="false" ht="15" hidden="false" customHeight="true" outlineLevel="0" collapsed="false">
      <c r="A203" s="183"/>
      <c r="B203" s="184"/>
      <c r="C203" s="124" t="n">
        <v>40817</v>
      </c>
      <c r="D203" s="125" t="n">
        <v>40908</v>
      </c>
      <c r="E203" s="62" t="n">
        <v>136.648</v>
      </c>
      <c r="F203" s="63" t="n">
        <f aca="false">15.52273-106.5</f>
        <v>-90.97727</v>
      </c>
      <c r="G203" s="62" t="n">
        <f aca="false">E203+F203+I202</f>
        <v>1.37173000000001</v>
      </c>
      <c r="H203" s="62"/>
      <c r="I203" s="171" t="n">
        <f aca="false">G203-H203</f>
        <v>1.37173000000001</v>
      </c>
      <c r="J203" s="187" t="n">
        <f aca="false">H203/G203</f>
        <v>0</v>
      </c>
      <c r="K203" s="186"/>
      <c r="L203" s="186"/>
      <c r="M203" s="186"/>
      <c r="N203" s="157"/>
    </row>
    <row r="204" customFormat="false" ht="15" hidden="false" customHeight="true" outlineLevel="0" collapsed="false">
      <c r="A204" s="183"/>
      <c r="B204" s="188" t="s">
        <v>63</v>
      </c>
      <c r="C204" s="119" t="n">
        <v>39083</v>
      </c>
      <c r="D204" s="120" t="n">
        <v>40816</v>
      </c>
      <c r="E204" s="55" t="n">
        <v>24.818</v>
      </c>
      <c r="F204" s="55"/>
      <c r="G204" s="55" t="n">
        <f aca="false">E204+F204</f>
        <v>24.818</v>
      </c>
      <c r="H204" s="55"/>
      <c r="I204" s="168" t="n">
        <f aca="false">G204-H204</f>
        <v>24.818</v>
      </c>
      <c r="J204" s="185" t="n">
        <f aca="false">H204/G204</f>
        <v>0</v>
      </c>
      <c r="K204" s="186" t="n">
        <f aca="false">E204+E205+F204+F205</f>
        <v>26.124</v>
      </c>
      <c r="L204" s="186" t="n">
        <f aca="false">H204+H205</f>
        <v>0</v>
      </c>
      <c r="M204" s="186" t="n">
        <f aca="false">K204-L204</f>
        <v>26.124</v>
      </c>
      <c r="N204" s="86" t="n">
        <f aca="false">L204/K204</f>
        <v>0</v>
      </c>
    </row>
    <row r="205" customFormat="false" ht="15" hidden="false" customHeight="true" outlineLevel="0" collapsed="false">
      <c r="A205" s="183"/>
      <c r="B205" s="188"/>
      <c r="C205" s="124" t="n">
        <v>40817</v>
      </c>
      <c r="D205" s="125" t="n">
        <v>40908</v>
      </c>
      <c r="E205" s="62" t="n">
        <v>1.306</v>
      </c>
      <c r="F205" s="62"/>
      <c r="G205" s="62" t="n">
        <f aca="false">E205+F205+I204</f>
        <v>26.124</v>
      </c>
      <c r="H205" s="62"/>
      <c r="I205" s="171" t="n">
        <f aca="false">G205-H205</f>
        <v>26.124</v>
      </c>
      <c r="J205" s="187" t="n">
        <f aca="false">H205/G205</f>
        <v>0</v>
      </c>
      <c r="K205" s="186"/>
      <c r="L205" s="186"/>
      <c r="M205" s="186"/>
      <c r="N205" s="86"/>
    </row>
    <row r="206" customFormat="false" ht="15" hidden="false" customHeight="true" outlineLevel="0" collapsed="false">
      <c r="A206" s="183"/>
      <c r="B206" s="184" t="s">
        <v>74</v>
      </c>
      <c r="C206" s="119" t="n">
        <v>39083</v>
      </c>
      <c r="D206" s="120" t="n">
        <v>40816</v>
      </c>
      <c r="E206" s="55" t="n">
        <v>22.449</v>
      </c>
      <c r="F206" s="56" t="n">
        <f aca="false">-22.449</f>
        <v>-22.449</v>
      </c>
      <c r="G206" s="55" t="n">
        <f aca="false">E206+F206</f>
        <v>0</v>
      </c>
      <c r="H206" s="55"/>
      <c r="I206" s="168" t="n">
        <f aca="false">G206-H206</f>
        <v>0</v>
      </c>
      <c r="J206" s="185" t="e">
        <f aca="false">H206/G206</f>
        <v>#DIV/0!</v>
      </c>
      <c r="K206" s="186" t="n">
        <f aca="false">E206+E207+F206+F207</f>
        <v>0</v>
      </c>
      <c r="L206" s="186" t="n">
        <f aca="false">H206+H207</f>
        <v>0</v>
      </c>
      <c r="M206" s="186" t="n">
        <f aca="false">K206-L206</f>
        <v>0</v>
      </c>
      <c r="N206" s="86" t="e">
        <f aca="false">L206/K206</f>
        <v>#DIV/0!</v>
      </c>
    </row>
    <row r="207" customFormat="false" ht="15" hidden="false" customHeight="true" outlineLevel="0" collapsed="false">
      <c r="A207" s="183"/>
      <c r="B207" s="184"/>
      <c r="C207" s="124" t="n">
        <v>40817</v>
      </c>
      <c r="D207" s="125" t="n">
        <v>40908</v>
      </c>
      <c r="E207" s="62" t="n">
        <v>1.181</v>
      </c>
      <c r="F207" s="63" t="n">
        <f aca="false">-1.181</f>
        <v>-1.181</v>
      </c>
      <c r="G207" s="62" t="n">
        <f aca="false">E207+F207+I206</f>
        <v>0</v>
      </c>
      <c r="H207" s="62"/>
      <c r="I207" s="171" t="n">
        <f aca="false">G207-H207</f>
        <v>0</v>
      </c>
      <c r="J207" s="187" t="e">
        <f aca="false">H207/G207</f>
        <v>#DIV/0!</v>
      </c>
      <c r="K207" s="186"/>
      <c r="L207" s="186"/>
      <c r="M207" s="186"/>
      <c r="N207" s="86"/>
    </row>
    <row r="208" customFormat="false" ht="14.4" hidden="false" customHeight="true" outlineLevel="0" collapsed="false">
      <c r="A208" s="183"/>
      <c r="B208" s="189" t="s">
        <v>115</v>
      </c>
      <c r="C208" s="121" t="n">
        <v>39083</v>
      </c>
      <c r="D208" s="122" t="n">
        <v>40816</v>
      </c>
      <c r="E208" s="93" t="n">
        <v>197.996</v>
      </c>
      <c r="F208" s="93"/>
      <c r="G208" s="93" t="n">
        <f aca="false">E208+F208</f>
        <v>197.996</v>
      </c>
      <c r="H208" s="93"/>
      <c r="I208" s="172" t="n">
        <f aca="false">G208-H208</f>
        <v>197.996</v>
      </c>
      <c r="J208" s="190" t="n">
        <f aca="false">H208/G208</f>
        <v>0</v>
      </c>
      <c r="K208" s="191" t="n">
        <f aca="false">E208+E209+F208+F209</f>
        <v>208.414</v>
      </c>
      <c r="L208" s="191" t="n">
        <f aca="false">H208+H209</f>
        <v>0</v>
      </c>
      <c r="M208" s="191" t="n">
        <f aca="false">K208-L208</f>
        <v>208.414</v>
      </c>
      <c r="N208" s="162" t="n">
        <f aca="false">L208/K208</f>
        <v>0</v>
      </c>
    </row>
    <row r="209" customFormat="false" ht="14.4" hidden="false" customHeight="false" outlineLevel="0" collapsed="false">
      <c r="A209" s="183"/>
      <c r="B209" s="189"/>
      <c r="C209" s="124" t="n">
        <v>40817</v>
      </c>
      <c r="D209" s="125" t="n">
        <v>40908</v>
      </c>
      <c r="E209" s="62" t="n">
        <v>10.418</v>
      </c>
      <c r="F209" s="62"/>
      <c r="G209" s="62" t="n">
        <f aca="false">E209+F209+I208</f>
        <v>208.414</v>
      </c>
      <c r="H209" s="62"/>
      <c r="I209" s="171" t="n">
        <f aca="false">G209-H209</f>
        <v>208.414</v>
      </c>
      <c r="J209" s="187" t="n">
        <f aca="false">H209/G209</f>
        <v>0</v>
      </c>
      <c r="K209" s="191"/>
      <c r="L209" s="191"/>
      <c r="M209" s="191"/>
      <c r="N209" s="162"/>
    </row>
    <row r="210" customFormat="false" ht="14.4" hidden="false" customHeight="true" outlineLevel="0" collapsed="false">
      <c r="A210" s="183"/>
      <c r="B210" s="192" t="s">
        <v>64</v>
      </c>
      <c r="C210" s="119" t="n">
        <v>39083</v>
      </c>
      <c r="D210" s="120" t="n">
        <v>40816</v>
      </c>
      <c r="E210" s="55" t="n">
        <v>5965.1</v>
      </c>
      <c r="F210" s="55"/>
      <c r="G210" s="55" t="n">
        <f aca="false">E210+F210</f>
        <v>5965.1</v>
      </c>
      <c r="H210" s="55" t="n">
        <v>5945.81</v>
      </c>
      <c r="I210" s="168" t="n">
        <f aca="false">G210-H210</f>
        <v>19.29</v>
      </c>
      <c r="J210" s="185" t="n">
        <f aca="false">H210/G210</f>
        <v>0.996766190005197</v>
      </c>
      <c r="K210" s="193" t="n">
        <f aca="false">E210+E211+F210+F211</f>
        <v>6078.963</v>
      </c>
      <c r="L210" s="193" t="n">
        <f aca="false">H210+H211</f>
        <v>5945.81</v>
      </c>
      <c r="M210" s="193" t="n">
        <f aca="false">K210-L210</f>
        <v>133.153</v>
      </c>
      <c r="N210" s="112" t="n">
        <f aca="false">L210/K210</f>
        <v>0.978096099614359</v>
      </c>
    </row>
    <row r="211" customFormat="false" ht="14.4" hidden="false" customHeight="false" outlineLevel="0" collapsed="false">
      <c r="A211" s="183"/>
      <c r="B211" s="192"/>
      <c r="C211" s="121" t="n">
        <v>40817</v>
      </c>
      <c r="D211" s="122" t="n">
        <v>40908</v>
      </c>
      <c r="E211" s="93" t="n">
        <v>313.863</v>
      </c>
      <c r="F211" s="95" t="n">
        <f aca="false">-200</f>
        <v>-200</v>
      </c>
      <c r="G211" s="93" t="n">
        <f aca="false">E211+F211+I210</f>
        <v>133.153</v>
      </c>
      <c r="H211" s="93"/>
      <c r="I211" s="172" t="n">
        <f aca="false">G211-H211</f>
        <v>133.153</v>
      </c>
      <c r="J211" s="190" t="n">
        <f aca="false">H211/G211</f>
        <v>0</v>
      </c>
      <c r="K211" s="193"/>
      <c r="L211" s="193"/>
      <c r="M211" s="193"/>
      <c r="N211" s="112"/>
    </row>
    <row r="212" customFormat="false" ht="14.4" hidden="false" customHeight="true" outlineLevel="0" collapsed="false">
      <c r="A212" s="183"/>
      <c r="B212" s="184" t="s">
        <v>69</v>
      </c>
      <c r="C212" s="119" t="n">
        <v>39083</v>
      </c>
      <c r="D212" s="120" t="n">
        <v>40816</v>
      </c>
      <c r="E212" s="55" t="n">
        <v>3081.351</v>
      </c>
      <c r="F212" s="55"/>
      <c r="G212" s="55" t="n">
        <f aca="false">E212+F212</f>
        <v>3081.351</v>
      </c>
      <c r="H212" s="55" t="n">
        <v>3202.48</v>
      </c>
      <c r="I212" s="168" t="n">
        <f aca="false">G212-H212</f>
        <v>-121.129</v>
      </c>
      <c r="J212" s="185" t="n">
        <f aca="false">H212/G212</f>
        <v>1.03931035445167</v>
      </c>
      <c r="K212" s="186" t="n">
        <f aca="false">E212+E213+F212+F213</f>
        <v>3243.481</v>
      </c>
      <c r="L212" s="186" t="n">
        <f aca="false">H212+H213</f>
        <v>3202.48</v>
      </c>
      <c r="M212" s="186" t="n">
        <f aca="false">K212-L212</f>
        <v>41.0010000000002</v>
      </c>
      <c r="N212" s="157" t="n">
        <f aca="false">L212/K212</f>
        <v>0.987358951694183</v>
      </c>
    </row>
    <row r="213" customFormat="false" ht="14.4" hidden="false" customHeight="false" outlineLevel="0" collapsed="false">
      <c r="A213" s="183"/>
      <c r="B213" s="184"/>
      <c r="C213" s="124" t="n">
        <v>40817</v>
      </c>
      <c r="D213" s="125" t="n">
        <v>40908</v>
      </c>
      <c r="E213" s="62" t="n">
        <v>162.13</v>
      </c>
      <c r="F213" s="62"/>
      <c r="G213" s="62" t="n">
        <f aca="false">E213+F213+I212</f>
        <v>41.0010000000001</v>
      </c>
      <c r="H213" s="62"/>
      <c r="I213" s="171" t="n">
        <f aca="false">G213-H213</f>
        <v>41.0010000000001</v>
      </c>
      <c r="J213" s="187" t="n">
        <f aca="false">H213/G213</f>
        <v>0</v>
      </c>
      <c r="K213" s="186"/>
      <c r="L213" s="186"/>
      <c r="M213" s="186"/>
      <c r="N213" s="157"/>
    </row>
    <row r="214" customFormat="false" ht="14.4" hidden="false" customHeight="true" outlineLevel="0" collapsed="false">
      <c r="A214" s="183"/>
      <c r="B214" s="184" t="s">
        <v>91</v>
      </c>
      <c r="C214" s="119" t="n">
        <v>39083</v>
      </c>
      <c r="D214" s="120" t="n">
        <v>40816</v>
      </c>
      <c r="E214" s="55" t="n">
        <v>295.028</v>
      </c>
      <c r="F214" s="56" t="n">
        <f aca="false">-146.792-148.236</f>
        <v>-295.028</v>
      </c>
      <c r="G214" s="55" t="n">
        <f aca="false">E214+F214</f>
        <v>0</v>
      </c>
      <c r="H214" s="55"/>
      <c r="I214" s="168" t="n">
        <f aca="false">G214-H214</f>
        <v>0</v>
      </c>
      <c r="J214" s="185" t="e">
        <f aca="false">H214/G214</f>
        <v>#DIV/0!</v>
      </c>
      <c r="K214" s="186" t="n">
        <f aca="false">E214+E215+F214+F215</f>
        <v>0.000270000000025306</v>
      </c>
      <c r="L214" s="186" t="n">
        <f aca="false">H214+H215</f>
        <v>0</v>
      </c>
      <c r="M214" s="186" t="n">
        <f aca="false">K214-L214</f>
        <v>0.000270000000025306</v>
      </c>
      <c r="N214" s="86" t="n">
        <f aca="false">L214/K214</f>
        <v>0</v>
      </c>
    </row>
    <row r="215" customFormat="false" ht="14.4" hidden="false" customHeight="false" outlineLevel="0" collapsed="false">
      <c r="A215" s="183"/>
      <c r="B215" s="184"/>
      <c r="C215" s="124" t="n">
        <v>40817</v>
      </c>
      <c r="D215" s="125" t="n">
        <v>40908</v>
      </c>
      <c r="E215" s="62" t="n">
        <v>15.523</v>
      </c>
      <c r="F215" s="63" t="n">
        <f aca="false">-15.52273</f>
        <v>-15.52273</v>
      </c>
      <c r="G215" s="62" t="n">
        <f aca="false">E215+F215+I214</f>
        <v>0.000270000000000437</v>
      </c>
      <c r="H215" s="62"/>
      <c r="I215" s="171" t="n">
        <f aca="false">G215-H215</f>
        <v>0.000270000000000437</v>
      </c>
      <c r="J215" s="187" t="n">
        <f aca="false">H215/G215</f>
        <v>0</v>
      </c>
      <c r="K215" s="186"/>
      <c r="L215" s="186"/>
      <c r="M215" s="186"/>
      <c r="N215" s="86"/>
    </row>
    <row r="216" customFormat="false" ht="15" hidden="false" customHeight="true" outlineLevel="0" collapsed="false">
      <c r="A216" s="183"/>
      <c r="B216" s="189" t="s">
        <v>75</v>
      </c>
      <c r="C216" s="121" t="n">
        <v>39083</v>
      </c>
      <c r="D216" s="122" t="n">
        <v>40816</v>
      </c>
      <c r="E216" s="93" t="n">
        <v>892.023</v>
      </c>
      <c r="F216" s="95"/>
      <c r="G216" s="93" t="n">
        <f aca="false">E216+F216</f>
        <v>892.023</v>
      </c>
      <c r="H216" s="93" t="n">
        <v>815.197</v>
      </c>
      <c r="I216" s="172" t="n">
        <f aca="false">G216-H216</f>
        <v>76.826</v>
      </c>
      <c r="J216" s="190" t="n">
        <f aca="false">H216/G216</f>
        <v>0.913874418036306</v>
      </c>
      <c r="K216" s="191" t="n">
        <f aca="false">E216+E217+F216+F217</f>
        <v>938.958</v>
      </c>
      <c r="L216" s="191" t="n">
        <f aca="false">H216+H217</f>
        <v>815.197</v>
      </c>
      <c r="M216" s="191" t="n">
        <f aca="false">K216-L216</f>
        <v>123.761</v>
      </c>
      <c r="N216" s="162" t="n">
        <f aca="false">L216/K216</f>
        <v>0.868193252520347</v>
      </c>
    </row>
    <row r="217" customFormat="false" ht="15" hidden="false" customHeight="true" outlineLevel="0" collapsed="false">
      <c r="A217" s="183"/>
      <c r="B217" s="189"/>
      <c r="C217" s="124" t="n">
        <v>40817</v>
      </c>
      <c r="D217" s="125" t="n">
        <v>40908</v>
      </c>
      <c r="E217" s="62" t="n">
        <v>46.935</v>
      </c>
      <c r="F217" s="63"/>
      <c r="G217" s="62" t="n">
        <f aca="false">E217+F217+I216</f>
        <v>123.761</v>
      </c>
      <c r="H217" s="62"/>
      <c r="I217" s="171" t="n">
        <f aca="false">G217-H217</f>
        <v>123.761</v>
      </c>
      <c r="J217" s="187" t="n">
        <f aca="false">H217/G217</f>
        <v>0</v>
      </c>
      <c r="K217" s="191"/>
      <c r="L217" s="191"/>
      <c r="M217" s="191"/>
      <c r="N217" s="162"/>
    </row>
    <row r="218" customFormat="false" ht="14.4" hidden="false" customHeight="true" outlineLevel="0" collapsed="false">
      <c r="A218" s="183"/>
      <c r="B218" s="184" t="s">
        <v>59</v>
      </c>
      <c r="C218" s="119" t="n">
        <v>39083</v>
      </c>
      <c r="D218" s="120" t="n">
        <v>40816</v>
      </c>
      <c r="E218" s="55" t="n">
        <v>0</v>
      </c>
      <c r="F218" s="55"/>
      <c r="G218" s="55" t="n">
        <f aca="false">E218+F218</f>
        <v>0</v>
      </c>
      <c r="H218" s="55"/>
      <c r="I218" s="168" t="n">
        <f aca="false">G218-H218</f>
        <v>0</v>
      </c>
      <c r="J218" s="185" t="e">
        <f aca="false">H218/G218</f>
        <v>#DIV/0!</v>
      </c>
      <c r="K218" s="186" t="n">
        <f aca="false">E218+E219+F218+F219</f>
        <v>0</v>
      </c>
      <c r="L218" s="186" t="n">
        <f aca="false">H218+H219</f>
        <v>0</v>
      </c>
      <c r="M218" s="186" t="n">
        <f aca="false">K218-L218</f>
        <v>0</v>
      </c>
      <c r="N218" s="86" t="e">
        <f aca="false">L218/K218</f>
        <v>#DIV/0!</v>
      </c>
    </row>
    <row r="219" customFormat="false" ht="14.4" hidden="false" customHeight="false" outlineLevel="0" collapsed="false">
      <c r="A219" s="183"/>
      <c r="B219" s="184"/>
      <c r="C219" s="124" t="n">
        <v>40817</v>
      </c>
      <c r="D219" s="125" t="n">
        <v>40908</v>
      </c>
      <c r="E219" s="62" t="n">
        <v>0</v>
      </c>
      <c r="F219" s="62"/>
      <c r="G219" s="62" t="n">
        <f aca="false">E219+F219+I218</f>
        <v>0</v>
      </c>
      <c r="H219" s="62"/>
      <c r="I219" s="171" t="n">
        <f aca="false">G219-H219</f>
        <v>0</v>
      </c>
      <c r="J219" s="187" t="e">
        <f aca="false">H219/G219</f>
        <v>#DIV/0!</v>
      </c>
      <c r="K219" s="186"/>
      <c r="L219" s="186"/>
      <c r="M219" s="186"/>
      <c r="N219" s="86"/>
    </row>
    <row r="220" customFormat="false" ht="14.4" hidden="false" customHeight="true" outlineLevel="0" collapsed="false">
      <c r="A220" s="183"/>
      <c r="B220" s="184" t="s">
        <v>96</v>
      </c>
      <c r="C220" s="119" t="n">
        <v>39083</v>
      </c>
      <c r="D220" s="120" t="n">
        <v>40816</v>
      </c>
      <c r="E220" s="55" t="n">
        <v>2.127</v>
      </c>
      <c r="F220" s="56" t="n">
        <f aca="false">-2.127</f>
        <v>-2.127</v>
      </c>
      <c r="G220" s="55" t="n">
        <f aca="false">E220+F220</f>
        <v>0</v>
      </c>
      <c r="H220" s="55"/>
      <c r="I220" s="168" t="n">
        <f aca="false">G220-H220</f>
        <v>0</v>
      </c>
      <c r="J220" s="185" t="e">
        <f aca="false">H220/G220</f>
        <v>#DIV/0!</v>
      </c>
      <c r="K220" s="186" t="n">
        <f aca="false">E220+E221+F220+F221</f>
        <v>0</v>
      </c>
      <c r="L220" s="186" t="n">
        <f aca="false">H220+H221</f>
        <v>0</v>
      </c>
      <c r="M220" s="186" t="n">
        <f aca="false">K220-L220</f>
        <v>0</v>
      </c>
      <c r="N220" s="86" t="e">
        <f aca="false">L220/K220</f>
        <v>#DIV/0!</v>
      </c>
    </row>
    <row r="221" customFormat="false" ht="14.4" hidden="false" customHeight="false" outlineLevel="0" collapsed="false">
      <c r="A221" s="183"/>
      <c r="B221" s="184"/>
      <c r="C221" s="124" t="n">
        <v>40817</v>
      </c>
      <c r="D221" s="125" t="n">
        <v>40908</v>
      </c>
      <c r="E221" s="62" t="n">
        <v>0.112</v>
      </c>
      <c r="F221" s="63" t="n">
        <f aca="false">-0.112</f>
        <v>-0.112</v>
      </c>
      <c r="G221" s="62" t="n">
        <f aca="false">E221+F221+I220</f>
        <v>0</v>
      </c>
      <c r="H221" s="62"/>
      <c r="I221" s="171" t="n">
        <f aca="false">G221-H221</f>
        <v>0</v>
      </c>
      <c r="J221" s="187" t="e">
        <f aca="false">H221/G221</f>
        <v>#DIV/0!</v>
      </c>
      <c r="K221" s="186"/>
      <c r="L221" s="186"/>
      <c r="M221" s="186"/>
      <c r="N221" s="86"/>
    </row>
    <row r="222" customFormat="false" ht="14.4" hidden="false" customHeight="true" outlineLevel="0" collapsed="false">
      <c r="A222" s="183"/>
      <c r="B222" s="184" t="s">
        <v>97</v>
      </c>
      <c r="C222" s="119" t="n">
        <v>39083</v>
      </c>
      <c r="D222" s="120" t="n">
        <v>40816</v>
      </c>
      <c r="E222" s="55" t="n">
        <v>6.338</v>
      </c>
      <c r="F222" s="55"/>
      <c r="G222" s="55" t="n">
        <f aca="false">E222+F222</f>
        <v>6.338</v>
      </c>
      <c r="H222" s="55"/>
      <c r="I222" s="168" t="n">
        <f aca="false">G222-H222</f>
        <v>6.338</v>
      </c>
      <c r="J222" s="185" t="n">
        <f aca="false">H222/G222</f>
        <v>0</v>
      </c>
      <c r="K222" s="186" t="n">
        <f aca="false">E222+E223+F222+F223</f>
        <v>6.671</v>
      </c>
      <c r="L222" s="186" t="n">
        <f aca="false">H222+H223</f>
        <v>0</v>
      </c>
      <c r="M222" s="186" t="n">
        <f aca="false">K222-L222</f>
        <v>6.671</v>
      </c>
      <c r="N222" s="86" t="n">
        <f aca="false">L222/K222</f>
        <v>0</v>
      </c>
    </row>
    <row r="223" customFormat="false" ht="14.4" hidden="false" customHeight="false" outlineLevel="0" collapsed="false">
      <c r="A223" s="183"/>
      <c r="B223" s="184"/>
      <c r="C223" s="124" t="n">
        <v>40817</v>
      </c>
      <c r="D223" s="125" t="n">
        <v>40908</v>
      </c>
      <c r="E223" s="62" t="n">
        <v>0.333</v>
      </c>
      <c r="F223" s="62"/>
      <c r="G223" s="62" t="n">
        <f aca="false">E223+F223+I222</f>
        <v>6.671</v>
      </c>
      <c r="H223" s="62"/>
      <c r="I223" s="171" t="n">
        <f aca="false">G223-H223</f>
        <v>6.671</v>
      </c>
      <c r="J223" s="187" t="n">
        <f aca="false">H223/G223</f>
        <v>0</v>
      </c>
      <c r="K223" s="186"/>
      <c r="L223" s="186"/>
      <c r="M223" s="186"/>
      <c r="N223" s="86"/>
    </row>
    <row r="224" customFormat="false" ht="14.25" hidden="false" customHeight="true" outlineLevel="0" collapsed="false">
      <c r="A224" s="183"/>
      <c r="B224" s="189" t="s">
        <v>76</v>
      </c>
      <c r="C224" s="121" t="n">
        <v>39083</v>
      </c>
      <c r="D224" s="122" t="n">
        <v>40816</v>
      </c>
      <c r="E224" s="93" t="n">
        <v>2348.749</v>
      </c>
      <c r="F224" s="95" t="n">
        <f aca="false">-1300</f>
        <v>-1300</v>
      </c>
      <c r="G224" s="93" t="n">
        <f aca="false">E224+F224</f>
        <v>1048.749</v>
      </c>
      <c r="H224" s="93" t="n">
        <v>1122.724</v>
      </c>
      <c r="I224" s="172" t="n">
        <f aca="false">G224-H224</f>
        <v>-73.9750000000001</v>
      </c>
      <c r="J224" s="190" t="n">
        <f aca="false">H224/G224</f>
        <v>1.07053642005857</v>
      </c>
      <c r="K224" s="191" t="n">
        <f aca="false">E224+E225+F224+F225</f>
        <v>1123.724</v>
      </c>
      <c r="L224" s="191" t="n">
        <f aca="false">H224+H225</f>
        <v>1122.724</v>
      </c>
      <c r="M224" s="191" t="n">
        <f aca="false">K224-L224</f>
        <v>1</v>
      </c>
      <c r="N224" s="194" t="n">
        <f aca="false">L224/K224</f>
        <v>0.999110101768762</v>
      </c>
    </row>
    <row r="225" customFormat="false" ht="14.4" hidden="false" customHeight="false" outlineLevel="0" collapsed="false">
      <c r="A225" s="183"/>
      <c r="B225" s="189"/>
      <c r="C225" s="124" t="n">
        <v>40817</v>
      </c>
      <c r="D225" s="125" t="n">
        <v>40908</v>
      </c>
      <c r="E225" s="62" t="n">
        <v>123.583</v>
      </c>
      <c r="F225" s="63" t="n">
        <f aca="false">-48.608</f>
        <v>-48.608</v>
      </c>
      <c r="G225" s="62" t="n">
        <f aca="false">E225+F225+I224</f>
        <v>0.999999999999858</v>
      </c>
      <c r="H225" s="62"/>
      <c r="I225" s="171" t="n">
        <f aca="false">G225-H225</f>
        <v>0.999999999999858</v>
      </c>
      <c r="J225" s="187" t="n">
        <f aca="false">H225/G225</f>
        <v>0</v>
      </c>
      <c r="K225" s="191"/>
      <c r="L225" s="191"/>
      <c r="M225" s="191"/>
      <c r="N225" s="194"/>
    </row>
    <row r="226" customFormat="false" ht="14.4" hidden="false" customHeight="true" outlineLevel="0" collapsed="false">
      <c r="A226" s="183"/>
      <c r="B226" s="184" t="s">
        <v>77</v>
      </c>
      <c r="C226" s="119" t="n">
        <v>39083</v>
      </c>
      <c r="D226" s="120" t="n">
        <v>40816</v>
      </c>
      <c r="E226" s="55" t="n">
        <v>6.887</v>
      </c>
      <c r="F226" s="56" t="n">
        <f aca="false">-6.887</f>
        <v>-6.887</v>
      </c>
      <c r="G226" s="55" t="n">
        <f aca="false">E226+F226</f>
        <v>0</v>
      </c>
      <c r="H226" s="55"/>
      <c r="I226" s="168" t="n">
        <f aca="false">G226-H226</f>
        <v>0</v>
      </c>
      <c r="J226" s="185" t="e">
        <f aca="false">H226/G226</f>
        <v>#DIV/0!</v>
      </c>
      <c r="K226" s="186" t="n">
        <f aca="false">E226+E227+F226+F227</f>
        <v>0</v>
      </c>
      <c r="L226" s="186" t="n">
        <f aca="false">H226+H227</f>
        <v>0</v>
      </c>
      <c r="M226" s="186" t="n">
        <f aca="false">K226-L226</f>
        <v>0</v>
      </c>
      <c r="N226" s="86" t="e">
        <f aca="false">L226/K226</f>
        <v>#DIV/0!</v>
      </c>
    </row>
    <row r="227" customFormat="false" ht="14.4" hidden="false" customHeight="false" outlineLevel="0" collapsed="false">
      <c r="A227" s="183"/>
      <c r="B227" s="184"/>
      <c r="C227" s="124" t="n">
        <v>40817</v>
      </c>
      <c r="D227" s="125" t="n">
        <v>40908</v>
      </c>
      <c r="E227" s="62" t="n">
        <v>0.362</v>
      </c>
      <c r="F227" s="63" t="n">
        <f aca="false">-0.362</f>
        <v>-0.362</v>
      </c>
      <c r="G227" s="62" t="n">
        <f aca="false">E227+F227+I226</f>
        <v>0</v>
      </c>
      <c r="H227" s="62"/>
      <c r="I227" s="171" t="n">
        <f aca="false">G227-H227</f>
        <v>0</v>
      </c>
      <c r="J227" s="187" t="e">
        <f aca="false">H227/G227</f>
        <v>#DIV/0!</v>
      </c>
      <c r="K227" s="186"/>
      <c r="L227" s="186"/>
      <c r="M227" s="186"/>
      <c r="N227" s="86"/>
    </row>
    <row r="228" customFormat="false" ht="14.4" hidden="false" customHeight="true" outlineLevel="0" collapsed="false">
      <c r="A228" s="183"/>
      <c r="B228" s="184" t="s">
        <v>78</v>
      </c>
      <c r="C228" s="119" t="n">
        <v>39083</v>
      </c>
      <c r="D228" s="120" t="n">
        <v>40816</v>
      </c>
      <c r="E228" s="55" t="n">
        <v>7.319</v>
      </c>
      <c r="F228" s="56" t="n">
        <f aca="false">-7.319</f>
        <v>-7.319</v>
      </c>
      <c r="G228" s="55" t="n">
        <f aca="false">E228+F228</f>
        <v>0</v>
      </c>
      <c r="H228" s="55"/>
      <c r="I228" s="168" t="n">
        <f aca="false">G228-H228</f>
        <v>0</v>
      </c>
      <c r="J228" s="185" t="e">
        <f aca="false">H228/G228</f>
        <v>#DIV/0!</v>
      </c>
      <c r="K228" s="186" t="n">
        <f aca="false">E228+E229+F228+F229</f>
        <v>0</v>
      </c>
      <c r="L228" s="186" t="n">
        <f aca="false">H228+H229</f>
        <v>0</v>
      </c>
      <c r="M228" s="186" t="n">
        <f aca="false">K228-L228</f>
        <v>0</v>
      </c>
      <c r="N228" s="86" t="e">
        <f aca="false">L228/K228</f>
        <v>#DIV/0!</v>
      </c>
    </row>
    <row r="229" customFormat="false" ht="14.4" hidden="false" customHeight="false" outlineLevel="0" collapsed="false">
      <c r="A229" s="183"/>
      <c r="B229" s="184"/>
      <c r="C229" s="124" t="n">
        <v>40817</v>
      </c>
      <c r="D229" s="125" t="n">
        <v>40908</v>
      </c>
      <c r="E229" s="62" t="n">
        <v>0.385</v>
      </c>
      <c r="F229" s="63" t="n">
        <f aca="false">-0.385</f>
        <v>-0.385</v>
      </c>
      <c r="G229" s="62" t="n">
        <f aca="false">E229+F229+I228</f>
        <v>0</v>
      </c>
      <c r="H229" s="62"/>
      <c r="I229" s="171" t="n">
        <f aca="false">G229-H229</f>
        <v>0</v>
      </c>
      <c r="J229" s="187" t="e">
        <f aca="false">H229/G229</f>
        <v>#DIV/0!</v>
      </c>
      <c r="K229" s="186"/>
      <c r="L229" s="186"/>
      <c r="M229" s="186"/>
      <c r="N229" s="86"/>
    </row>
    <row r="230" customFormat="false" ht="14.4" hidden="false" customHeight="true" outlineLevel="0" collapsed="false">
      <c r="A230" s="183"/>
      <c r="B230" s="184" t="s">
        <v>67</v>
      </c>
      <c r="C230" s="119" t="n">
        <v>39083</v>
      </c>
      <c r="D230" s="120" t="n">
        <v>40816</v>
      </c>
      <c r="E230" s="55" t="n">
        <v>250.797</v>
      </c>
      <c r="F230" s="100" t="n">
        <f aca="false">162.68</f>
        <v>162.68</v>
      </c>
      <c r="G230" s="55" t="n">
        <f aca="false">E230+F230</f>
        <v>413.477</v>
      </c>
      <c r="H230" s="55" t="n">
        <v>267.336</v>
      </c>
      <c r="I230" s="168" t="n">
        <f aca="false">G230-H230</f>
        <v>146.141</v>
      </c>
      <c r="J230" s="185" t="n">
        <f aca="false">H230/G230</f>
        <v>0.646555914839278</v>
      </c>
      <c r="K230" s="186" t="n">
        <f aca="false">E230+E231+F230+F231</f>
        <v>435.233</v>
      </c>
      <c r="L230" s="186" t="n">
        <f aca="false">H230+H231</f>
        <v>347.465</v>
      </c>
      <c r="M230" s="186" t="n">
        <f aca="false">K230-L230</f>
        <v>87.768</v>
      </c>
      <c r="N230" s="86" t="n">
        <f aca="false">L230/K230</f>
        <v>0.79834249700735</v>
      </c>
    </row>
    <row r="231" customFormat="false" ht="14.4" hidden="false" customHeight="false" outlineLevel="0" collapsed="false">
      <c r="A231" s="183"/>
      <c r="B231" s="184"/>
      <c r="C231" s="124" t="n">
        <v>40817</v>
      </c>
      <c r="D231" s="125" t="n">
        <v>40908</v>
      </c>
      <c r="E231" s="62" t="n">
        <v>13.196</v>
      </c>
      <c r="F231" s="130" t="n">
        <f aca="false">8.56</f>
        <v>8.56</v>
      </c>
      <c r="G231" s="62" t="n">
        <f aca="false">E231+F231+I230</f>
        <v>167.897</v>
      </c>
      <c r="H231" s="62" t="n">
        <v>80.129</v>
      </c>
      <c r="I231" s="171" t="n">
        <f aca="false">G231-H231</f>
        <v>87.768</v>
      </c>
      <c r="J231" s="187" t="n">
        <f aca="false">H231/G231</f>
        <v>0.477250933608105</v>
      </c>
      <c r="K231" s="186"/>
      <c r="L231" s="186"/>
      <c r="M231" s="186"/>
      <c r="N231" s="86"/>
    </row>
    <row r="232" customFormat="false" ht="14.4" hidden="false" customHeight="true" outlineLevel="0" collapsed="false">
      <c r="A232" s="183"/>
      <c r="B232" s="184" t="s">
        <v>81</v>
      </c>
      <c r="C232" s="119" t="n">
        <v>39083</v>
      </c>
      <c r="D232" s="120" t="n">
        <v>40816</v>
      </c>
      <c r="E232" s="55" t="n">
        <v>1337.937</v>
      </c>
      <c r="F232" s="100" t="n">
        <f aca="false">1126.443+7.319+6.887+4.889+2.127-700+145+220</f>
        <v>812.665</v>
      </c>
      <c r="G232" s="55" t="n">
        <f aca="false">E232+F232</f>
        <v>2150.602</v>
      </c>
      <c r="H232" s="55" t="n">
        <v>1882.434</v>
      </c>
      <c r="I232" s="168" t="n">
        <f aca="false">G232-H232</f>
        <v>268.168</v>
      </c>
      <c r="J232" s="185" t="n">
        <f aca="false">H232/G232</f>
        <v>0.87530561210303</v>
      </c>
      <c r="K232" s="186" t="n">
        <f aca="false">E232+E233+F232+F233</f>
        <v>2081.385</v>
      </c>
      <c r="L232" s="186" t="n">
        <f aca="false">H232+H233</f>
        <v>1882.434</v>
      </c>
      <c r="M232" s="186" t="n">
        <f aca="false">K232-L232</f>
        <v>198.950999999999</v>
      </c>
      <c r="N232" s="157" t="n">
        <f aca="false">L232/K232</f>
        <v>0.904414128092593</v>
      </c>
      <c r="P232" s="0" t="s">
        <v>116</v>
      </c>
    </row>
    <row r="233" customFormat="false" ht="14.4" hidden="false" customHeight="false" outlineLevel="0" collapsed="false">
      <c r="A233" s="183"/>
      <c r="B233" s="184"/>
      <c r="C233" s="124" t="n">
        <v>40817</v>
      </c>
      <c r="D233" s="125" t="n">
        <v>40908</v>
      </c>
      <c r="E233" s="62" t="n">
        <v>70.398</v>
      </c>
      <c r="F233" s="63" t="n">
        <f aca="false">59.269+0.385+0.362+0.257+0.112-200</f>
        <v>-139.615</v>
      </c>
      <c r="G233" s="63" t="n">
        <f aca="false">E233+F233+I232</f>
        <v>198.951</v>
      </c>
      <c r="H233" s="62"/>
      <c r="I233" s="171" t="n">
        <f aca="false">G233-H233</f>
        <v>198.951</v>
      </c>
      <c r="J233" s="187" t="n">
        <f aca="false">H233/G233</f>
        <v>0</v>
      </c>
      <c r="K233" s="186"/>
      <c r="L233" s="186"/>
      <c r="M233" s="186"/>
      <c r="N233" s="157"/>
    </row>
    <row r="234" customFormat="false" ht="14.4" hidden="false" customHeight="true" outlineLevel="0" collapsed="false">
      <c r="A234" s="183"/>
      <c r="B234" s="184" t="s">
        <v>99</v>
      </c>
      <c r="C234" s="119" t="n">
        <v>39083</v>
      </c>
      <c r="D234" s="120" t="n">
        <v>40816</v>
      </c>
      <c r="E234" s="55" t="n">
        <v>1126.443</v>
      </c>
      <c r="F234" s="56" t="n">
        <f aca="false">6.887+22.449+4.889+2.127+7.319-1126.443-7.319-6.887-4.889-2.127</f>
        <v>-1103.994</v>
      </c>
      <c r="G234" s="55" t="n">
        <f aca="false">E234+F234</f>
        <v>22.4490000000003</v>
      </c>
      <c r="H234" s="55" t="n">
        <v>23</v>
      </c>
      <c r="I234" s="168" t="n">
        <f aca="false">G234-H234</f>
        <v>-0.550999999999704</v>
      </c>
      <c r="J234" s="185" t="n">
        <f aca="false">H234/G234</f>
        <v>1.02454452314133</v>
      </c>
      <c r="K234" s="186" t="n">
        <f aca="false">E234+E235+F234+F235</f>
        <v>23.6300000000003</v>
      </c>
      <c r="L234" s="186" t="n">
        <f aca="false">H234+H235</f>
        <v>23</v>
      </c>
      <c r="M234" s="186" t="n">
        <f aca="false">K234-L234</f>
        <v>0.630000000000308</v>
      </c>
      <c r="N234" s="157" t="n">
        <f aca="false">L234/K234</f>
        <v>0.973338975878108</v>
      </c>
    </row>
    <row r="235" customFormat="false" ht="14.4" hidden="false" customHeight="false" outlineLevel="0" collapsed="false">
      <c r="A235" s="183"/>
      <c r="B235" s="184"/>
      <c r="C235" s="124" t="n">
        <v>40817</v>
      </c>
      <c r="D235" s="125" t="n">
        <v>40908</v>
      </c>
      <c r="E235" s="62" t="n">
        <v>59.269</v>
      </c>
      <c r="F235" s="63" t="n">
        <f aca="false">0.362+1.181+0.257+0.112+0.385-59.269-0.385-0.362-0.257-0.112</f>
        <v>-58.088</v>
      </c>
      <c r="G235" s="62" t="n">
        <f aca="false">E235+F235+I234</f>
        <v>0.630000000000301</v>
      </c>
      <c r="H235" s="62"/>
      <c r="I235" s="171" t="n">
        <f aca="false">G235-H235</f>
        <v>0.630000000000301</v>
      </c>
      <c r="J235" s="187" t="n">
        <f aca="false">H235/G235</f>
        <v>0</v>
      </c>
      <c r="K235" s="186"/>
      <c r="L235" s="186"/>
      <c r="M235" s="186"/>
      <c r="N235" s="157"/>
    </row>
    <row r="236" customFormat="false" ht="14.4" hidden="false" customHeight="true" outlineLevel="0" collapsed="false">
      <c r="A236" s="183"/>
      <c r="B236" s="184" t="s">
        <v>100</v>
      </c>
      <c r="C236" s="119" t="n">
        <v>39083</v>
      </c>
      <c r="D236" s="120" t="n">
        <v>40816</v>
      </c>
      <c r="E236" s="55" t="n">
        <v>4.889</v>
      </c>
      <c r="F236" s="56" t="n">
        <f aca="false">-4.889</f>
        <v>-4.889</v>
      </c>
      <c r="G236" s="55" t="n">
        <f aca="false">E236+F236</f>
        <v>0</v>
      </c>
      <c r="H236" s="55"/>
      <c r="I236" s="168" t="n">
        <f aca="false">G236-H236</f>
        <v>0</v>
      </c>
      <c r="J236" s="185" t="e">
        <f aca="false">H236/G236</f>
        <v>#DIV/0!</v>
      </c>
      <c r="K236" s="186" t="n">
        <f aca="false">E236+E237+F236+F237</f>
        <v>0</v>
      </c>
      <c r="L236" s="186" t="n">
        <f aca="false">H236+H237</f>
        <v>0</v>
      </c>
      <c r="M236" s="186" t="n">
        <f aca="false">K236-L236</f>
        <v>0</v>
      </c>
      <c r="N236" s="86" t="e">
        <f aca="false">L236/K236</f>
        <v>#DIV/0!</v>
      </c>
    </row>
    <row r="237" customFormat="false" ht="14.4" hidden="false" customHeight="false" outlineLevel="0" collapsed="false">
      <c r="A237" s="183"/>
      <c r="B237" s="184"/>
      <c r="C237" s="124" t="n">
        <v>40817</v>
      </c>
      <c r="D237" s="125" t="n">
        <v>40908</v>
      </c>
      <c r="E237" s="62" t="n">
        <v>0.257</v>
      </c>
      <c r="F237" s="63" t="n">
        <f aca="false">-0.257</f>
        <v>-0.257</v>
      </c>
      <c r="G237" s="62" t="n">
        <f aca="false">E237+F237+I236</f>
        <v>0</v>
      </c>
      <c r="H237" s="62"/>
      <c r="I237" s="171" t="n">
        <f aca="false">G237-H237</f>
        <v>0</v>
      </c>
      <c r="J237" s="187" t="e">
        <f aca="false">H237/G237</f>
        <v>#DIV/0!</v>
      </c>
      <c r="K237" s="186"/>
      <c r="L237" s="186"/>
      <c r="M237" s="186"/>
      <c r="N237" s="86"/>
    </row>
    <row r="238" customFormat="false" ht="14.4" hidden="false" customHeight="true" outlineLevel="0" collapsed="false">
      <c r="A238" s="183"/>
      <c r="B238" s="184" t="s">
        <v>68</v>
      </c>
      <c r="C238" s="119" t="n">
        <v>39083</v>
      </c>
      <c r="D238" s="120" t="n">
        <v>40816</v>
      </c>
      <c r="E238" s="55" t="n">
        <v>5989.723</v>
      </c>
      <c r="F238" s="56" t="n">
        <v>-2500</v>
      </c>
      <c r="G238" s="55" t="n">
        <f aca="false">E238+F238</f>
        <v>3489.723</v>
      </c>
      <c r="H238" s="55" t="n">
        <v>3696.532</v>
      </c>
      <c r="I238" s="168" t="n">
        <f aca="false">G238-H238</f>
        <v>-206.809</v>
      </c>
      <c r="J238" s="185" t="n">
        <f aca="false">H238/G238</f>
        <v>1.05926229674963</v>
      </c>
      <c r="K238" s="186" t="n">
        <f aca="false">E238+E239+F238+F239</f>
        <v>3734.881</v>
      </c>
      <c r="L238" s="186" t="n">
        <f aca="false">H238+H239</f>
        <v>3696.532</v>
      </c>
      <c r="M238" s="186" t="n">
        <f aca="false">K238-L238</f>
        <v>38.3490000000002</v>
      </c>
      <c r="N238" s="86" t="n">
        <f aca="false">L238/K238</f>
        <v>0.989732202980497</v>
      </c>
    </row>
    <row r="239" customFormat="false" ht="14.4" hidden="false" customHeight="false" outlineLevel="0" collapsed="false">
      <c r="A239" s="183"/>
      <c r="B239" s="184"/>
      <c r="C239" s="124" t="n">
        <v>40817</v>
      </c>
      <c r="D239" s="125" t="n">
        <v>40908</v>
      </c>
      <c r="E239" s="62" t="n">
        <v>315.158</v>
      </c>
      <c r="F239" s="63" t="n">
        <f aca="false">-70</f>
        <v>-70</v>
      </c>
      <c r="G239" s="62" t="n">
        <f aca="false">E239+F239+I238</f>
        <v>38.3489999999998</v>
      </c>
      <c r="H239" s="62"/>
      <c r="I239" s="171" t="n">
        <f aca="false">G239-H239</f>
        <v>38.3489999999998</v>
      </c>
      <c r="J239" s="187" t="n">
        <f aca="false">H239/G239</f>
        <v>0</v>
      </c>
      <c r="K239" s="186"/>
      <c r="L239" s="186"/>
      <c r="M239" s="186"/>
      <c r="N239" s="86"/>
    </row>
    <row r="240" customFormat="false" ht="14.4" hidden="false" customHeight="true" outlineLevel="0" collapsed="false">
      <c r="A240" s="183"/>
      <c r="B240" s="184" t="s">
        <v>84</v>
      </c>
      <c r="C240" s="119" t="n">
        <v>39083</v>
      </c>
      <c r="D240" s="120" t="n">
        <v>40816</v>
      </c>
      <c r="E240" s="55" t="n">
        <v>162.68</v>
      </c>
      <c r="F240" s="56" t="n">
        <f aca="false">-162.68</f>
        <v>-162.68</v>
      </c>
      <c r="G240" s="55" t="n">
        <f aca="false">E240+F240</f>
        <v>0</v>
      </c>
      <c r="H240" s="55"/>
      <c r="I240" s="168" t="n">
        <f aca="false">G240-H240</f>
        <v>0</v>
      </c>
      <c r="J240" s="185" t="e">
        <f aca="false">H240/G240</f>
        <v>#DIV/0!</v>
      </c>
      <c r="K240" s="186" t="n">
        <f aca="false">E240+E241+F240+F241</f>
        <v>0</v>
      </c>
      <c r="L240" s="186" t="n">
        <f aca="false">H240+H241</f>
        <v>0</v>
      </c>
      <c r="M240" s="186" t="n">
        <f aca="false">K240-L240</f>
        <v>0</v>
      </c>
      <c r="N240" s="86" t="e">
        <f aca="false">L240/K240</f>
        <v>#DIV/0!</v>
      </c>
    </row>
    <row r="241" customFormat="false" ht="14.4" hidden="false" customHeight="false" outlineLevel="0" collapsed="false">
      <c r="A241" s="183"/>
      <c r="B241" s="184"/>
      <c r="C241" s="124" t="n">
        <v>40817</v>
      </c>
      <c r="D241" s="125" t="n">
        <v>40908</v>
      </c>
      <c r="E241" s="62" t="n">
        <v>8.56</v>
      </c>
      <c r="F241" s="63" t="n">
        <f aca="false">-8.56</f>
        <v>-8.56</v>
      </c>
      <c r="G241" s="62" t="n">
        <f aca="false">E241+F241+I240</f>
        <v>0</v>
      </c>
      <c r="H241" s="62"/>
      <c r="I241" s="171" t="n">
        <f aca="false">G241-H241</f>
        <v>0</v>
      </c>
      <c r="J241" s="187" t="e">
        <f aca="false">H241/G241</f>
        <v>#DIV/0!</v>
      </c>
      <c r="K241" s="186"/>
      <c r="L241" s="186"/>
      <c r="M241" s="186"/>
      <c r="N241" s="86"/>
    </row>
    <row r="242" customFormat="false" ht="14.4" hidden="false" customHeight="true" outlineLevel="0" collapsed="false">
      <c r="A242" s="183"/>
      <c r="B242" s="184" t="s">
        <v>102</v>
      </c>
      <c r="C242" s="119" t="n">
        <v>39083</v>
      </c>
      <c r="D242" s="120" t="n">
        <v>40816</v>
      </c>
      <c r="E242" s="55" t="n">
        <v>54.043</v>
      </c>
      <c r="F242" s="56" t="n">
        <f aca="false">-54.043</f>
        <v>-54.043</v>
      </c>
      <c r="G242" s="55" t="n">
        <f aca="false">E242+F242</f>
        <v>0</v>
      </c>
      <c r="H242" s="55"/>
      <c r="I242" s="168" t="n">
        <f aca="false">G242-H242</f>
        <v>0</v>
      </c>
      <c r="J242" s="185" t="e">
        <f aca="false">H242/G242</f>
        <v>#DIV/0!</v>
      </c>
      <c r="K242" s="186" t="n">
        <f aca="false">E242+E243+F242+F243</f>
        <v>0</v>
      </c>
      <c r="L242" s="186" t="n">
        <f aca="false">H242+H243</f>
        <v>0</v>
      </c>
      <c r="M242" s="186" t="n">
        <f aca="false">K242-L242</f>
        <v>0</v>
      </c>
      <c r="N242" s="86" t="e">
        <f aca="false">L242/K242</f>
        <v>#DIV/0!</v>
      </c>
    </row>
    <row r="243" customFormat="false" ht="14.4" hidden="false" customHeight="false" outlineLevel="0" collapsed="false">
      <c r="A243" s="183"/>
      <c r="B243" s="184"/>
      <c r="C243" s="124" t="n">
        <v>40817</v>
      </c>
      <c r="D243" s="125" t="n">
        <v>40908</v>
      </c>
      <c r="E243" s="62" t="n">
        <v>2.844</v>
      </c>
      <c r="F243" s="63" t="n">
        <f aca="false">-2.844</f>
        <v>-2.844</v>
      </c>
      <c r="G243" s="62" t="n">
        <f aca="false">E243+F243+I242</f>
        <v>0</v>
      </c>
      <c r="H243" s="62"/>
      <c r="I243" s="171" t="n">
        <f aca="false">G243-H243</f>
        <v>0</v>
      </c>
      <c r="J243" s="187" t="e">
        <f aca="false">H243/G243</f>
        <v>#DIV/0!</v>
      </c>
      <c r="K243" s="186"/>
      <c r="L243" s="186"/>
      <c r="M243" s="186"/>
      <c r="N243" s="86"/>
    </row>
    <row r="244" customFormat="false" ht="14.4" hidden="false" customHeight="true" outlineLevel="0" collapsed="false">
      <c r="A244" s="183"/>
      <c r="B244" s="184" t="s">
        <v>103</v>
      </c>
      <c r="C244" s="119" t="n">
        <v>39083</v>
      </c>
      <c r="D244" s="120" t="n">
        <v>40816</v>
      </c>
      <c r="E244" s="55" t="n">
        <v>48.241</v>
      </c>
      <c r="F244" s="55"/>
      <c r="G244" s="55" t="n">
        <f aca="false">E244+F244</f>
        <v>48.241</v>
      </c>
      <c r="H244" s="55"/>
      <c r="I244" s="168" t="n">
        <f aca="false">G244-H244</f>
        <v>48.241</v>
      </c>
      <c r="J244" s="185" t="n">
        <f aca="false">H244/G244</f>
        <v>0</v>
      </c>
      <c r="K244" s="186" t="n">
        <f aca="false">E244+E245+F244+F245</f>
        <v>50.779</v>
      </c>
      <c r="L244" s="186" t="n">
        <f aca="false">H244+H245</f>
        <v>0</v>
      </c>
      <c r="M244" s="186" t="n">
        <f aca="false">K244-L244</f>
        <v>50.779</v>
      </c>
      <c r="N244" s="86" t="n">
        <f aca="false">L244/K244</f>
        <v>0</v>
      </c>
    </row>
    <row r="245" customFormat="false" ht="14.4" hidden="false" customHeight="false" outlineLevel="0" collapsed="false">
      <c r="A245" s="183"/>
      <c r="B245" s="184"/>
      <c r="C245" s="124" t="n">
        <v>40817</v>
      </c>
      <c r="D245" s="125" t="n">
        <v>40908</v>
      </c>
      <c r="E245" s="62" t="n">
        <v>2.538</v>
      </c>
      <c r="F245" s="62"/>
      <c r="G245" s="62" t="n">
        <f aca="false">E245+F245+I244</f>
        <v>50.779</v>
      </c>
      <c r="H245" s="62"/>
      <c r="I245" s="171" t="n">
        <f aca="false">G245-H245</f>
        <v>50.779</v>
      </c>
      <c r="J245" s="187" t="n">
        <f aca="false">H245/G245</f>
        <v>0</v>
      </c>
      <c r="K245" s="186"/>
      <c r="L245" s="186"/>
      <c r="M245" s="186"/>
      <c r="N245" s="86"/>
    </row>
    <row r="246" customFormat="false" ht="14.4" hidden="false" customHeight="true" outlineLevel="0" collapsed="false">
      <c r="A246" s="183"/>
      <c r="B246" s="184" t="s">
        <v>93</v>
      </c>
      <c r="C246" s="119" t="n">
        <v>39083</v>
      </c>
      <c r="D246" s="120" t="n">
        <v>40816</v>
      </c>
      <c r="E246" s="55" t="n">
        <v>0</v>
      </c>
      <c r="F246" s="100"/>
      <c r="G246" s="55" t="n">
        <f aca="false">E246+F246</f>
        <v>0</v>
      </c>
      <c r="H246" s="55"/>
      <c r="I246" s="168" t="n">
        <f aca="false">G246-H246</f>
        <v>0</v>
      </c>
      <c r="J246" s="185" t="e">
        <f aca="false">H246/G246</f>
        <v>#DIV/0!</v>
      </c>
      <c r="K246" s="195" t="n">
        <f aca="false">E246+E247+F246+F247</f>
        <v>0</v>
      </c>
      <c r="L246" s="195" t="n">
        <f aca="false">H246+H247</f>
        <v>0</v>
      </c>
      <c r="M246" s="195" t="n">
        <f aca="false">K246-L246</f>
        <v>0</v>
      </c>
      <c r="N246" s="112" t="e">
        <f aca="false">L246/K246</f>
        <v>#DIV/0!</v>
      </c>
    </row>
    <row r="247" customFormat="false" ht="14.4" hidden="false" customHeight="false" outlineLevel="0" collapsed="false">
      <c r="A247" s="183"/>
      <c r="B247" s="184"/>
      <c r="C247" s="124" t="n">
        <v>40817</v>
      </c>
      <c r="D247" s="125" t="n">
        <v>40908</v>
      </c>
      <c r="E247" s="93" t="n">
        <v>0</v>
      </c>
      <c r="F247" s="94"/>
      <c r="G247" s="93" t="n">
        <f aca="false">E247+F247+I246</f>
        <v>0</v>
      </c>
      <c r="H247" s="93"/>
      <c r="I247" s="172" t="n">
        <f aca="false">G247-H247</f>
        <v>0</v>
      </c>
      <c r="J247" s="190" t="e">
        <f aca="false">H247/G247</f>
        <v>#DIV/0!</v>
      </c>
      <c r="K247" s="195"/>
      <c r="L247" s="195"/>
      <c r="M247" s="195"/>
      <c r="N247" s="112"/>
    </row>
    <row r="248" customFormat="false" ht="14.4" hidden="false" customHeight="true" outlineLevel="0" collapsed="false">
      <c r="A248" s="183"/>
      <c r="B248" s="184" t="s">
        <v>117</v>
      </c>
      <c r="C248" s="119" t="n">
        <v>39083</v>
      </c>
      <c r="D248" s="54" t="n">
        <v>40816</v>
      </c>
      <c r="E248" s="133" t="n">
        <v>0</v>
      </c>
      <c r="F248" s="89" t="n">
        <f aca="false">162.68-162.68</f>
        <v>0</v>
      </c>
      <c r="G248" s="55" t="n">
        <f aca="false">E248+F248</f>
        <v>0</v>
      </c>
      <c r="H248" s="55"/>
      <c r="I248" s="168" t="n">
        <f aca="false">G248-H248</f>
        <v>0</v>
      </c>
      <c r="J248" s="185" t="e">
        <f aca="false">H248/G248</f>
        <v>#DIV/0!</v>
      </c>
      <c r="K248" s="196" t="n">
        <f aca="false">E248+E249+F248+F249</f>
        <v>0</v>
      </c>
      <c r="L248" s="196" t="n">
        <f aca="false">H248+H249</f>
        <v>0</v>
      </c>
      <c r="M248" s="196" t="n">
        <f aca="false">K248-L248</f>
        <v>0</v>
      </c>
      <c r="N248" s="86" t="e">
        <f aca="false">L248/K248</f>
        <v>#DIV/0!</v>
      </c>
    </row>
    <row r="249" customFormat="false" ht="14.4" hidden="false" customHeight="false" outlineLevel="0" collapsed="false">
      <c r="A249" s="183"/>
      <c r="B249" s="184"/>
      <c r="C249" s="124" t="n">
        <v>40817</v>
      </c>
      <c r="D249" s="61" t="n">
        <v>40908</v>
      </c>
      <c r="E249" s="138" t="n">
        <v>0</v>
      </c>
      <c r="F249" s="88" t="n">
        <f aca="false">8.56-8.56</f>
        <v>0</v>
      </c>
      <c r="G249" s="62" t="n">
        <f aca="false">E249+F249+I248</f>
        <v>0</v>
      </c>
      <c r="H249" s="62"/>
      <c r="I249" s="171" t="n">
        <f aca="false">G249-H249</f>
        <v>0</v>
      </c>
      <c r="J249" s="187" t="e">
        <f aca="false">H249/G249</f>
        <v>#DIV/0!</v>
      </c>
      <c r="K249" s="196"/>
      <c r="L249" s="196"/>
      <c r="M249" s="196"/>
      <c r="N249" s="86"/>
    </row>
    <row r="250" customFormat="false" ht="14.4" hidden="false" customHeight="true" outlineLevel="0" collapsed="false">
      <c r="A250" s="183"/>
      <c r="B250" s="184" t="s">
        <v>118</v>
      </c>
      <c r="C250" s="119" t="n">
        <v>39083</v>
      </c>
      <c r="D250" s="54" t="n">
        <v>40816</v>
      </c>
      <c r="E250" s="133" t="n">
        <v>0</v>
      </c>
      <c r="F250" s="55" t="n">
        <v>0</v>
      </c>
      <c r="G250" s="55" t="n">
        <f aca="false">E250+F250</f>
        <v>0</v>
      </c>
      <c r="H250" s="55"/>
      <c r="I250" s="168" t="n">
        <f aca="false">G250-H250</f>
        <v>0</v>
      </c>
      <c r="J250" s="185" t="e">
        <f aca="false">H250/G250</f>
        <v>#DIV/0!</v>
      </c>
      <c r="K250" s="196" t="n">
        <f aca="false">E250+E251+F250+F251</f>
        <v>0</v>
      </c>
      <c r="L250" s="196" t="n">
        <f aca="false">H250+H251</f>
        <v>0</v>
      </c>
      <c r="M250" s="196" t="n">
        <f aca="false">K250-L250</f>
        <v>0</v>
      </c>
      <c r="N250" s="86" t="e">
        <f aca="false">L250/K250</f>
        <v>#DIV/0!</v>
      </c>
    </row>
    <row r="251" customFormat="false" ht="14.4" hidden="false" customHeight="false" outlineLevel="0" collapsed="false">
      <c r="A251" s="183"/>
      <c r="B251" s="184"/>
      <c r="C251" s="124" t="n">
        <v>40817</v>
      </c>
      <c r="D251" s="61" t="n">
        <v>40908</v>
      </c>
      <c r="E251" s="138" t="n">
        <v>0</v>
      </c>
      <c r="F251" s="88" t="n">
        <f aca="false">8.56-8.56</f>
        <v>0</v>
      </c>
      <c r="G251" s="62" t="n">
        <f aca="false">E251+F251+I250</f>
        <v>0</v>
      </c>
      <c r="H251" s="62"/>
      <c r="I251" s="171" t="n">
        <f aca="false">G251-H251</f>
        <v>0</v>
      </c>
      <c r="J251" s="187" t="e">
        <f aca="false">H251/G251</f>
        <v>#DIV/0!</v>
      </c>
      <c r="K251" s="196"/>
      <c r="L251" s="196"/>
      <c r="M251" s="196"/>
      <c r="N251" s="86"/>
    </row>
    <row r="252" customFormat="false" ht="14.4" hidden="false" customHeight="false" outlineLevel="0" collapsed="false">
      <c r="A252" s="102"/>
      <c r="B252" s="197"/>
      <c r="C252" s="74"/>
      <c r="D252" s="74"/>
      <c r="E252" s="75"/>
      <c r="F252" s="181"/>
      <c r="G252" s="75"/>
      <c r="H252" s="75"/>
      <c r="I252" s="75"/>
      <c r="J252" s="77"/>
      <c r="K252" s="198"/>
      <c r="L252" s="198"/>
      <c r="M252" s="198"/>
      <c r="N252" s="80"/>
    </row>
    <row r="253" customFormat="false" ht="14.4" hidden="false" customHeight="false" outlineLevel="0" collapsed="false">
      <c r="A253" s="6"/>
      <c r="B253" s="6"/>
      <c r="C253" s="81"/>
      <c r="D253" s="81"/>
      <c r="E253" s="81"/>
      <c r="F253" s="81"/>
      <c r="G253" s="81"/>
      <c r="H253" s="81"/>
      <c r="I253" s="76"/>
      <c r="J253" s="82"/>
      <c r="K253" s="199"/>
      <c r="L253" s="199"/>
      <c r="M253" s="199"/>
      <c r="N253" s="199"/>
    </row>
    <row r="254" customFormat="false" ht="15" hidden="false" customHeight="true" outlineLevel="0" collapsed="false">
      <c r="A254" s="200" t="s">
        <v>119</v>
      </c>
      <c r="B254" s="201" t="s">
        <v>73</v>
      </c>
      <c r="C254" s="119" t="n">
        <v>39083</v>
      </c>
      <c r="D254" s="120" t="n">
        <v>39202</v>
      </c>
      <c r="E254" s="55" t="n">
        <v>9589.609</v>
      </c>
      <c r="F254" s="56" t="n">
        <f aca="false">-4050-1885-1730-260-660+459.232+22.43+27.803+92.946</f>
        <v>-7982.589</v>
      </c>
      <c r="G254" s="55" t="n">
        <f aca="false">E254+F254</f>
        <v>1607.02</v>
      </c>
      <c r="H254" s="55"/>
      <c r="I254" s="168" t="n">
        <f aca="false">G254-H254</f>
        <v>1607.02</v>
      </c>
      <c r="J254" s="57" t="n">
        <f aca="false">H254/G254</f>
        <v>0</v>
      </c>
      <c r="K254" s="202" t="n">
        <f aca="false">E254+E255+E256+F254+F255+F256</f>
        <v>3356.4</v>
      </c>
      <c r="L254" s="202" t="n">
        <f aca="false">H254+H255+H256</f>
        <v>3349.443</v>
      </c>
      <c r="M254" s="203" t="n">
        <f aca="false">K254-L254</f>
        <v>6.95700000000034</v>
      </c>
      <c r="N254" s="204" t="n">
        <f aca="false">L254/K254</f>
        <v>0.997927243475152</v>
      </c>
    </row>
    <row r="255" customFormat="false" ht="15" hidden="false" customHeight="true" outlineLevel="0" collapsed="false">
      <c r="A255" s="200"/>
      <c r="B255" s="201"/>
      <c r="C255" s="121" t="n">
        <v>39203</v>
      </c>
      <c r="D255" s="122" t="n">
        <v>39691</v>
      </c>
      <c r="E255" s="93" t="n">
        <v>1128.216</v>
      </c>
      <c r="F255" s="94" t="n">
        <f aca="false">10.935</f>
        <v>10.935</v>
      </c>
      <c r="G255" s="93" t="n">
        <f aca="false">E255+F255+I254</f>
        <v>2746.171</v>
      </c>
      <c r="H255" s="93" t="n">
        <v>3040.721</v>
      </c>
      <c r="I255" s="172" t="n">
        <f aca="false">G255-H255</f>
        <v>-294.55</v>
      </c>
      <c r="J255" s="96" t="n">
        <f aca="false">H255/G255</f>
        <v>1.1072584336518</v>
      </c>
      <c r="K255" s="202"/>
      <c r="L255" s="202"/>
      <c r="M255" s="203"/>
      <c r="N255" s="204"/>
    </row>
    <row r="256" customFormat="false" ht="15" hidden="false" customHeight="true" outlineLevel="0" collapsed="false">
      <c r="A256" s="200"/>
      <c r="B256" s="201"/>
      <c r="C256" s="124" t="n">
        <v>39692</v>
      </c>
      <c r="D256" s="125" t="n">
        <v>39813</v>
      </c>
      <c r="E256" s="62" t="n">
        <v>564.062</v>
      </c>
      <c r="F256" s="130" t="n">
        <f aca="false">5.467+40.7</f>
        <v>46.167</v>
      </c>
      <c r="G256" s="93" t="n">
        <f aca="false">E256+F256+I255</f>
        <v>315.679</v>
      </c>
      <c r="H256" s="62" t="n">
        <v>308.722</v>
      </c>
      <c r="I256" s="171" t="n">
        <f aca="false">G256-H256</f>
        <v>6.95700000000034</v>
      </c>
      <c r="J256" s="64" t="n">
        <f aca="false">H256/G256</f>
        <v>0.977961790299639</v>
      </c>
      <c r="K256" s="202"/>
      <c r="L256" s="202"/>
      <c r="M256" s="203"/>
      <c r="N256" s="204"/>
    </row>
    <row r="257" customFormat="false" ht="15" hidden="false" customHeight="true" outlineLevel="0" collapsed="false">
      <c r="A257" s="200"/>
      <c r="B257" s="201" t="s">
        <v>74</v>
      </c>
      <c r="C257" s="119" t="n">
        <v>39083</v>
      </c>
      <c r="D257" s="120" t="n">
        <v>39202</v>
      </c>
      <c r="E257" s="55" t="n">
        <v>1821.573</v>
      </c>
      <c r="F257" s="56" t="n">
        <f aca="false">-1821.573</f>
        <v>-1821.573</v>
      </c>
      <c r="G257" s="55" t="n">
        <f aca="false">E257+F257</f>
        <v>0</v>
      </c>
      <c r="H257" s="55"/>
      <c r="I257" s="168" t="n">
        <f aca="false">G257-H257</f>
        <v>0</v>
      </c>
      <c r="J257" s="57" t="e">
        <f aca="false">H257/G257</f>
        <v>#DIV/0!</v>
      </c>
      <c r="K257" s="202" t="n">
        <f aca="false">E257+E258+E259+F257+F258+F259</f>
        <v>0</v>
      </c>
      <c r="L257" s="202" t="n">
        <f aca="false">H257+H258+H259</f>
        <v>0</v>
      </c>
      <c r="M257" s="202" t="n">
        <f aca="false">K257-L257</f>
        <v>0</v>
      </c>
      <c r="N257" s="129" t="e">
        <f aca="false">L257/K257</f>
        <v>#DIV/0!</v>
      </c>
    </row>
    <row r="258" customFormat="false" ht="15" hidden="false" customHeight="true" outlineLevel="0" collapsed="false">
      <c r="A258" s="200"/>
      <c r="B258" s="201"/>
      <c r="C258" s="121" t="n">
        <v>39203</v>
      </c>
      <c r="D258" s="122" t="n">
        <v>39691</v>
      </c>
      <c r="E258" s="93" t="n">
        <v>214.308</v>
      </c>
      <c r="F258" s="95" t="n">
        <f aca="false">-214.308</f>
        <v>-214.308</v>
      </c>
      <c r="G258" s="93" t="n">
        <f aca="false">E258+F258+I257</f>
        <v>0</v>
      </c>
      <c r="H258" s="93"/>
      <c r="I258" s="172" t="n">
        <f aca="false">G258-H258</f>
        <v>0</v>
      </c>
      <c r="J258" s="96" t="e">
        <f aca="false">H258/G258</f>
        <v>#DIV/0!</v>
      </c>
      <c r="K258" s="202"/>
      <c r="L258" s="202"/>
      <c r="M258" s="202"/>
      <c r="N258" s="129"/>
    </row>
    <row r="259" customFormat="false" ht="15" hidden="false" customHeight="true" outlineLevel="0" collapsed="false">
      <c r="A259" s="200"/>
      <c r="B259" s="201"/>
      <c r="C259" s="124" t="n">
        <v>39692</v>
      </c>
      <c r="D259" s="125" t="n">
        <v>39813</v>
      </c>
      <c r="E259" s="62" t="n">
        <v>107.145</v>
      </c>
      <c r="F259" s="63" t="n">
        <f aca="false">-107.145</f>
        <v>-107.145</v>
      </c>
      <c r="G259" s="93" t="n">
        <f aca="false">E259+F259+I258</f>
        <v>0</v>
      </c>
      <c r="H259" s="62"/>
      <c r="I259" s="171" t="n">
        <f aca="false">G259-H259</f>
        <v>0</v>
      </c>
      <c r="J259" s="64" t="e">
        <f aca="false">H259/G259</f>
        <v>#DIV/0!</v>
      </c>
      <c r="K259" s="202"/>
      <c r="L259" s="202"/>
      <c r="M259" s="202"/>
      <c r="N259" s="129"/>
    </row>
    <row r="260" customFormat="false" ht="14.4" hidden="false" customHeight="true" outlineLevel="0" collapsed="false">
      <c r="A260" s="200"/>
      <c r="B260" s="201" t="s">
        <v>64</v>
      </c>
      <c r="C260" s="119" t="n">
        <v>39083</v>
      </c>
      <c r="D260" s="120" t="n">
        <v>39202</v>
      </c>
      <c r="E260" s="55" t="n">
        <v>26261.193</v>
      </c>
      <c r="F260" s="56" t="n">
        <f aca="false">-6800-6800-1600-4640-4700</f>
        <v>-24540</v>
      </c>
      <c r="G260" s="55" t="n">
        <f aca="false">E260+F260</f>
        <v>1721.193</v>
      </c>
      <c r="H260" s="55"/>
      <c r="I260" s="168" t="n">
        <f aca="false">G260-H260</f>
        <v>1721.193</v>
      </c>
      <c r="J260" s="57" t="n">
        <f aca="false">H260/G260</f>
        <v>0</v>
      </c>
      <c r="K260" s="202" t="n">
        <f aca="false">E260+E261+E262+F260+F261+F262</f>
        <v>6355.507</v>
      </c>
      <c r="L260" s="202" t="n">
        <f aca="false">H260+H261+H262</f>
        <v>6199.791</v>
      </c>
      <c r="M260" s="202" t="n">
        <f aca="false">K260-L260</f>
        <v>155.715999999998</v>
      </c>
      <c r="N260" s="204" t="n">
        <f aca="false">L260/K260</f>
        <v>0.975499043585351</v>
      </c>
    </row>
    <row r="261" customFormat="false" ht="14.4" hidden="false" customHeight="false" outlineLevel="0" collapsed="false">
      <c r="A261" s="200"/>
      <c r="B261" s="201"/>
      <c r="C261" s="121" t="n">
        <v>39203</v>
      </c>
      <c r="D261" s="122" t="n">
        <v>39691</v>
      </c>
      <c r="E261" s="93" t="n">
        <v>3089.626</v>
      </c>
      <c r="F261" s="93"/>
      <c r="G261" s="93" t="n">
        <f aca="false">E261+F261+I260</f>
        <v>4810.819</v>
      </c>
      <c r="H261" s="93" t="n">
        <v>6199.791</v>
      </c>
      <c r="I261" s="172" t="n">
        <f aca="false">G261-H261</f>
        <v>-1388.972</v>
      </c>
      <c r="J261" s="96" t="n">
        <f aca="false">H261/G261</f>
        <v>1.28871840740631</v>
      </c>
      <c r="K261" s="202"/>
      <c r="L261" s="202"/>
      <c r="M261" s="202"/>
      <c r="N261" s="204"/>
    </row>
    <row r="262" customFormat="false" ht="14.4" hidden="false" customHeight="false" outlineLevel="0" collapsed="false">
      <c r="A262" s="200"/>
      <c r="B262" s="201"/>
      <c r="C262" s="124" t="n">
        <v>39692</v>
      </c>
      <c r="D262" s="125" t="n">
        <v>39813</v>
      </c>
      <c r="E262" s="62" t="n">
        <v>1544.688</v>
      </c>
      <c r="F262" s="62"/>
      <c r="G262" s="93" t="n">
        <f aca="false">E262+F262+I261</f>
        <v>155.715999999999</v>
      </c>
      <c r="H262" s="62"/>
      <c r="I262" s="171" t="n">
        <f aca="false">G262-H262</f>
        <v>155.715999999999</v>
      </c>
      <c r="J262" s="64" t="n">
        <f aca="false">H262/G262</f>
        <v>0</v>
      </c>
      <c r="K262" s="202"/>
      <c r="L262" s="202"/>
      <c r="M262" s="202"/>
      <c r="N262" s="204"/>
    </row>
    <row r="263" customFormat="false" ht="14.4" hidden="false" customHeight="true" outlineLevel="0" collapsed="false">
      <c r="A263" s="200"/>
      <c r="B263" s="205" t="s">
        <v>69</v>
      </c>
      <c r="C263" s="119" t="n">
        <v>39083</v>
      </c>
      <c r="D263" s="120" t="n">
        <v>39202</v>
      </c>
      <c r="E263" s="55" t="n">
        <v>19212.831</v>
      </c>
      <c r="F263" s="56" t="n">
        <f aca="false">-1870-2065-400</f>
        <v>-4335</v>
      </c>
      <c r="G263" s="55" t="n">
        <f aca="false">E263+F263</f>
        <v>14877.831</v>
      </c>
      <c r="H263" s="55" t="n">
        <v>12452.276</v>
      </c>
      <c r="I263" s="168" t="n">
        <f aca="false">G263-H263</f>
        <v>2425.555</v>
      </c>
      <c r="J263" s="57" t="n">
        <f aca="false">H263/G263</f>
        <v>0.836968507035737</v>
      </c>
      <c r="K263" s="202" t="n">
        <f aca="false">E263+E264+E265+F263+F264+F265</f>
        <v>16938.32</v>
      </c>
      <c r="L263" s="202" t="n">
        <f aca="false">H263+H264+H265</f>
        <v>16924.049</v>
      </c>
      <c r="M263" s="202" t="n">
        <f aca="false">K263-L263</f>
        <v>14.270999999997</v>
      </c>
      <c r="N263" s="204" t="n">
        <f aca="false">L263/K263</f>
        <v>0.99915747252384</v>
      </c>
    </row>
    <row r="264" customFormat="false" ht="14.4" hidden="false" customHeight="false" outlineLevel="0" collapsed="false">
      <c r="A264" s="200"/>
      <c r="B264" s="205"/>
      <c r="C264" s="121" t="n">
        <v>39203</v>
      </c>
      <c r="D264" s="122" t="n">
        <v>39691</v>
      </c>
      <c r="E264" s="93" t="n">
        <v>2260.387</v>
      </c>
      <c r="F264" s="93"/>
      <c r="G264" s="93" t="n">
        <f aca="false">E264+F264+I263</f>
        <v>4685.942</v>
      </c>
      <c r="H264" s="93" t="n">
        <v>3585.746</v>
      </c>
      <c r="I264" s="172" t="n">
        <f aca="false">G264-H264</f>
        <v>1100.196</v>
      </c>
      <c r="J264" s="96" t="n">
        <f aca="false">H264/G264</f>
        <v>0.765213483222797</v>
      </c>
      <c r="K264" s="202"/>
      <c r="L264" s="202"/>
      <c r="M264" s="202"/>
      <c r="N264" s="204"/>
    </row>
    <row r="265" customFormat="false" ht="14.4" hidden="false" customHeight="false" outlineLevel="0" collapsed="false">
      <c r="A265" s="200"/>
      <c r="B265" s="205"/>
      <c r="C265" s="121" t="n">
        <v>39692</v>
      </c>
      <c r="D265" s="122" t="n">
        <v>39813</v>
      </c>
      <c r="E265" s="93" t="n">
        <v>1130.102</v>
      </c>
      <c r="F265" s="95" t="n">
        <f aca="false">-1230-100</f>
        <v>-1330</v>
      </c>
      <c r="G265" s="93" t="n">
        <f aca="false">E265+F265+I264</f>
        <v>900.297999999999</v>
      </c>
      <c r="H265" s="93" t="n">
        <v>886.027</v>
      </c>
      <c r="I265" s="172" t="n">
        <f aca="false">G265-H265</f>
        <v>14.270999999999</v>
      </c>
      <c r="J265" s="96" t="n">
        <f aca="false">H265/G265</f>
        <v>0.98414858191399</v>
      </c>
      <c r="K265" s="202"/>
      <c r="L265" s="202"/>
      <c r="M265" s="202"/>
      <c r="N265" s="204"/>
    </row>
    <row r="266" customFormat="false" ht="14.4" hidden="false" customHeight="true" outlineLevel="0" collapsed="false">
      <c r="A266" s="200"/>
      <c r="B266" s="201" t="s">
        <v>58</v>
      </c>
      <c r="C266" s="119" t="n">
        <v>39083</v>
      </c>
      <c r="D266" s="120" t="n">
        <v>39202</v>
      </c>
      <c r="E266" s="55" t="n">
        <v>92.946</v>
      </c>
      <c r="F266" s="56" t="n">
        <f aca="false">-92.946</f>
        <v>-92.946</v>
      </c>
      <c r="G266" s="55" t="n">
        <f aca="false">E266+F266</f>
        <v>0</v>
      </c>
      <c r="H266" s="55"/>
      <c r="I266" s="168" t="n">
        <f aca="false">G266-H266</f>
        <v>0</v>
      </c>
      <c r="J266" s="57" t="e">
        <f aca="false">H266/G266</f>
        <v>#DIV/0!</v>
      </c>
      <c r="K266" s="202" t="n">
        <f aca="false">E266+E267+E268+F266+F267+F268</f>
        <v>0</v>
      </c>
      <c r="L266" s="202" t="n">
        <f aca="false">H266+H267+H268</f>
        <v>0</v>
      </c>
      <c r="M266" s="202" t="n">
        <f aca="false">K266-L266</f>
        <v>0</v>
      </c>
      <c r="N266" s="129" t="e">
        <f aca="false">L266/K266</f>
        <v>#DIV/0!</v>
      </c>
    </row>
    <row r="267" customFormat="false" ht="14.4" hidden="false" customHeight="false" outlineLevel="0" collapsed="false">
      <c r="A267" s="200"/>
      <c r="B267" s="201"/>
      <c r="C267" s="121" t="n">
        <v>39203</v>
      </c>
      <c r="D267" s="122" t="n">
        <v>39691</v>
      </c>
      <c r="E267" s="93" t="n">
        <v>10.935</v>
      </c>
      <c r="F267" s="95" t="n">
        <f aca="false">-10.935</f>
        <v>-10.935</v>
      </c>
      <c r="G267" s="93" t="n">
        <f aca="false">E267+F267+I266</f>
        <v>0</v>
      </c>
      <c r="H267" s="93"/>
      <c r="I267" s="172" t="n">
        <f aca="false">G267-H267</f>
        <v>0</v>
      </c>
      <c r="J267" s="96" t="e">
        <f aca="false">H267/G267</f>
        <v>#DIV/0!</v>
      </c>
      <c r="K267" s="202"/>
      <c r="L267" s="202"/>
      <c r="M267" s="202"/>
      <c r="N267" s="129"/>
    </row>
    <row r="268" customFormat="false" ht="14.4" hidden="false" customHeight="false" outlineLevel="0" collapsed="false">
      <c r="A268" s="200"/>
      <c r="B268" s="201"/>
      <c r="C268" s="124" t="n">
        <v>39692</v>
      </c>
      <c r="D268" s="125" t="n">
        <v>39813</v>
      </c>
      <c r="E268" s="62" t="n">
        <v>5.467</v>
      </c>
      <c r="F268" s="63" t="n">
        <f aca="false">-5.467</f>
        <v>-5.467</v>
      </c>
      <c r="G268" s="93" t="n">
        <f aca="false">E268+F268+I267</f>
        <v>0</v>
      </c>
      <c r="H268" s="62"/>
      <c r="I268" s="171" t="n">
        <f aca="false">G268-H268</f>
        <v>0</v>
      </c>
      <c r="J268" s="64" t="e">
        <f aca="false">H268/G268</f>
        <v>#DIV/0!</v>
      </c>
      <c r="K268" s="202"/>
      <c r="L268" s="202"/>
      <c r="M268" s="202"/>
      <c r="N268" s="129"/>
    </row>
    <row r="269" customFormat="false" ht="15" hidden="false" customHeight="true" outlineLevel="0" collapsed="false">
      <c r="A269" s="200"/>
      <c r="B269" s="201" t="s">
        <v>75</v>
      </c>
      <c r="C269" s="119" t="n">
        <v>39083</v>
      </c>
      <c r="D269" s="120" t="n">
        <v>39202</v>
      </c>
      <c r="E269" s="55" t="n">
        <v>4089.599</v>
      </c>
      <c r="F269" s="56" t="n">
        <f aca="false">-995.503-477.647-1193.785</f>
        <v>-2666.935</v>
      </c>
      <c r="G269" s="55" t="n">
        <f aca="false">E269+F269</f>
        <v>1422.664</v>
      </c>
      <c r="H269" s="55"/>
      <c r="I269" s="168" t="n">
        <f aca="false">G269-H269</f>
        <v>1422.664</v>
      </c>
      <c r="J269" s="57" t="n">
        <f aca="false">H269/G269</f>
        <v>0</v>
      </c>
      <c r="K269" s="202" t="n">
        <f aca="false">E269+E270+E271+F269+F270+F271</f>
        <v>530.102</v>
      </c>
      <c r="L269" s="202" t="n">
        <f aca="false">H269+H270+H271</f>
        <v>330.949</v>
      </c>
      <c r="M269" s="203" t="n">
        <f aca="false">K269-L269</f>
        <v>199.153</v>
      </c>
      <c r="N269" s="129" t="n">
        <f aca="false">L269/K269</f>
        <v>0.624311924874836</v>
      </c>
    </row>
    <row r="270" customFormat="false" ht="15" hidden="false" customHeight="true" outlineLevel="0" collapsed="false">
      <c r="A270" s="200"/>
      <c r="B270" s="201"/>
      <c r="C270" s="121" t="n">
        <v>39203</v>
      </c>
      <c r="D270" s="122" t="n">
        <v>39691</v>
      </c>
      <c r="E270" s="93" t="n">
        <v>481.141</v>
      </c>
      <c r="F270" s="95" t="n">
        <f aca="false">-245.589</f>
        <v>-245.589</v>
      </c>
      <c r="G270" s="93" t="n">
        <f aca="false">E270+F270+I269</f>
        <v>1658.216</v>
      </c>
      <c r="H270" s="93"/>
      <c r="I270" s="172" t="n">
        <f aca="false">G270-H270</f>
        <v>1658.216</v>
      </c>
      <c r="J270" s="96" t="n">
        <f aca="false">H270/G270</f>
        <v>0</v>
      </c>
      <c r="K270" s="202"/>
      <c r="L270" s="202"/>
      <c r="M270" s="203"/>
      <c r="N270" s="129"/>
    </row>
    <row r="271" customFormat="false" ht="15" hidden="false" customHeight="true" outlineLevel="0" collapsed="false">
      <c r="A271" s="200"/>
      <c r="B271" s="201"/>
      <c r="C271" s="124" t="n">
        <v>39692</v>
      </c>
      <c r="D271" s="125" t="n">
        <v>39813</v>
      </c>
      <c r="E271" s="62" t="n">
        <v>240.551</v>
      </c>
      <c r="F271" s="63" t="n">
        <f aca="false">-731.168-101.112-520.356+184.961-200.99</f>
        <v>-1368.665</v>
      </c>
      <c r="G271" s="93" t="n">
        <f aca="false">E271+F271+I270</f>
        <v>530.102</v>
      </c>
      <c r="H271" s="62" t="n">
        <v>330.949</v>
      </c>
      <c r="I271" s="171" t="n">
        <f aca="false">G271-H271</f>
        <v>199.153</v>
      </c>
      <c r="J271" s="64" t="n">
        <f aca="false">H271/G271</f>
        <v>0.624311924874836</v>
      </c>
      <c r="K271" s="202"/>
      <c r="L271" s="202"/>
      <c r="M271" s="203"/>
      <c r="N271" s="129"/>
    </row>
    <row r="272" customFormat="false" ht="15" hidden="false" customHeight="true" outlineLevel="0" collapsed="false">
      <c r="A272" s="200"/>
      <c r="B272" s="201" t="s">
        <v>76</v>
      </c>
      <c r="C272" s="119" t="n">
        <v>39083</v>
      </c>
      <c r="D272" s="120" t="n">
        <v>39202</v>
      </c>
      <c r="E272" s="55" t="n">
        <v>3039.603</v>
      </c>
      <c r="F272" s="56" t="n">
        <f aca="false">-260-520</f>
        <v>-780</v>
      </c>
      <c r="G272" s="55" t="n">
        <f aca="false">E272+F272</f>
        <v>2259.603</v>
      </c>
      <c r="H272" s="55"/>
      <c r="I272" s="168" t="n">
        <f aca="false">G272-H272</f>
        <v>2259.603</v>
      </c>
      <c r="J272" s="57" t="n">
        <f aca="false">H272/G272</f>
        <v>0</v>
      </c>
      <c r="K272" s="202" t="n">
        <f aca="false">E272+E273+E274+F272+F273+F274</f>
        <v>2061.302</v>
      </c>
      <c r="L272" s="202" t="n">
        <f aca="false">H272+H273+H274</f>
        <v>1194.888</v>
      </c>
      <c r="M272" s="202" t="n">
        <f aca="false">K272-L272</f>
        <v>866.414</v>
      </c>
      <c r="N272" s="129" t="n">
        <f aca="false">L272/K272</f>
        <v>0.579676340487711</v>
      </c>
    </row>
    <row r="273" customFormat="false" ht="15" hidden="false" customHeight="true" outlineLevel="0" collapsed="false">
      <c r="A273" s="200"/>
      <c r="B273" s="201"/>
      <c r="C273" s="121" t="n">
        <v>39203</v>
      </c>
      <c r="D273" s="122" t="n">
        <v>39691</v>
      </c>
      <c r="E273" s="93" t="n">
        <v>357.609</v>
      </c>
      <c r="F273" s="95" t="n">
        <f aca="false">-260-87-87-260</f>
        <v>-694</v>
      </c>
      <c r="G273" s="93" t="n">
        <f aca="false">E273+F273+I272</f>
        <v>1923.212</v>
      </c>
      <c r="H273" s="93" t="n">
        <v>1194.888</v>
      </c>
      <c r="I273" s="172" t="n">
        <f aca="false">G273-H273</f>
        <v>728.324</v>
      </c>
      <c r="J273" s="96" t="n">
        <f aca="false">H273/G273</f>
        <v>0.62129812002005</v>
      </c>
      <c r="K273" s="202"/>
      <c r="L273" s="202"/>
      <c r="M273" s="202"/>
      <c r="N273" s="129"/>
    </row>
    <row r="274" customFormat="false" ht="15" hidden="false" customHeight="true" outlineLevel="0" collapsed="false">
      <c r="A274" s="200"/>
      <c r="B274" s="201"/>
      <c r="C274" s="124" t="n">
        <v>39692</v>
      </c>
      <c r="D274" s="125" t="n">
        <v>39813</v>
      </c>
      <c r="E274" s="62" t="n">
        <v>178.79</v>
      </c>
      <c r="F274" s="63" t="n">
        <f aca="false">-40.7</f>
        <v>-40.7</v>
      </c>
      <c r="G274" s="93" t="n">
        <f aca="false">E274+F274+I273</f>
        <v>866.414</v>
      </c>
      <c r="H274" s="62"/>
      <c r="I274" s="171" t="n">
        <f aca="false">G274-H274</f>
        <v>866.414</v>
      </c>
      <c r="J274" s="64" t="n">
        <f aca="false">H274/G274</f>
        <v>0</v>
      </c>
      <c r="K274" s="202"/>
      <c r="L274" s="202"/>
      <c r="M274" s="202"/>
      <c r="N274" s="129"/>
    </row>
    <row r="275" customFormat="false" ht="14.4" hidden="false" customHeight="true" outlineLevel="0" collapsed="false">
      <c r="A275" s="200"/>
      <c r="B275" s="201" t="s">
        <v>77</v>
      </c>
      <c r="C275" s="119" t="n">
        <v>39083</v>
      </c>
      <c r="D275" s="120" t="n">
        <v>39202</v>
      </c>
      <c r="E275" s="55" t="n">
        <v>35.573</v>
      </c>
      <c r="F275" s="56" t="n">
        <f aca="false">-35.573</f>
        <v>-35.573</v>
      </c>
      <c r="G275" s="55" t="n">
        <f aca="false">E275+F275</f>
        <v>0</v>
      </c>
      <c r="H275" s="55"/>
      <c r="I275" s="168" t="n">
        <f aca="false">G275-H275</f>
        <v>0</v>
      </c>
      <c r="J275" s="57" t="e">
        <f aca="false">H275/G275</f>
        <v>#DIV/0!</v>
      </c>
      <c r="K275" s="202" t="n">
        <f aca="false">E275+E276+E277+F275+F276+F277</f>
        <v>0</v>
      </c>
      <c r="L275" s="202" t="n">
        <f aca="false">H275+H276+H277</f>
        <v>0</v>
      </c>
      <c r="M275" s="202" t="n">
        <f aca="false">K275-L275</f>
        <v>0</v>
      </c>
      <c r="N275" s="129" t="e">
        <f aca="false">L275/K275</f>
        <v>#DIV/0!</v>
      </c>
    </row>
    <row r="276" customFormat="false" ht="14.4" hidden="false" customHeight="false" outlineLevel="0" collapsed="false">
      <c r="A276" s="200"/>
      <c r="B276" s="201"/>
      <c r="C276" s="121" t="n">
        <v>39203</v>
      </c>
      <c r="D276" s="122" t="n">
        <v>39691</v>
      </c>
      <c r="E276" s="93" t="n">
        <v>4.185</v>
      </c>
      <c r="F276" s="95" t="n">
        <f aca="false">-4.185</f>
        <v>-4.185</v>
      </c>
      <c r="G276" s="93" t="n">
        <f aca="false">E276+F276+I275</f>
        <v>0</v>
      </c>
      <c r="H276" s="93"/>
      <c r="I276" s="172" t="n">
        <f aca="false">G276-H276</f>
        <v>0</v>
      </c>
      <c r="J276" s="96" t="e">
        <f aca="false">H276/G276</f>
        <v>#DIV/0!</v>
      </c>
      <c r="K276" s="202"/>
      <c r="L276" s="202"/>
      <c r="M276" s="202"/>
      <c r="N276" s="129"/>
    </row>
    <row r="277" customFormat="false" ht="14.4" hidden="false" customHeight="false" outlineLevel="0" collapsed="false">
      <c r="A277" s="200"/>
      <c r="B277" s="201"/>
      <c r="C277" s="124" t="n">
        <v>39692</v>
      </c>
      <c r="D277" s="125" t="n">
        <v>39813</v>
      </c>
      <c r="E277" s="62" t="n">
        <v>2.092</v>
      </c>
      <c r="F277" s="63" t="n">
        <f aca="false">-2.092</f>
        <v>-2.092</v>
      </c>
      <c r="G277" s="93" t="n">
        <f aca="false">E277+F277+I276</f>
        <v>0</v>
      </c>
      <c r="H277" s="62"/>
      <c r="I277" s="171" t="n">
        <f aca="false">G277-H277</f>
        <v>0</v>
      </c>
      <c r="J277" s="64" t="e">
        <f aca="false">H277/G277</f>
        <v>#DIV/0!</v>
      </c>
      <c r="K277" s="202"/>
      <c r="L277" s="202"/>
      <c r="M277" s="202"/>
      <c r="N277" s="129"/>
    </row>
    <row r="278" customFormat="false" ht="14.4" hidden="false" customHeight="true" outlineLevel="0" collapsed="false">
      <c r="A278" s="200"/>
      <c r="B278" s="201" t="s">
        <v>78</v>
      </c>
      <c r="C278" s="119" t="n">
        <v>39083</v>
      </c>
      <c r="D278" s="120" t="n">
        <v>39202</v>
      </c>
      <c r="E278" s="55" t="n">
        <v>189.582</v>
      </c>
      <c r="F278" s="56" t="n">
        <f aca="false">-189.582</f>
        <v>-189.582</v>
      </c>
      <c r="G278" s="55" t="n">
        <f aca="false">E278+F278</f>
        <v>0</v>
      </c>
      <c r="H278" s="55"/>
      <c r="I278" s="168" t="n">
        <f aca="false">G278-H278</f>
        <v>0</v>
      </c>
      <c r="J278" s="57" t="e">
        <f aca="false">H278/G278</f>
        <v>#DIV/0!</v>
      </c>
      <c r="K278" s="202" t="n">
        <f aca="false">E278+E279+E280+F278+F279+F280</f>
        <v>0</v>
      </c>
      <c r="L278" s="202" t="n">
        <f aca="false">H278+H279+H280</f>
        <v>0</v>
      </c>
      <c r="M278" s="202" t="n">
        <f aca="false">K278-L278</f>
        <v>0</v>
      </c>
      <c r="N278" s="129" t="e">
        <f aca="false">L278/K278</f>
        <v>#DIV/0!</v>
      </c>
    </row>
    <row r="279" customFormat="false" ht="14.4" hidden="false" customHeight="false" outlineLevel="0" collapsed="false">
      <c r="A279" s="200"/>
      <c r="B279" s="201"/>
      <c r="C279" s="121" t="n">
        <v>39203</v>
      </c>
      <c r="D279" s="122" t="n">
        <v>39691</v>
      </c>
      <c r="E279" s="93" t="n">
        <v>22.304</v>
      </c>
      <c r="F279" s="95" t="n">
        <f aca="false">-22.304</f>
        <v>-22.304</v>
      </c>
      <c r="G279" s="93" t="n">
        <f aca="false">E279+F279+I278</f>
        <v>0</v>
      </c>
      <c r="H279" s="93"/>
      <c r="I279" s="172" t="n">
        <f aca="false">G279-H279</f>
        <v>0</v>
      </c>
      <c r="J279" s="96" t="e">
        <f aca="false">H279/G279</f>
        <v>#DIV/0!</v>
      </c>
      <c r="K279" s="202"/>
      <c r="L279" s="202"/>
      <c r="M279" s="202"/>
      <c r="N279" s="129"/>
    </row>
    <row r="280" customFormat="false" ht="14.4" hidden="false" customHeight="false" outlineLevel="0" collapsed="false">
      <c r="A280" s="200"/>
      <c r="B280" s="201"/>
      <c r="C280" s="124" t="n">
        <v>39692</v>
      </c>
      <c r="D280" s="125" t="n">
        <v>39813</v>
      </c>
      <c r="E280" s="62" t="n">
        <v>11.151</v>
      </c>
      <c r="F280" s="63" t="n">
        <f aca="false">-11.151</f>
        <v>-11.151</v>
      </c>
      <c r="G280" s="93" t="n">
        <f aca="false">E280+F280+I279</f>
        <v>0</v>
      </c>
      <c r="H280" s="62"/>
      <c r="I280" s="171" t="n">
        <f aca="false">G280-H280</f>
        <v>0</v>
      </c>
      <c r="J280" s="64" t="e">
        <f aca="false">H280/G280</f>
        <v>#DIV/0!</v>
      </c>
      <c r="K280" s="202"/>
      <c r="L280" s="202"/>
      <c r="M280" s="202"/>
      <c r="N280" s="129"/>
    </row>
    <row r="281" customFormat="false" ht="14.4" hidden="false" customHeight="true" outlineLevel="0" collapsed="false">
      <c r="A281" s="200"/>
      <c r="B281" s="201" t="s">
        <v>67</v>
      </c>
      <c r="C281" s="119" t="n">
        <v>39083</v>
      </c>
      <c r="D281" s="120" t="n">
        <v>39202</v>
      </c>
      <c r="E281" s="55" t="n">
        <v>5118.508</v>
      </c>
      <c r="F281" s="56" t="n">
        <f aca="false">-1528.633-1338.056-471.224</f>
        <v>-3337.913</v>
      </c>
      <c r="G281" s="55" t="n">
        <f aca="false">E281+F281</f>
        <v>1780.595</v>
      </c>
      <c r="H281" s="55"/>
      <c r="I281" s="168" t="n">
        <f aca="false">G281-H281</f>
        <v>1780.595</v>
      </c>
      <c r="J281" s="57" t="n">
        <f aca="false">H281/G281</f>
        <v>0</v>
      </c>
      <c r="K281" s="202" t="n">
        <f aca="false">E281+E282+E283+F281+F282+F283</f>
        <v>5.66899999999919</v>
      </c>
      <c r="L281" s="202" t="n">
        <f aca="false">H281+H282+H283</f>
        <v>0</v>
      </c>
      <c r="M281" s="202" t="n">
        <f aca="false">K281-L281</f>
        <v>5.66899999999919</v>
      </c>
      <c r="N281" s="129" t="n">
        <f aca="false">L281/K281</f>
        <v>0</v>
      </c>
    </row>
    <row r="282" customFormat="false" ht="14.4" hidden="false" customHeight="false" outlineLevel="0" collapsed="false">
      <c r="A282" s="200"/>
      <c r="B282" s="201"/>
      <c r="C282" s="121" t="n">
        <v>39203</v>
      </c>
      <c r="D282" s="122" t="n">
        <v>39691</v>
      </c>
      <c r="E282" s="93" t="n">
        <v>602.192</v>
      </c>
      <c r="F282" s="95" t="n">
        <f aca="false">-294.3-1001.253</f>
        <v>-1295.553</v>
      </c>
      <c r="G282" s="93" t="n">
        <f aca="false">E282+F282+I281</f>
        <v>1087.234</v>
      </c>
      <c r="H282" s="93"/>
      <c r="I282" s="172" t="n">
        <f aca="false">G282-H282</f>
        <v>1087.234</v>
      </c>
      <c r="J282" s="96" t="n">
        <f aca="false">H282/G282</f>
        <v>0</v>
      </c>
      <c r="K282" s="202"/>
      <c r="L282" s="202"/>
      <c r="M282" s="202"/>
      <c r="N282" s="129"/>
    </row>
    <row r="283" customFormat="false" ht="14.4" hidden="false" customHeight="false" outlineLevel="0" collapsed="false">
      <c r="A283" s="200"/>
      <c r="B283" s="201"/>
      <c r="C283" s="124" t="n">
        <v>39692</v>
      </c>
      <c r="D283" s="125" t="n">
        <v>39813</v>
      </c>
      <c r="E283" s="62" t="n">
        <v>301.071</v>
      </c>
      <c r="F283" s="63" t="n">
        <f aca="false">-224.781-972.894-184.961</f>
        <v>-1382.636</v>
      </c>
      <c r="G283" s="93" t="n">
        <f aca="false">E283+F283+I282</f>
        <v>5.66899999999919</v>
      </c>
      <c r="H283" s="62"/>
      <c r="I283" s="171" t="n">
        <f aca="false">G283-H283</f>
        <v>5.66899999999919</v>
      </c>
      <c r="J283" s="64" t="n">
        <f aca="false">H283/G283</f>
        <v>0</v>
      </c>
      <c r="K283" s="202"/>
      <c r="L283" s="202"/>
      <c r="M283" s="202"/>
      <c r="N283" s="129"/>
    </row>
    <row r="284" customFormat="false" ht="14.4" hidden="false" customHeight="true" outlineLevel="0" collapsed="false">
      <c r="A284" s="200"/>
      <c r="B284" s="205" t="s">
        <v>80</v>
      </c>
      <c r="C284" s="119" t="n">
        <v>39083</v>
      </c>
      <c r="D284" s="120" t="n">
        <v>39202</v>
      </c>
      <c r="E284" s="55" t="n">
        <v>457.133</v>
      </c>
      <c r="F284" s="56" t="n">
        <f aca="false">-250-260-27.803</f>
        <v>-537.803</v>
      </c>
      <c r="G284" s="56" t="n">
        <f aca="false">E284+F284</f>
        <v>-80.67</v>
      </c>
      <c r="H284" s="55"/>
      <c r="I284" s="168" t="n">
        <f aca="false">G284-H284</f>
        <v>-80.67</v>
      </c>
      <c r="J284" s="57" t="n">
        <f aca="false">H284/G284</f>
        <v>-0</v>
      </c>
      <c r="K284" s="202" t="n">
        <f aca="false">E284+E285+E286+F284+F285+F286</f>
        <v>0.000999999999976353</v>
      </c>
      <c r="L284" s="202" t="n">
        <f aca="false">H284+H285+H286</f>
        <v>0</v>
      </c>
      <c r="M284" s="202" t="n">
        <f aca="false">K284-L284</f>
        <v>0.000999999999976353</v>
      </c>
      <c r="N284" s="129" t="n">
        <f aca="false">L284/K284</f>
        <v>0</v>
      </c>
    </row>
    <row r="285" customFormat="false" ht="14.4" hidden="false" customHeight="false" outlineLevel="0" collapsed="false">
      <c r="A285" s="200"/>
      <c r="B285" s="205"/>
      <c r="C285" s="121" t="n">
        <v>39203</v>
      </c>
      <c r="D285" s="122" t="n">
        <v>39691</v>
      </c>
      <c r="E285" s="93" t="n">
        <v>53.782</v>
      </c>
      <c r="F285" s="93"/>
      <c r="G285" s="95" t="n">
        <f aca="false">E285+F285+I284</f>
        <v>-26.888</v>
      </c>
      <c r="H285" s="93"/>
      <c r="I285" s="172" t="n">
        <f aca="false">G285-H285</f>
        <v>-26.888</v>
      </c>
      <c r="J285" s="96" t="n">
        <f aca="false">H285/G285</f>
        <v>-0</v>
      </c>
      <c r="K285" s="202"/>
      <c r="L285" s="202"/>
      <c r="M285" s="202"/>
      <c r="N285" s="129"/>
    </row>
    <row r="286" customFormat="false" ht="14.4" hidden="false" customHeight="false" outlineLevel="0" collapsed="false">
      <c r="A286" s="200"/>
      <c r="B286" s="205"/>
      <c r="C286" s="121" t="n">
        <v>39692</v>
      </c>
      <c r="D286" s="122" t="n">
        <v>39813</v>
      </c>
      <c r="E286" s="93" t="n">
        <v>26.889</v>
      </c>
      <c r="F286" s="93"/>
      <c r="G286" s="93" t="n">
        <f aca="false">E286+F286+I285</f>
        <v>0.000999999999979906</v>
      </c>
      <c r="H286" s="93"/>
      <c r="I286" s="172" t="n">
        <f aca="false">G286-H286</f>
        <v>0.000999999999979906</v>
      </c>
      <c r="J286" s="96" t="n">
        <f aca="false">H286/G286</f>
        <v>0</v>
      </c>
      <c r="K286" s="202"/>
      <c r="L286" s="202"/>
      <c r="M286" s="202"/>
      <c r="N286" s="129"/>
    </row>
    <row r="287" customFormat="false" ht="14.4" hidden="false" customHeight="true" outlineLevel="0" collapsed="false">
      <c r="A287" s="200"/>
      <c r="B287" s="201" t="s">
        <v>81</v>
      </c>
      <c r="C287" s="119" t="n">
        <v>39083</v>
      </c>
      <c r="D287" s="120" t="n">
        <v>39202</v>
      </c>
      <c r="E287" s="55" t="n">
        <v>10220.456</v>
      </c>
      <c r="F287" s="100" t="n">
        <f aca="false">203.82+5000</f>
        <v>5203.82</v>
      </c>
      <c r="G287" s="55" t="n">
        <f aca="false">E287+F287</f>
        <v>15424.276</v>
      </c>
      <c r="H287" s="55" t="n">
        <v>1687.049</v>
      </c>
      <c r="I287" s="168" t="n">
        <f aca="false">G287-H287</f>
        <v>13737.227</v>
      </c>
      <c r="J287" s="57" t="n">
        <f aca="false">H287/G287</f>
        <v>0.109376219668268</v>
      </c>
      <c r="K287" s="202" t="n">
        <f aca="false">E287+E288+E289+F287+F288+F289</f>
        <v>20167.214</v>
      </c>
      <c r="L287" s="202" t="n">
        <f aca="false">H287+H288+H289</f>
        <v>20163.341</v>
      </c>
      <c r="M287" s="206" t="n">
        <f aca="false">K287-L287</f>
        <v>3.87299999999595</v>
      </c>
      <c r="N287" s="204" t="n">
        <f aca="false">L287/K287</f>
        <v>0.999807955625403</v>
      </c>
    </row>
    <row r="288" customFormat="false" ht="14.4" hidden="false" customHeight="false" outlineLevel="0" collapsed="false">
      <c r="A288" s="200"/>
      <c r="B288" s="201"/>
      <c r="C288" s="121" t="n">
        <v>39203</v>
      </c>
      <c r="D288" s="122" t="n">
        <v>39691</v>
      </c>
      <c r="E288" s="93" t="n">
        <v>1202.435</v>
      </c>
      <c r="F288" s="94" t="n">
        <f aca="false">900+677+350+1000</f>
        <v>2927</v>
      </c>
      <c r="G288" s="93" t="n">
        <f aca="false">E288+F288+I287</f>
        <v>17866.662</v>
      </c>
      <c r="H288" s="93" t="n">
        <v>12571.774</v>
      </c>
      <c r="I288" s="172" t="n">
        <f aca="false">G288-H288</f>
        <v>5294.888</v>
      </c>
      <c r="J288" s="96" t="n">
        <f aca="false">H288/G288</f>
        <v>0.703644250951857</v>
      </c>
      <c r="K288" s="202"/>
      <c r="L288" s="202"/>
      <c r="M288" s="206"/>
      <c r="N288" s="204"/>
    </row>
    <row r="289" customFormat="false" ht="14.4" hidden="false" customHeight="false" outlineLevel="0" collapsed="false">
      <c r="A289" s="200"/>
      <c r="B289" s="201"/>
      <c r="C289" s="124" t="n">
        <v>39692</v>
      </c>
      <c r="D289" s="125" t="n">
        <v>39813</v>
      </c>
      <c r="E289" s="62" t="n">
        <v>601.169</v>
      </c>
      <c r="F289" s="130" t="n">
        <f aca="false">12.334</f>
        <v>12.334</v>
      </c>
      <c r="G289" s="93" t="n">
        <f aca="false">E289+F289+I288</f>
        <v>5908.391</v>
      </c>
      <c r="H289" s="62" t="n">
        <v>5904.518</v>
      </c>
      <c r="I289" s="171" t="n">
        <f aca="false">G289-H289</f>
        <v>3.87299999999686</v>
      </c>
      <c r="J289" s="64" t="n">
        <f aca="false">H289/G289</f>
        <v>0.99934449158832</v>
      </c>
      <c r="K289" s="202"/>
      <c r="L289" s="202"/>
      <c r="M289" s="206"/>
      <c r="N289" s="204"/>
    </row>
    <row r="290" customFormat="false" ht="14.4" hidden="false" customHeight="true" outlineLevel="0" collapsed="false">
      <c r="A290" s="200"/>
      <c r="B290" s="201" t="s">
        <v>82</v>
      </c>
      <c r="C290" s="119" t="n">
        <v>39083</v>
      </c>
      <c r="D290" s="120" t="n">
        <v>39202</v>
      </c>
      <c r="E290" s="55" t="n">
        <v>2410.297</v>
      </c>
      <c r="F290" s="100" t="n">
        <f aca="false">35.573+1821.573+189.582+1424.29</f>
        <v>3471.018</v>
      </c>
      <c r="G290" s="55" t="n">
        <f aca="false">E290+F290</f>
        <v>5881.315</v>
      </c>
      <c r="H290" s="55" t="n">
        <v>3131.169</v>
      </c>
      <c r="I290" s="168" t="n">
        <f aca="false">G290-H290</f>
        <v>2750.146</v>
      </c>
      <c r="J290" s="57" t="n">
        <f aca="false">H290/G290</f>
        <v>0.532392670686743</v>
      </c>
      <c r="K290" s="202" t="n">
        <f aca="false">E290+E291+E292+F290+F291+F292</f>
        <v>6973.511</v>
      </c>
      <c r="L290" s="202" t="n">
        <f aca="false">H290+H291+H292</f>
        <v>6921.389</v>
      </c>
      <c r="M290" s="202" t="n">
        <f aca="false">K290-L290</f>
        <v>52.1220000000003</v>
      </c>
      <c r="N290" s="204" t="n">
        <f aca="false">L290/K290</f>
        <v>0.992525716242507</v>
      </c>
    </row>
    <row r="291" customFormat="false" ht="14.4" hidden="false" customHeight="false" outlineLevel="0" collapsed="false">
      <c r="A291" s="200"/>
      <c r="B291" s="201"/>
      <c r="C291" s="121" t="n">
        <v>39203</v>
      </c>
      <c r="D291" s="122" t="n">
        <v>39691</v>
      </c>
      <c r="E291" s="93" t="n">
        <v>283.571</v>
      </c>
      <c r="F291" s="94" t="n">
        <f aca="false">4.185+214.308+22.304+318</f>
        <v>558.797</v>
      </c>
      <c r="G291" s="93" t="n">
        <f aca="false">E291+F291+I290</f>
        <v>3592.514</v>
      </c>
      <c r="H291" s="93" t="n">
        <v>2493.386</v>
      </c>
      <c r="I291" s="172" t="n">
        <f aca="false">G291-H291</f>
        <v>1099.128</v>
      </c>
      <c r="J291" s="96" t="n">
        <f aca="false">H291/G291</f>
        <v>0.694050461598758</v>
      </c>
      <c r="K291" s="202"/>
      <c r="L291" s="202"/>
      <c r="M291" s="202"/>
      <c r="N291" s="204"/>
    </row>
    <row r="292" customFormat="false" ht="14.4" hidden="false" customHeight="false" outlineLevel="0" collapsed="false">
      <c r="A292" s="200"/>
      <c r="B292" s="201"/>
      <c r="C292" s="124" t="n">
        <v>39692</v>
      </c>
      <c r="D292" s="125" t="n">
        <v>39813</v>
      </c>
      <c r="E292" s="62" t="n">
        <v>141.774</v>
      </c>
      <c r="F292" s="130" t="n">
        <f aca="false">2.092+107.145+11.151-12.334</f>
        <v>108.054</v>
      </c>
      <c r="G292" s="93" t="n">
        <f aca="false">E292+F292+I291</f>
        <v>1348.956</v>
      </c>
      <c r="H292" s="62" t="n">
        <v>1296.834</v>
      </c>
      <c r="I292" s="171" t="n">
        <f aca="false">G292-H292</f>
        <v>52.1220000000005</v>
      </c>
      <c r="J292" s="64" t="n">
        <f aca="false">H292/G292</f>
        <v>0.961361230462669</v>
      </c>
      <c r="K292" s="202"/>
      <c r="L292" s="202"/>
      <c r="M292" s="202"/>
      <c r="N292" s="204"/>
    </row>
    <row r="293" customFormat="false" ht="14.4" hidden="false" customHeight="true" outlineLevel="0" collapsed="false">
      <c r="A293" s="200"/>
      <c r="B293" s="201" t="s">
        <v>120</v>
      </c>
      <c r="C293" s="119" t="n">
        <v>39083</v>
      </c>
      <c r="D293" s="120" t="n">
        <v>39202</v>
      </c>
      <c r="E293" s="55" t="n">
        <v>372.666</v>
      </c>
      <c r="F293" s="56" t="n">
        <f aca="false">-416-22.43</f>
        <v>-438.43</v>
      </c>
      <c r="G293" s="56" t="n">
        <f aca="false">E293+F293</f>
        <v>-65.764</v>
      </c>
      <c r="H293" s="55"/>
      <c r="I293" s="168" t="n">
        <f aca="false">G293-H293</f>
        <v>-65.764</v>
      </c>
      <c r="J293" s="57" t="n">
        <f aca="false">H293/G293</f>
        <v>-0</v>
      </c>
      <c r="K293" s="202" t="n">
        <f aca="false">E293+E294+E295+F293+F294+F295</f>
        <v>0</v>
      </c>
      <c r="L293" s="202" t="n">
        <f aca="false">H293+H294+H295</f>
        <v>0</v>
      </c>
      <c r="M293" s="202" t="n">
        <f aca="false">K293-L293</f>
        <v>0</v>
      </c>
      <c r="N293" s="129" t="e">
        <f aca="false">L293/K293</f>
        <v>#DIV/0!</v>
      </c>
    </row>
    <row r="294" customFormat="false" ht="14.4" hidden="false" customHeight="false" outlineLevel="0" collapsed="false">
      <c r="A294" s="200"/>
      <c r="B294" s="201"/>
      <c r="C294" s="121" t="n">
        <v>39203</v>
      </c>
      <c r="D294" s="122" t="n">
        <v>39691</v>
      </c>
      <c r="E294" s="93" t="n">
        <v>43.844</v>
      </c>
      <c r="F294" s="93"/>
      <c r="G294" s="95" t="n">
        <f aca="false">E294+F294+I293</f>
        <v>-21.92</v>
      </c>
      <c r="H294" s="93"/>
      <c r="I294" s="172" t="n">
        <f aca="false">G294-H294</f>
        <v>-21.92</v>
      </c>
      <c r="J294" s="96" t="n">
        <f aca="false">H294/G294</f>
        <v>-0</v>
      </c>
      <c r="K294" s="202"/>
      <c r="L294" s="202"/>
      <c r="M294" s="202"/>
      <c r="N294" s="129"/>
    </row>
    <row r="295" customFormat="false" ht="14.4" hidden="false" customHeight="false" outlineLevel="0" collapsed="false">
      <c r="A295" s="200"/>
      <c r="B295" s="201"/>
      <c r="C295" s="124" t="n">
        <v>39692</v>
      </c>
      <c r="D295" s="125" t="n">
        <v>39813</v>
      </c>
      <c r="E295" s="62" t="n">
        <v>21.92</v>
      </c>
      <c r="F295" s="62"/>
      <c r="G295" s="93" t="n">
        <f aca="false">E295+F295+I294</f>
        <v>0</v>
      </c>
      <c r="H295" s="62"/>
      <c r="I295" s="171" t="n">
        <f aca="false">G295-H295</f>
        <v>0</v>
      </c>
      <c r="J295" s="64" t="e">
        <f aca="false">H295/G295</f>
        <v>#DIV/0!</v>
      </c>
      <c r="K295" s="202"/>
      <c r="L295" s="202"/>
      <c r="M295" s="202"/>
      <c r="N295" s="129"/>
    </row>
    <row r="296" customFormat="false" ht="14.4" hidden="false" customHeight="true" outlineLevel="0" collapsed="false">
      <c r="A296" s="200"/>
      <c r="B296" s="205" t="s">
        <v>68</v>
      </c>
      <c r="C296" s="119" t="n">
        <v>39083</v>
      </c>
      <c r="D296" s="120" t="n">
        <v>39202</v>
      </c>
      <c r="E296" s="55" t="n">
        <v>20383.381</v>
      </c>
      <c r="F296" s="56" t="n">
        <f aca="false">-3701.045</f>
        <v>-3701.045</v>
      </c>
      <c r="G296" s="55" t="n">
        <f aca="false">E296+F296</f>
        <v>16682.336</v>
      </c>
      <c r="H296" s="55" t="n">
        <v>551.855</v>
      </c>
      <c r="I296" s="168" t="n">
        <f aca="false">G296-H296</f>
        <v>16130.481</v>
      </c>
      <c r="J296" s="57" t="n">
        <f aca="false">H296/G296</f>
        <v>0.0330801993198075</v>
      </c>
      <c r="K296" s="202" t="n">
        <f aca="false">E296+E297+E298+F296+F297+F298</f>
        <v>20279.392</v>
      </c>
      <c r="L296" s="202" t="n">
        <f aca="false">H296+H297+H298</f>
        <v>20123.031</v>
      </c>
      <c r="M296" s="202" t="n">
        <f aca="false">K296-L296</f>
        <v>156.361000000001</v>
      </c>
      <c r="N296" s="204" t="n">
        <f aca="false">L296/K296</f>
        <v>0.992289660360626</v>
      </c>
    </row>
    <row r="297" customFormat="false" ht="14.4" hidden="false" customHeight="false" outlineLevel="0" collapsed="false">
      <c r="A297" s="200"/>
      <c r="B297" s="205"/>
      <c r="C297" s="121" t="n">
        <v>39203</v>
      </c>
      <c r="D297" s="122" t="n">
        <v>39691</v>
      </c>
      <c r="E297" s="93" t="n">
        <v>2398.102</v>
      </c>
      <c r="F297" s="93"/>
      <c r="G297" s="93" t="n">
        <f aca="false">E297+F297+I296</f>
        <v>18528.583</v>
      </c>
      <c r="H297" s="93" t="n">
        <v>19067.548</v>
      </c>
      <c r="I297" s="172" t="n">
        <f aca="false">G297-H297</f>
        <v>-538.964999999997</v>
      </c>
      <c r="J297" s="96" t="n">
        <f aca="false">H297/G297</f>
        <v>1.02908830103198</v>
      </c>
      <c r="K297" s="202"/>
      <c r="L297" s="202"/>
      <c r="M297" s="202"/>
      <c r="N297" s="204"/>
    </row>
    <row r="298" customFormat="false" ht="14.4" hidden="false" customHeight="false" outlineLevel="0" collapsed="false">
      <c r="A298" s="200"/>
      <c r="B298" s="205"/>
      <c r="C298" s="121" t="n">
        <v>39692</v>
      </c>
      <c r="D298" s="122" t="n">
        <v>39813</v>
      </c>
      <c r="E298" s="93" t="n">
        <v>1198.954</v>
      </c>
      <c r="F298" s="93"/>
      <c r="G298" s="93" t="n">
        <f aca="false">E298+F298+I297</f>
        <v>659.989000000003</v>
      </c>
      <c r="H298" s="93" t="n">
        <v>503.628</v>
      </c>
      <c r="I298" s="172" t="n">
        <f aca="false">G298-H298</f>
        <v>156.361000000003</v>
      </c>
      <c r="J298" s="96" t="n">
        <f aca="false">H298/G298</f>
        <v>0.763085445363479</v>
      </c>
      <c r="K298" s="202"/>
      <c r="L298" s="202"/>
      <c r="M298" s="202"/>
      <c r="N298" s="204"/>
    </row>
    <row r="299" customFormat="false" ht="14.4" hidden="false" customHeight="true" outlineLevel="0" collapsed="false">
      <c r="A299" s="200"/>
      <c r="B299" s="201" t="s">
        <v>101</v>
      </c>
      <c r="C299" s="119" t="n">
        <v>39083</v>
      </c>
      <c r="D299" s="120" t="n">
        <v>39202</v>
      </c>
      <c r="E299" s="55" t="n">
        <v>1125.702</v>
      </c>
      <c r="F299" s="56" t="n">
        <f aca="false">-1125.702</f>
        <v>-1125.702</v>
      </c>
      <c r="G299" s="55" t="n">
        <f aca="false">E299+F299</f>
        <v>0</v>
      </c>
      <c r="H299" s="55"/>
      <c r="I299" s="168" t="n">
        <f aca="false">G299-H299</f>
        <v>0</v>
      </c>
      <c r="J299" s="57" t="e">
        <f aca="false">H299/G299</f>
        <v>#DIV/0!</v>
      </c>
      <c r="K299" s="202" t="n">
        <f aca="false">E299+E300+E301+F299+F300+F301</f>
        <v>0</v>
      </c>
      <c r="L299" s="202" t="n">
        <f aca="false">H299+H300+H301</f>
        <v>0</v>
      </c>
      <c r="M299" s="202" t="n">
        <f aca="false">K299-L299</f>
        <v>0</v>
      </c>
      <c r="N299" s="129" t="e">
        <f aca="false">L299/K299</f>
        <v>#DIV/0!</v>
      </c>
    </row>
    <row r="300" customFormat="false" ht="14.4" hidden="false" customHeight="false" outlineLevel="0" collapsed="false">
      <c r="A300" s="200"/>
      <c r="B300" s="201"/>
      <c r="C300" s="121" t="n">
        <v>39203</v>
      </c>
      <c r="D300" s="122" t="n">
        <v>39691</v>
      </c>
      <c r="E300" s="93" t="n">
        <v>132.439</v>
      </c>
      <c r="F300" s="95" t="n">
        <f aca="false">-132.439</f>
        <v>-132.439</v>
      </c>
      <c r="G300" s="93" t="n">
        <f aca="false">E300+F300+I299</f>
        <v>0</v>
      </c>
      <c r="H300" s="93"/>
      <c r="I300" s="172" t="n">
        <f aca="false">G300-H300</f>
        <v>0</v>
      </c>
      <c r="J300" s="96" t="e">
        <f aca="false">H300/G300</f>
        <v>#DIV/0!</v>
      </c>
      <c r="K300" s="202"/>
      <c r="L300" s="202"/>
      <c r="M300" s="202"/>
      <c r="N300" s="129"/>
    </row>
    <row r="301" customFormat="false" ht="14.4" hidden="false" customHeight="false" outlineLevel="0" collapsed="false">
      <c r="A301" s="200"/>
      <c r="B301" s="201"/>
      <c r="C301" s="121" t="n">
        <v>39692</v>
      </c>
      <c r="D301" s="122" t="n">
        <v>39813</v>
      </c>
      <c r="E301" s="62" t="n">
        <v>66.214</v>
      </c>
      <c r="F301" s="63" t="n">
        <f aca="false">-66.214</f>
        <v>-66.214</v>
      </c>
      <c r="G301" s="93" t="n">
        <f aca="false">E301+F301+I300</f>
        <v>0</v>
      </c>
      <c r="H301" s="62"/>
      <c r="I301" s="171" t="n">
        <f aca="false">G301-H301</f>
        <v>0</v>
      </c>
      <c r="J301" s="64" t="e">
        <f aca="false">H301/G301</f>
        <v>#DIV/0!</v>
      </c>
      <c r="K301" s="202"/>
      <c r="L301" s="202"/>
      <c r="M301" s="202"/>
      <c r="N301" s="129"/>
    </row>
    <row r="302" customFormat="false" ht="14.4" hidden="false" customHeight="true" outlineLevel="0" collapsed="false">
      <c r="A302" s="200"/>
      <c r="B302" s="201" t="s">
        <v>102</v>
      </c>
      <c r="C302" s="119" t="n">
        <v>39083</v>
      </c>
      <c r="D302" s="120" t="n">
        <v>39202</v>
      </c>
      <c r="E302" s="55" t="n">
        <v>390.348</v>
      </c>
      <c r="F302" s="56" t="n">
        <v>-459.232</v>
      </c>
      <c r="G302" s="56" t="n">
        <f aca="false">E302+F302</f>
        <v>-68.884</v>
      </c>
      <c r="H302" s="55"/>
      <c r="I302" s="168" t="n">
        <f aca="false">G302-H302</f>
        <v>-68.884</v>
      </c>
      <c r="J302" s="57" t="n">
        <f aca="false">H302/G302</f>
        <v>-0</v>
      </c>
      <c r="K302" s="202" t="n">
        <f aca="false">E302+E303+E304+F302+F303+F304</f>
        <v>0</v>
      </c>
      <c r="L302" s="202" t="n">
        <f aca="false">H302+H303+H304</f>
        <v>0</v>
      </c>
      <c r="M302" s="202" t="n">
        <f aca="false">K302-L302</f>
        <v>0</v>
      </c>
      <c r="N302" s="129" t="e">
        <f aca="false">L302/K302</f>
        <v>#DIV/0!</v>
      </c>
    </row>
    <row r="303" customFormat="false" ht="14.4" hidden="false" customHeight="false" outlineLevel="0" collapsed="false">
      <c r="A303" s="200"/>
      <c r="B303" s="201"/>
      <c r="C303" s="121" t="n">
        <v>39203</v>
      </c>
      <c r="D303" s="122" t="n">
        <v>39691</v>
      </c>
      <c r="E303" s="93" t="n">
        <v>45.924</v>
      </c>
      <c r="F303" s="93"/>
      <c r="G303" s="95" t="n">
        <f aca="false">E303+F303+I302</f>
        <v>-22.96</v>
      </c>
      <c r="H303" s="93"/>
      <c r="I303" s="172" t="n">
        <f aca="false">G303-H303</f>
        <v>-22.96</v>
      </c>
      <c r="J303" s="96" t="n">
        <f aca="false">H303/G303</f>
        <v>-0</v>
      </c>
      <c r="K303" s="202"/>
      <c r="L303" s="202"/>
      <c r="M303" s="202"/>
      <c r="N303" s="129"/>
    </row>
    <row r="304" customFormat="false" ht="14.4" hidden="false" customHeight="false" outlineLevel="0" collapsed="false">
      <c r="A304" s="200"/>
      <c r="B304" s="201"/>
      <c r="C304" s="124" t="n">
        <v>39692</v>
      </c>
      <c r="D304" s="125" t="n">
        <v>39813</v>
      </c>
      <c r="E304" s="93" t="n">
        <v>22.96</v>
      </c>
      <c r="F304" s="93"/>
      <c r="G304" s="93" t="n">
        <f aca="false">E304+F304+I303</f>
        <v>0</v>
      </c>
      <c r="H304" s="93"/>
      <c r="I304" s="172" t="n">
        <f aca="false">G304-H304</f>
        <v>0</v>
      </c>
      <c r="J304" s="96" t="e">
        <f aca="false">H304/G304</f>
        <v>#DIV/0!</v>
      </c>
      <c r="K304" s="202"/>
      <c r="L304" s="202"/>
      <c r="M304" s="202"/>
      <c r="N304" s="129"/>
    </row>
    <row r="305" customFormat="false" ht="14.4" hidden="false" customHeight="true" outlineLevel="0" collapsed="false">
      <c r="A305" s="200"/>
      <c r="B305" s="207" t="s">
        <v>121</v>
      </c>
      <c r="C305" s="119" t="n">
        <v>39083</v>
      </c>
      <c r="D305" s="120" t="n">
        <v>39202</v>
      </c>
      <c r="E305" s="133" t="n">
        <v>0</v>
      </c>
      <c r="F305" s="100" t="n">
        <f aca="false">1125.702-844.323</f>
        <v>281.379</v>
      </c>
      <c r="G305" s="55" t="n">
        <f aca="false">E305+F305</f>
        <v>281.379</v>
      </c>
      <c r="H305" s="55"/>
      <c r="I305" s="168" t="n">
        <f aca="false">G305-H305</f>
        <v>281.379</v>
      </c>
      <c r="J305" s="57" t="n">
        <f aca="false">H305/G305</f>
        <v>0</v>
      </c>
      <c r="K305" s="208" t="n">
        <f aca="false">E305+E306+E307+F305+F306+F307</f>
        <v>27.495</v>
      </c>
      <c r="L305" s="208" t="n">
        <f aca="false">H305+H306+H307</f>
        <v>0</v>
      </c>
      <c r="M305" s="208" t="n">
        <f aca="false">K305-L305</f>
        <v>27.495</v>
      </c>
      <c r="N305" s="129" t="n">
        <f aca="false">L305/K305</f>
        <v>0</v>
      </c>
    </row>
    <row r="306" customFormat="false" ht="14.4" hidden="false" customHeight="false" outlineLevel="0" collapsed="false">
      <c r="A306" s="200"/>
      <c r="B306" s="207"/>
      <c r="C306" s="121" t="n">
        <v>39203</v>
      </c>
      <c r="D306" s="122" t="n">
        <v>39691</v>
      </c>
      <c r="E306" s="136" t="n">
        <v>0</v>
      </c>
      <c r="F306" s="94" t="n">
        <f aca="false">132.439</f>
        <v>132.439</v>
      </c>
      <c r="G306" s="93" t="n">
        <f aca="false">E306+F306+I305</f>
        <v>413.818</v>
      </c>
      <c r="H306" s="93"/>
      <c r="I306" s="172" t="n">
        <f aca="false">G306-H306</f>
        <v>413.818</v>
      </c>
      <c r="J306" s="96" t="n">
        <f aca="false">H306/G306</f>
        <v>0</v>
      </c>
      <c r="K306" s="208"/>
      <c r="L306" s="208"/>
      <c r="M306" s="208"/>
      <c r="N306" s="129"/>
    </row>
    <row r="307" customFormat="false" ht="14.4" hidden="false" customHeight="false" outlineLevel="0" collapsed="false">
      <c r="A307" s="200"/>
      <c r="B307" s="207"/>
      <c r="C307" s="124" t="n">
        <v>39692</v>
      </c>
      <c r="D307" s="125" t="n">
        <v>39813</v>
      </c>
      <c r="E307" s="138" t="n">
        <v>0</v>
      </c>
      <c r="F307" s="63" t="n">
        <f aca="false">66.214-452.537</f>
        <v>-386.323</v>
      </c>
      <c r="G307" s="62" t="n">
        <f aca="false">E307+F307+I306</f>
        <v>27.495</v>
      </c>
      <c r="H307" s="62"/>
      <c r="I307" s="171" t="n">
        <f aca="false">G307-H307</f>
        <v>27.495</v>
      </c>
      <c r="J307" s="64" t="n">
        <f aca="false">H307/G307</f>
        <v>0</v>
      </c>
      <c r="K307" s="208"/>
      <c r="L307" s="208"/>
      <c r="M307" s="208"/>
      <c r="N307" s="129"/>
    </row>
    <row r="308" customFormat="false" ht="14.4" hidden="false" customHeight="true" outlineLevel="0" collapsed="false">
      <c r="A308" s="200"/>
      <c r="B308" s="207" t="s">
        <v>122</v>
      </c>
      <c r="C308" s="119" t="n">
        <v>39083</v>
      </c>
      <c r="D308" s="120" t="n">
        <v>39202</v>
      </c>
      <c r="E308" s="133" t="n">
        <v>0</v>
      </c>
      <c r="F308" s="100"/>
      <c r="G308" s="55" t="n">
        <f aca="false">E308+F308</f>
        <v>0</v>
      </c>
      <c r="H308" s="55"/>
      <c r="I308" s="168" t="n">
        <f aca="false">G308-H308</f>
        <v>0</v>
      </c>
      <c r="J308" s="57" t="e">
        <f aca="false">H308/G308</f>
        <v>#DIV/0!</v>
      </c>
      <c r="K308" s="208" t="n">
        <f aca="false">E308+E309+E310+F308+F309+F310</f>
        <v>7.35699999999997</v>
      </c>
      <c r="L308" s="208" t="n">
        <f aca="false">H308+H309+H310</f>
        <v>0</v>
      </c>
      <c r="M308" s="208" t="n">
        <f aca="false">K308-L308</f>
        <v>7.35699999999997</v>
      </c>
      <c r="N308" s="129" t="n">
        <f aca="false">L308/K308</f>
        <v>0</v>
      </c>
    </row>
    <row r="309" customFormat="false" ht="14.4" hidden="false" customHeight="false" outlineLevel="0" collapsed="false">
      <c r="A309" s="200"/>
      <c r="B309" s="207"/>
      <c r="C309" s="121" t="n">
        <v>39203</v>
      </c>
      <c r="D309" s="122" t="n">
        <v>39691</v>
      </c>
      <c r="E309" s="136" t="n">
        <v>0</v>
      </c>
      <c r="F309" s="94"/>
      <c r="G309" s="93" t="n">
        <f aca="false">E309+F309+I308</f>
        <v>0</v>
      </c>
      <c r="H309" s="93"/>
      <c r="I309" s="172" t="n">
        <f aca="false">G309-H309</f>
        <v>0</v>
      </c>
      <c r="J309" s="96" t="e">
        <f aca="false">H309/G309</f>
        <v>#DIV/0!</v>
      </c>
      <c r="K309" s="208"/>
      <c r="L309" s="208"/>
      <c r="M309" s="208"/>
      <c r="N309" s="129"/>
    </row>
    <row r="310" customFormat="false" ht="14.4" hidden="false" customHeight="false" outlineLevel="0" collapsed="false">
      <c r="A310" s="200"/>
      <c r="B310" s="207"/>
      <c r="C310" s="124" t="n">
        <v>39692</v>
      </c>
      <c r="D310" s="125" t="n">
        <v>39813</v>
      </c>
      <c r="E310" s="138" t="n">
        <v>0</v>
      </c>
      <c r="F310" s="130" t="n">
        <f aca="false">731.168-462.401-261.41</f>
        <v>7.35699999999997</v>
      </c>
      <c r="G310" s="62" t="n">
        <f aca="false">E310+F310+I309</f>
        <v>7.35699999999997</v>
      </c>
      <c r="H310" s="62"/>
      <c r="I310" s="171" t="n">
        <f aca="false">G310-H310</f>
        <v>7.35699999999997</v>
      </c>
      <c r="J310" s="64" t="n">
        <f aca="false">H310/G310</f>
        <v>0</v>
      </c>
      <c r="K310" s="208"/>
      <c r="L310" s="208"/>
      <c r="M310" s="208"/>
      <c r="N310" s="129"/>
    </row>
    <row r="311" customFormat="false" ht="14.4" hidden="false" customHeight="true" outlineLevel="0" collapsed="false">
      <c r="A311" s="200"/>
      <c r="B311" s="207" t="s">
        <v>123</v>
      </c>
      <c r="C311" s="119" t="n">
        <v>39083</v>
      </c>
      <c r="D311" s="120" t="n">
        <v>39202</v>
      </c>
      <c r="E311" s="133" t="n">
        <v>0</v>
      </c>
      <c r="F311" s="100"/>
      <c r="G311" s="55" t="n">
        <f aca="false">E311+F311</f>
        <v>0</v>
      </c>
      <c r="H311" s="55"/>
      <c r="I311" s="168" t="n">
        <f aca="false">G311-H311</f>
        <v>0</v>
      </c>
      <c r="J311" s="57" t="e">
        <f aca="false">H311/G311</f>
        <v>#DIV/0!</v>
      </c>
      <c r="K311" s="208" t="n">
        <f aca="false">E311+E312+E313+F311+F312+F313</f>
        <v>4.06200000000001</v>
      </c>
      <c r="L311" s="208" t="n">
        <f aca="false">H311+H312+H313</f>
        <v>0</v>
      </c>
      <c r="M311" s="208" t="n">
        <f aca="false">K311-L311</f>
        <v>4.06200000000001</v>
      </c>
      <c r="N311" s="129" t="n">
        <f aca="false">L311/K311</f>
        <v>0</v>
      </c>
    </row>
    <row r="312" customFormat="false" ht="14.4" hidden="false" customHeight="false" outlineLevel="0" collapsed="false">
      <c r="A312" s="200"/>
      <c r="B312" s="207"/>
      <c r="C312" s="121" t="n">
        <v>39203</v>
      </c>
      <c r="D312" s="122" t="n">
        <v>39691</v>
      </c>
      <c r="E312" s="136" t="n">
        <v>0</v>
      </c>
      <c r="F312" s="94"/>
      <c r="G312" s="93" t="n">
        <f aca="false">E312+F312+I311</f>
        <v>0</v>
      </c>
      <c r="H312" s="93"/>
      <c r="I312" s="172" t="n">
        <f aca="false">G312-H312</f>
        <v>0</v>
      </c>
      <c r="J312" s="96" t="e">
        <f aca="false">H312/G312</f>
        <v>#DIV/0!</v>
      </c>
      <c r="K312" s="208"/>
      <c r="L312" s="208"/>
      <c r="M312" s="208"/>
      <c r="N312" s="129"/>
    </row>
    <row r="313" customFormat="false" ht="14.4" hidden="false" customHeight="false" outlineLevel="0" collapsed="false">
      <c r="A313" s="200"/>
      <c r="B313" s="207"/>
      <c r="C313" s="124" t="n">
        <v>39692</v>
      </c>
      <c r="D313" s="125" t="n">
        <v>39813</v>
      </c>
      <c r="E313" s="138" t="n">
        <v>0</v>
      </c>
      <c r="F313" s="130" t="n">
        <f aca="false">224.781-220.719</f>
        <v>4.06200000000001</v>
      </c>
      <c r="G313" s="62" t="n">
        <f aca="false">E313+F313+I312</f>
        <v>4.06200000000001</v>
      </c>
      <c r="H313" s="62"/>
      <c r="I313" s="171" t="n">
        <f aca="false">G313-H313</f>
        <v>4.06200000000001</v>
      </c>
      <c r="J313" s="64" t="n">
        <f aca="false">H313/G313</f>
        <v>0</v>
      </c>
      <c r="K313" s="208"/>
      <c r="L313" s="208"/>
      <c r="M313" s="208"/>
      <c r="N313" s="129"/>
    </row>
    <row r="314" customFormat="false" ht="14.4" hidden="false" customHeight="false" outlineLevel="0" collapsed="false">
      <c r="A314" s="102"/>
      <c r="B314" s="209"/>
      <c r="C314" s="74"/>
      <c r="D314" s="74"/>
      <c r="E314" s="75"/>
      <c r="F314" s="142"/>
      <c r="G314" s="75"/>
      <c r="H314" s="75"/>
      <c r="I314" s="210"/>
      <c r="J314" s="77"/>
      <c r="K314" s="154"/>
      <c r="L314" s="154"/>
      <c r="M314" s="154"/>
      <c r="N314" s="80"/>
    </row>
    <row r="315" customFormat="false" ht="14.4" hidden="false" customHeight="false" outlineLevel="0" collapsed="false">
      <c r="A315" s="6"/>
      <c r="B315" s="6"/>
      <c r="C315" s="81"/>
      <c r="D315" s="81"/>
      <c r="E315" s="81"/>
      <c r="F315" s="81"/>
      <c r="G315" s="81"/>
      <c r="H315" s="81"/>
      <c r="I315" s="76"/>
      <c r="J315" s="82"/>
      <c r="K315" s="1"/>
      <c r="L315" s="1"/>
      <c r="M315" s="1"/>
      <c r="N315" s="1"/>
    </row>
    <row r="316" customFormat="false" ht="15" hidden="false" customHeight="true" outlineLevel="0" collapsed="false">
      <c r="A316" s="211" t="s">
        <v>124</v>
      </c>
      <c r="B316" s="201" t="s">
        <v>125</v>
      </c>
      <c r="C316" s="119" t="n">
        <v>39083</v>
      </c>
      <c r="D316" s="120" t="n">
        <v>39263</v>
      </c>
      <c r="E316" s="55" t="n">
        <v>1.449</v>
      </c>
      <c r="F316" s="56" t="n">
        <f aca="false">-1.449</f>
        <v>-1.449</v>
      </c>
      <c r="G316" s="55" t="n">
        <f aca="false">E316+F316</f>
        <v>0</v>
      </c>
      <c r="H316" s="55"/>
      <c r="I316" s="55" t="n">
        <f aca="false">G316-H316</f>
        <v>0</v>
      </c>
      <c r="J316" s="57" t="e">
        <f aca="false">H316/G316</f>
        <v>#DIV/0!</v>
      </c>
      <c r="K316" s="149" t="n">
        <f aca="false">E316+E317+F316+F317</f>
        <v>0</v>
      </c>
      <c r="L316" s="149" t="n">
        <f aca="false">H316+H317</f>
        <v>0</v>
      </c>
      <c r="M316" s="149" t="n">
        <f aca="false">K316-L316</f>
        <v>0</v>
      </c>
      <c r="N316" s="86" t="e">
        <f aca="false">L316/K316</f>
        <v>#DIV/0!</v>
      </c>
    </row>
    <row r="317" customFormat="false" ht="15" hidden="false" customHeight="true" outlineLevel="0" collapsed="false">
      <c r="A317" s="211"/>
      <c r="B317" s="201"/>
      <c r="C317" s="124" t="n">
        <v>39264</v>
      </c>
      <c r="D317" s="125" t="n">
        <v>39447</v>
      </c>
      <c r="E317" s="62" t="n">
        <v>0.483</v>
      </c>
      <c r="F317" s="63" t="n">
        <f aca="false">-0.483</f>
        <v>-0.483</v>
      </c>
      <c r="G317" s="62" t="n">
        <f aca="false">E317+F317+I316</f>
        <v>0</v>
      </c>
      <c r="H317" s="62"/>
      <c r="I317" s="62" t="n">
        <f aca="false">G317-H317</f>
        <v>0</v>
      </c>
      <c r="J317" s="64" t="e">
        <f aca="false">H317/G317</f>
        <v>#DIV/0!</v>
      </c>
      <c r="K317" s="149"/>
      <c r="L317" s="149"/>
      <c r="M317" s="149"/>
      <c r="N317" s="86"/>
    </row>
    <row r="318" customFormat="false" ht="15" hidden="false" customHeight="true" outlineLevel="0" collapsed="false">
      <c r="A318" s="211"/>
      <c r="B318" s="201" t="s">
        <v>58</v>
      </c>
      <c r="C318" s="119" t="n">
        <v>39083</v>
      </c>
      <c r="D318" s="120" t="n">
        <v>39263</v>
      </c>
      <c r="E318" s="55" t="n">
        <v>92.978</v>
      </c>
      <c r="F318" s="55"/>
      <c r="G318" s="55" t="n">
        <f aca="false">E318+F318</f>
        <v>92.978</v>
      </c>
      <c r="H318" s="55"/>
      <c r="I318" s="55" t="n">
        <f aca="false">G318-H318</f>
        <v>92.978</v>
      </c>
      <c r="J318" s="57" t="n">
        <f aca="false">H318/G318</f>
        <v>0</v>
      </c>
      <c r="K318" s="149" t="n">
        <f aca="false">E318+E319+F318+F319</f>
        <v>123.971</v>
      </c>
      <c r="L318" s="149" t="n">
        <f aca="false">H318+H319</f>
        <v>0</v>
      </c>
      <c r="M318" s="149" t="n">
        <f aca="false">K318-L318</f>
        <v>123.971</v>
      </c>
      <c r="N318" s="86" t="n">
        <f aca="false">L318/K318</f>
        <v>0</v>
      </c>
    </row>
    <row r="319" customFormat="false" ht="15" hidden="false" customHeight="true" outlineLevel="0" collapsed="false">
      <c r="A319" s="211"/>
      <c r="B319" s="201"/>
      <c r="C319" s="124" t="n">
        <v>39264</v>
      </c>
      <c r="D319" s="125" t="n">
        <v>39447</v>
      </c>
      <c r="E319" s="62" t="n">
        <v>30.993</v>
      </c>
      <c r="F319" s="62"/>
      <c r="G319" s="62" t="n">
        <f aca="false">E319+F319+I318</f>
        <v>123.971</v>
      </c>
      <c r="H319" s="62"/>
      <c r="I319" s="62" t="n">
        <f aca="false">G319-H319</f>
        <v>123.971</v>
      </c>
      <c r="J319" s="64" t="n">
        <f aca="false">H319/G319</f>
        <v>0</v>
      </c>
      <c r="K319" s="149"/>
      <c r="L319" s="149"/>
      <c r="M319" s="149"/>
      <c r="N319" s="86"/>
    </row>
    <row r="320" customFormat="false" ht="15" hidden="false" customHeight="true" outlineLevel="0" collapsed="false">
      <c r="A320" s="211"/>
      <c r="B320" s="212" t="s">
        <v>88</v>
      </c>
      <c r="C320" s="119" t="n">
        <v>39083</v>
      </c>
      <c r="D320" s="120" t="n">
        <v>39263</v>
      </c>
      <c r="E320" s="55" t="n">
        <v>346.573</v>
      </c>
      <c r="F320" s="55"/>
      <c r="G320" s="55" t="n">
        <f aca="false">E320+F320</f>
        <v>346.573</v>
      </c>
      <c r="H320" s="55"/>
      <c r="I320" s="55" t="n">
        <f aca="false">G320-H320</f>
        <v>346.573</v>
      </c>
      <c r="J320" s="57" t="n">
        <f aca="false">H320/G320</f>
        <v>0</v>
      </c>
      <c r="K320" s="149" t="n">
        <f aca="false">E320+E321+F320+F321</f>
        <v>462.097</v>
      </c>
      <c r="L320" s="149" t="n">
        <f aca="false">H320+H321</f>
        <v>0</v>
      </c>
      <c r="M320" s="149" t="n">
        <f aca="false">K320-L320</f>
        <v>462.097</v>
      </c>
      <c r="N320" s="86" t="n">
        <f aca="false">L320/K320</f>
        <v>0</v>
      </c>
    </row>
    <row r="321" customFormat="false" ht="15" hidden="false" customHeight="true" outlineLevel="0" collapsed="false">
      <c r="A321" s="211"/>
      <c r="B321" s="212"/>
      <c r="C321" s="124" t="n">
        <v>39264</v>
      </c>
      <c r="D321" s="125" t="n">
        <v>39447</v>
      </c>
      <c r="E321" s="62" t="n">
        <v>115.524</v>
      </c>
      <c r="F321" s="62"/>
      <c r="G321" s="62" t="n">
        <f aca="false">E321+F321+I320</f>
        <v>462.097</v>
      </c>
      <c r="H321" s="62"/>
      <c r="I321" s="62" t="n">
        <f aca="false">G321-H321</f>
        <v>462.097</v>
      </c>
      <c r="J321" s="64" t="n">
        <f aca="false">H321/G321</f>
        <v>0</v>
      </c>
      <c r="K321" s="149"/>
      <c r="L321" s="149"/>
      <c r="M321" s="149"/>
      <c r="N321" s="86"/>
    </row>
    <row r="322" customFormat="false" ht="15" hidden="false" customHeight="true" outlineLevel="0" collapsed="false">
      <c r="A322" s="211"/>
      <c r="B322" s="212" t="s">
        <v>68</v>
      </c>
      <c r="C322" s="119" t="n">
        <v>39083</v>
      </c>
      <c r="D322" s="120" t="n">
        <v>39263</v>
      </c>
      <c r="E322" s="55" t="n">
        <v>0</v>
      </c>
      <c r="F322" s="55"/>
      <c r="G322" s="55" t="n">
        <f aca="false">E322+F322</f>
        <v>0</v>
      </c>
      <c r="H322" s="55"/>
      <c r="I322" s="55" t="n">
        <f aca="false">G322-H322</f>
        <v>0</v>
      </c>
      <c r="J322" s="57" t="e">
        <f aca="false">H322/G322</f>
        <v>#DIV/0!</v>
      </c>
      <c r="K322" s="149" t="n">
        <f aca="false">E322+E323+F322+F323</f>
        <v>0</v>
      </c>
      <c r="L322" s="149" t="n">
        <f aca="false">H322+H323</f>
        <v>0</v>
      </c>
      <c r="M322" s="149" t="n">
        <f aca="false">K322-L322</f>
        <v>0</v>
      </c>
      <c r="N322" s="86" t="e">
        <f aca="false">L322/K322</f>
        <v>#DIV/0!</v>
      </c>
    </row>
    <row r="323" customFormat="false" ht="15" hidden="false" customHeight="true" outlineLevel="0" collapsed="false">
      <c r="A323" s="211"/>
      <c r="B323" s="212"/>
      <c r="C323" s="124" t="n">
        <v>39264</v>
      </c>
      <c r="D323" s="125" t="n">
        <v>39447</v>
      </c>
      <c r="E323" s="62" t="n">
        <v>0</v>
      </c>
      <c r="F323" s="62"/>
      <c r="G323" s="62" t="n">
        <f aca="false">E323+F323+I322</f>
        <v>0</v>
      </c>
      <c r="H323" s="62"/>
      <c r="I323" s="62" t="n">
        <f aca="false">G323-H323</f>
        <v>0</v>
      </c>
      <c r="J323" s="64" t="e">
        <f aca="false">H323/G323</f>
        <v>#DIV/0!</v>
      </c>
      <c r="K323" s="149"/>
      <c r="L323" s="149"/>
      <c r="M323" s="149"/>
      <c r="N323" s="86"/>
    </row>
    <row r="324" customFormat="false" ht="15" hidden="false" customHeight="true" outlineLevel="0" collapsed="false">
      <c r="A324" s="72"/>
      <c r="B324" s="213"/>
      <c r="C324" s="74"/>
      <c r="D324" s="74"/>
      <c r="E324" s="75"/>
      <c r="F324" s="75"/>
      <c r="G324" s="75"/>
      <c r="H324" s="75"/>
      <c r="I324" s="75"/>
      <c r="J324" s="77"/>
      <c r="K324" s="154"/>
      <c r="L324" s="154"/>
      <c r="M324" s="154"/>
      <c r="N324" s="80"/>
    </row>
    <row r="325" customFormat="false" ht="14.4" hidden="false" customHeight="false" outlineLevel="0" collapsed="false">
      <c r="A325" s="214"/>
      <c r="B325" s="215"/>
      <c r="C325" s="76"/>
      <c r="D325" s="76"/>
      <c r="E325" s="76"/>
      <c r="F325" s="76"/>
      <c r="G325" s="76"/>
      <c r="H325" s="76"/>
      <c r="I325" s="76"/>
      <c r="J325" s="216"/>
      <c r="K325" s="6"/>
      <c r="L325" s="6"/>
      <c r="M325" s="6"/>
      <c r="N325" s="6"/>
    </row>
    <row r="326" customFormat="false" ht="15" hidden="false" customHeight="true" outlineLevel="0" collapsed="false">
      <c r="A326" s="217" t="s">
        <v>126</v>
      </c>
      <c r="B326" s="218" t="s">
        <v>73</v>
      </c>
      <c r="C326" s="119" t="n">
        <v>39083</v>
      </c>
      <c r="D326" s="120" t="n">
        <v>39386</v>
      </c>
      <c r="E326" s="55" t="n">
        <v>6.397</v>
      </c>
      <c r="F326" s="100" t="n">
        <f aca="false">-2.002+87.432</f>
        <v>85.43</v>
      </c>
      <c r="G326" s="55" t="n">
        <f aca="false">E326+F326</f>
        <v>91.827</v>
      </c>
      <c r="H326" s="55"/>
      <c r="I326" s="55" t="n">
        <f aca="false">G326-H326</f>
        <v>91.827</v>
      </c>
      <c r="J326" s="57" t="n">
        <f aca="false">H326/G326</f>
        <v>0</v>
      </c>
      <c r="K326" s="149" t="n">
        <f aca="false">E326+E327+F326+F327</f>
        <v>93.7305</v>
      </c>
      <c r="L326" s="149" t="n">
        <f aca="false">H326+H327</f>
        <v>8.446</v>
      </c>
      <c r="M326" s="149" t="n">
        <f aca="false">K326-L326</f>
        <v>85.2845</v>
      </c>
      <c r="N326" s="86" t="n">
        <f aca="false">L326/K326</f>
        <v>0.0901094094238268</v>
      </c>
    </row>
    <row r="327" customFormat="false" ht="15" hidden="false" customHeight="true" outlineLevel="0" collapsed="false">
      <c r="A327" s="217"/>
      <c r="B327" s="218"/>
      <c r="C327" s="124" t="n">
        <v>39387</v>
      </c>
      <c r="D327" s="125" t="n">
        <v>39447</v>
      </c>
      <c r="E327" s="62" t="n">
        <v>0.337</v>
      </c>
      <c r="F327" s="130" t="n">
        <f aca="false">1.5665</f>
        <v>1.5665</v>
      </c>
      <c r="G327" s="62" t="n">
        <f aca="false">E327+F327+I326</f>
        <v>93.7305</v>
      </c>
      <c r="H327" s="62" t="n">
        <v>8.446</v>
      </c>
      <c r="I327" s="62" t="n">
        <f aca="false">G327-H327</f>
        <v>85.2845</v>
      </c>
      <c r="J327" s="64" t="n">
        <f aca="false">H327/G327</f>
        <v>0.0901094094238268</v>
      </c>
      <c r="K327" s="149"/>
      <c r="L327" s="149"/>
      <c r="M327" s="149"/>
      <c r="N327" s="86"/>
    </row>
    <row r="328" customFormat="false" ht="15" hidden="false" customHeight="true" outlineLevel="0" collapsed="false">
      <c r="A328" s="217"/>
      <c r="B328" s="219" t="s">
        <v>63</v>
      </c>
      <c r="C328" s="121" t="n">
        <v>39083</v>
      </c>
      <c r="D328" s="122" t="n">
        <v>39386</v>
      </c>
      <c r="E328" s="93" t="n">
        <v>286.519</v>
      </c>
      <c r="F328" s="93"/>
      <c r="G328" s="93" t="n">
        <f aca="false">E328+F328</f>
        <v>286.519</v>
      </c>
      <c r="H328" s="93"/>
      <c r="I328" s="93" t="n">
        <f aca="false">G328-H328</f>
        <v>286.519</v>
      </c>
      <c r="J328" s="96" t="n">
        <f aca="false">H328/G328</f>
        <v>0</v>
      </c>
      <c r="K328" s="151" t="n">
        <f aca="false">E328+E329+F328+F329</f>
        <v>301.599</v>
      </c>
      <c r="L328" s="151" t="n">
        <f aca="false">H328+H329</f>
        <v>0</v>
      </c>
      <c r="M328" s="151" t="n">
        <f aca="false">K328-L328</f>
        <v>301.599</v>
      </c>
      <c r="N328" s="128" t="n">
        <f aca="false">L328/K328</f>
        <v>0</v>
      </c>
    </row>
    <row r="329" customFormat="false" ht="15" hidden="false" customHeight="true" outlineLevel="0" collapsed="false">
      <c r="A329" s="217"/>
      <c r="B329" s="219"/>
      <c r="C329" s="121" t="n">
        <v>39387</v>
      </c>
      <c r="D329" s="122" t="n">
        <v>39447</v>
      </c>
      <c r="E329" s="93" t="n">
        <v>15.08</v>
      </c>
      <c r="F329" s="93"/>
      <c r="G329" s="93" t="n">
        <f aca="false">E329+F329+I328</f>
        <v>301.599</v>
      </c>
      <c r="H329" s="93"/>
      <c r="I329" s="93" t="n">
        <f aca="false">G329-H329</f>
        <v>301.599</v>
      </c>
      <c r="J329" s="96" t="n">
        <f aca="false">H329/G329</f>
        <v>0</v>
      </c>
      <c r="K329" s="151"/>
      <c r="L329" s="151"/>
      <c r="M329" s="151"/>
      <c r="N329" s="128"/>
    </row>
    <row r="330" customFormat="false" ht="15" hidden="false" customHeight="true" outlineLevel="0" collapsed="false">
      <c r="A330" s="217"/>
      <c r="B330" s="218" t="s">
        <v>64</v>
      </c>
      <c r="C330" s="119" t="n">
        <v>39083</v>
      </c>
      <c r="D330" s="120" t="n">
        <v>39386</v>
      </c>
      <c r="E330" s="55" t="n">
        <v>112.462</v>
      </c>
      <c r="F330" s="56" t="n">
        <f aca="false">-3</f>
        <v>-3</v>
      </c>
      <c r="G330" s="55" t="n">
        <f aca="false">E330+F330</f>
        <v>109.462</v>
      </c>
      <c r="H330" s="55"/>
      <c r="I330" s="55" t="n">
        <f aca="false">G330-H330</f>
        <v>109.462</v>
      </c>
      <c r="J330" s="57" t="n">
        <f aca="false">H330/G330</f>
        <v>0</v>
      </c>
      <c r="K330" s="149" t="n">
        <f aca="false">E330+E331+F330+F331</f>
        <v>115.381</v>
      </c>
      <c r="L330" s="149" t="n">
        <f aca="false">H330+H331</f>
        <v>0</v>
      </c>
      <c r="M330" s="149" t="n">
        <f aca="false">K330-L330</f>
        <v>115.381</v>
      </c>
      <c r="N330" s="86" t="n">
        <f aca="false">L330/K330</f>
        <v>0</v>
      </c>
    </row>
    <row r="331" customFormat="false" ht="15" hidden="false" customHeight="true" outlineLevel="0" collapsed="false">
      <c r="A331" s="217"/>
      <c r="B331" s="218"/>
      <c r="C331" s="124" t="n">
        <v>39387</v>
      </c>
      <c r="D331" s="125" t="n">
        <v>39447</v>
      </c>
      <c r="E331" s="62" t="n">
        <v>5.919</v>
      </c>
      <c r="F331" s="62"/>
      <c r="G331" s="62" t="n">
        <f aca="false">E331+F331+I330</f>
        <v>115.381</v>
      </c>
      <c r="H331" s="62"/>
      <c r="I331" s="62" t="n">
        <f aca="false">G331-H331</f>
        <v>115.381</v>
      </c>
      <c r="J331" s="64" t="n">
        <f aca="false">H331/G331</f>
        <v>0</v>
      </c>
      <c r="K331" s="149"/>
      <c r="L331" s="149"/>
      <c r="M331" s="149"/>
      <c r="N331" s="86"/>
    </row>
    <row r="332" customFormat="false" ht="15" hidden="false" customHeight="true" outlineLevel="0" collapsed="false">
      <c r="A332" s="217"/>
      <c r="B332" s="219" t="s">
        <v>58</v>
      </c>
      <c r="C332" s="121" t="n">
        <v>39083</v>
      </c>
      <c r="D332" s="122" t="n">
        <v>39386</v>
      </c>
      <c r="E332" s="93" t="n">
        <v>87.342</v>
      </c>
      <c r="F332" s="220" t="n">
        <f aca="false">-87.342</f>
        <v>-87.342</v>
      </c>
      <c r="G332" s="93" t="n">
        <f aca="false">E332+F332</f>
        <v>0</v>
      </c>
      <c r="H332" s="93"/>
      <c r="I332" s="93" t="n">
        <f aca="false">G332-H332</f>
        <v>0</v>
      </c>
      <c r="J332" s="96" t="e">
        <f aca="false">H332/G332</f>
        <v>#DIV/0!</v>
      </c>
      <c r="K332" s="151" t="n">
        <f aca="false">E332+E333+F332+F333</f>
        <v>3.03052999999999</v>
      </c>
      <c r="L332" s="151" t="n">
        <f aca="false">H332+H333</f>
        <v>0</v>
      </c>
      <c r="M332" s="151" t="n">
        <f aca="false">K332-L332</f>
        <v>3.03052999999999</v>
      </c>
      <c r="N332" s="128" t="n">
        <f aca="false">L332/K332</f>
        <v>0</v>
      </c>
    </row>
    <row r="333" customFormat="false" ht="15" hidden="false" customHeight="true" outlineLevel="0" collapsed="false">
      <c r="A333" s="217"/>
      <c r="B333" s="219"/>
      <c r="C333" s="121" t="n">
        <v>39387</v>
      </c>
      <c r="D333" s="122" t="n">
        <v>39447</v>
      </c>
      <c r="E333" s="93" t="n">
        <v>4.597</v>
      </c>
      <c r="F333" s="220" t="n">
        <f aca="false">-1.56647</f>
        <v>-1.56647</v>
      </c>
      <c r="G333" s="93" t="n">
        <f aca="false">E333+F333+I332</f>
        <v>3.03053</v>
      </c>
      <c r="H333" s="93"/>
      <c r="I333" s="93" t="n">
        <f aca="false">G333-H333</f>
        <v>3.03053</v>
      </c>
      <c r="J333" s="96" t="n">
        <f aca="false">H333/G333</f>
        <v>0</v>
      </c>
      <c r="K333" s="151"/>
      <c r="L333" s="151"/>
      <c r="M333" s="151"/>
      <c r="N333" s="128"/>
    </row>
    <row r="334" customFormat="false" ht="15" hidden="false" customHeight="true" outlineLevel="0" collapsed="false">
      <c r="A334" s="217"/>
      <c r="B334" s="218" t="s">
        <v>88</v>
      </c>
      <c r="C334" s="119" t="n">
        <v>39083</v>
      </c>
      <c r="D334" s="120" t="n">
        <v>39386</v>
      </c>
      <c r="E334" s="55" t="n">
        <v>0</v>
      </c>
      <c r="F334" s="55"/>
      <c r="G334" s="55" t="n">
        <f aca="false">E334+F334</f>
        <v>0</v>
      </c>
      <c r="H334" s="55"/>
      <c r="I334" s="55" t="n">
        <f aca="false">G334-H334</f>
        <v>0</v>
      </c>
      <c r="J334" s="57" t="e">
        <f aca="false">H334/G334</f>
        <v>#DIV/0!</v>
      </c>
      <c r="K334" s="149" t="n">
        <f aca="false">E334+E335+F334+F335</f>
        <v>0</v>
      </c>
      <c r="L334" s="149" t="n">
        <f aca="false">H334+H335</f>
        <v>0</v>
      </c>
      <c r="M334" s="149" t="n">
        <f aca="false">K334-L334</f>
        <v>0</v>
      </c>
      <c r="N334" s="86" t="e">
        <f aca="false">L334/K334</f>
        <v>#DIV/0!</v>
      </c>
    </row>
    <row r="335" customFormat="false" ht="15" hidden="false" customHeight="true" outlineLevel="0" collapsed="false">
      <c r="A335" s="217"/>
      <c r="B335" s="218"/>
      <c r="C335" s="124" t="n">
        <v>39387</v>
      </c>
      <c r="D335" s="125" t="n">
        <v>39447</v>
      </c>
      <c r="E335" s="62" t="n">
        <v>0</v>
      </c>
      <c r="F335" s="62"/>
      <c r="G335" s="62" t="n">
        <f aca="false">E335+F335+I334</f>
        <v>0</v>
      </c>
      <c r="H335" s="62"/>
      <c r="I335" s="62" t="n">
        <f aca="false">G335-H335</f>
        <v>0</v>
      </c>
      <c r="J335" s="64" t="e">
        <f aca="false">H335/G335</f>
        <v>#DIV/0!</v>
      </c>
      <c r="K335" s="149"/>
      <c r="L335" s="149"/>
      <c r="M335" s="149"/>
      <c r="N335" s="86"/>
    </row>
    <row r="336" customFormat="false" ht="15" hidden="false" customHeight="true" outlineLevel="0" collapsed="false">
      <c r="A336" s="217"/>
      <c r="B336" s="221" t="s">
        <v>67</v>
      </c>
      <c r="C336" s="121" t="n">
        <v>39083</v>
      </c>
      <c r="D336" s="122" t="n">
        <v>39386</v>
      </c>
      <c r="E336" s="93" t="n">
        <v>1.32</v>
      </c>
      <c r="F336" s="95" t="n">
        <f aca="false">-0.007</f>
        <v>-0.007</v>
      </c>
      <c r="G336" s="93" t="n">
        <f aca="false">E336+F336</f>
        <v>1.313</v>
      </c>
      <c r="H336" s="93"/>
      <c r="I336" s="93" t="n">
        <f aca="false">G336-H336</f>
        <v>1.313</v>
      </c>
      <c r="J336" s="96" t="n">
        <f aca="false">H336/G336</f>
        <v>0</v>
      </c>
      <c r="K336" s="151" t="n">
        <f aca="false">E336+E337+F336+F337</f>
        <v>1.382</v>
      </c>
      <c r="L336" s="151" t="n">
        <f aca="false">H336+H337</f>
        <v>0</v>
      </c>
      <c r="M336" s="151" t="n">
        <f aca="false">K336-L336</f>
        <v>1.382</v>
      </c>
      <c r="N336" s="128" t="n">
        <f aca="false">L336/K336</f>
        <v>0</v>
      </c>
    </row>
    <row r="337" customFormat="false" ht="15" hidden="false" customHeight="true" outlineLevel="0" collapsed="false">
      <c r="A337" s="217"/>
      <c r="B337" s="221"/>
      <c r="C337" s="121" t="n">
        <v>39387</v>
      </c>
      <c r="D337" s="122" t="n">
        <v>39447</v>
      </c>
      <c r="E337" s="93" t="n">
        <v>0.069</v>
      </c>
      <c r="F337" s="93"/>
      <c r="G337" s="93" t="n">
        <f aca="false">E337+F337+I336</f>
        <v>1.382</v>
      </c>
      <c r="H337" s="93"/>
      <c r="I337" s="93" t="n">
        <f aca="false">G337-H337</f>
        <v>1.382</v>
      </c>
      <c r="J337" s="96" t="n">
        <f aca="false">H337/G337</f>
        <v>0</v>
      </c>
      <c r="K337" s="151"/>
      <c r="L337" s="151"/>
      <c r="M337" s="151"/>
      <c r="N337" s="128"/>
    </row>
    <row r="338" customFormat="false" ht="15" hidden="false" customHeight="true" outlineLevel="0" collapsed="false">
      <c r="A338" s="217"/>
      <c r="B338" s="201" t="s">
        <v>68</v>
      </c>
      <c r="C338" s="119" t="n">
        <v>39083</v>
      </c>
      <c r="D338" s="120" t="n">
        <v>39386</v>
      </c>
      <c r="E338" s="55" t="n">
        <v>169.81</v>
      </c>
      <c r="F338" s="56" t="n">
        <f aca="false">-100</f>
        <v>-100</v>
      </c>
      <c r="G338" s="55" t="n">
        <f aca="false">E338+F338</f>
        <v>69.81</v>
      </c>
      <c r="H338" s="55"/>
      <c r="I338" s="55" t="n">
        <f aca="false">G338-H338</f>
        <v>69.81</v>
      </c>
      <c r="J338" s="57" t="n">
        <f aca="false">H338/G338</f>
        <v>0</v>
      </c>
      <c r="K338" s="149" t="n">
        <f aca="false">E338+E339+F338+F339</f>
        <v>78.747</v>
      </c>
      <c r="L338" s="149" t="n">
        <f aca="false">H338+H339</f>
        <v>0</v>
      </c>
      <c r="M338" s="149" t="n">
        <f aca="false">K338-L338</f>
        <v>78.747</v>
      </c>
      <c r="N338" s="86" t="n">
        <f aca="false">L338/K338</f>
        <v>0</v>
      </c>
    </row>
    <row r="339" customFormat="false" ht="15" hidden="false" customHeight="true" outlineLevel="0" collapsed="false">
      <c r="A339" s="217"/>
      <c r="B339" s="201"/>
      <c r="C339" s="124" t="n">
        <v>39387</v>
      </c>
      <c r="D339" s="125" t="n">
        <v>39447</v>
      </c>
      <c r="E339" s="62" t="n">
        <v>8.937</v>
      </c>
      <c r="F339" s="62"/>
      <c r="G339" s="62" t="n">
        <f aca="false">E339+F339+I338</f>
        <v>78.747</v>
      </c>
      <c r="H339" s="62"/>
      <c r="I339" s="62" t="n">
        <f aca="false">G339-H339</f>
        <v>78.747</v>
      </c>
      <c r="J339" s="64" t="n">
        <f aca="false">H339/G339</f>
        <v>0</v>
      </c>
      <c r="K339" s="149"/>
      <c r="L339" s="149"/>
      <c r="M339" s="149"/>
      <c r="N339" s="86"/>
    </row>
    <row r="340" customFormat="false" ht="15" hidden="false" customHeight="true" outlineLevel="0" collapsed="false">
      <c r="A340" s="217"/>
      <c r="B340" s="222" t="s">
        <v>69</v>
      </c>
      <c r="C340" s="121" t="n">
        <v>39083</v>
      </c>
      <c r="D340" s="122" t="n">
        <v>39386</v>
      </c>
      <c r="E340" s="93" t="n">
        <v>1.15</v>
      </c>
      <c r="F340" s="93"/>
      <c r="G340" s="93" t="n">
        <f aca="false">E340+F340</f>
        <v>1.15</v>
      </c>
      <c r="H340" s="93"/>
      <c r="I340" s="93" t="n">
        <f aca="false">G340-H340</f>
        <v>1.15</v>
      </c>
      <c r="J340" s="96" t="n">
        <f aca="false">H340/G340</f>
        <v>0</v>
      </c>
      <c r="K340" s="223" t="n">
        <f aca="false">E340+E341+F340+F341</f>
        <v>1.211</v>
      </c>
      <c r="L340" s="223" t="n">
        <f aca="false">H340+H341</f>
        <v>0</v>
      </c>
      <c r="M340" s="223" t="n">
        <f aca="false">K340-L340</f>
        <v>1.211</v>
      </c>
      <c r="N340" s="162" t="n">
        <f aca="false">L340/K340</f>
        <v>0</v>
      </c>
    </row>
    <row r="341" customFormat="false" ht="15" hidden="false" customHeight="true" outlineLevel="0" collapsed="false">
      <c r="A341" s="217"/>
      <c r="B341" s="222"/>
      <c r="C341" s="124" t="n">
        <v>39387</v>
      </c>
      <c r="D341" s="125" t="n">
        <v>39447</v>
      </c>
      <c r="E341" s="62" t="n">
        <v>0.061</v>
      </c>
      <c r="F341" s="62"/>
      <c r="G341" s="62" t="n">
        <f aca="false">E341+F341+I340</f>
        <v>1.211</v>
      </c>
      <c r="H341" s="62"/>
      <c r="I341" s="62" t="n">
        <f aca="false">G341-H341</f>
        <v>1.211</v>
      </c>
      <c r="J341" s="64" t="n">
        <f aca="false">H341/G341</f>
        <v>0</v>
      </c>
      <c r="K341" s="223"/>
      <c r="L341" s="223"/>
      <c r="M341" s="223"/>
      <c r="N341" s="162"/>
    </row>
    <row r="342" customFormat="false" ht="15" hidden="false" customHeight="true" outlineLevel="0" collapsed="false">
      <c r="A342" s="217"/>
      <c r="B342" s="207" t="s">
        <v>76</v>
      </c>
      <c r="C342" s="121" t="n">
        <v>39083</v>
      </c>
      <c r="D342" s="122" t="n">
        <v>39386</v>
      </c>
      <c r="E342" s="133" t="n">
        <v>0</v>
      </c>
      <c r="F342" s="100" t="n">
        <f aca="false">2.002</f>
        <v>2.002</v>
      </c>
      <c r="G342" s="55" t="n">
        <f aca="false">E342+F342</f>
        <v>2.002</v>
      </c>
      <c r="H342" s="55"/>
      <c r="I342" s="55" t="n">
        <f aca="false">G342-H342</f>
        <v>2.002</v>
      </c>
      <c r="J342" s="57" t="n">
        <f aca="false">H342/G342</f>
        <v>0</v>
      </c>
      <c r="K342" s="164" t="n">
        <f aca="false">E342+E343+F342+F343</f>
        <v>2.002</v>
      </c>
      <c r="L342" s="164" t="n">
        <f aca="false">H342+H343</f>
        <v>0</v>
      </c>
      <c r="M342" s="164" t="n">
        <f aca="false">K342-L342</f>
        <v>2.002</v>
      </c>
      <c r="N342" s="86" t="n">
        <f aca="false">L342/K342</f>
        <v>0</v>
      </c>
    </row>
    <row r="343" customFormat="false" ht="15" hidden="false" customHeight="true" outlineLevel="0" collapsed="false">
      <c r="A343" s="217"/>
      <c r="B343" s="207"/>
      <c r="C343" s="124" t="n">
        <v>39387</v>
      </c>
      <c r="D343" s="125" t="n">
        <v>39447</v>
      </c>
      <c r="E343" s="138" t="n">
        <v>0</v>
      </c>
      <c r="F343" s="62"/>
      <c r="G343" s="62" t="n">
        <f aca="false">E343+F343+I342</f>
        <v>2.002</v>
      </c>
      <c r="H343" s="62"/>
      <c r="I343" s="62" t="n">
        <f aca="false">G343-H343</f>
        <v>2.002</v>
      </c>
      <c r="J343" s="64" t="n">
        <f aca="false">H343/G343</f>
        <v>0</v>
      </c>
      <c r="K343" s="164"/>
      <c r="L343" s="164"/>
      <c r="M343" s="164"/>
      <c r="N343" s="86"/>
    </row>
    <row r="344" customFormat="false" ht="14.4" hidden="false" customHeight="true" outlineLevel="0" collapsed="false">
      <c r="A344" s="217"/>
      <c r="B344" s="207" t="s">
        <v>70</v>
      </c>
      <c r="C344" s="121" t="n">
        <v>39083</v>
      </c>
      <c r="D344" s="122" t="n">
        <v>39386</v>
      </c>
      <c r="E344" s="133" t="n">
        <v>0</v>
      </c>
      <c r="F344" s="224" t="n">
        <f aca="false">0.007</f>
        <v>0.007</v>
      </c>
      <c r="G344" s="225" t="n">
        <f aca="false">E344+F344</f>
        <v>0.007</v>
      </c>
      <c r="H344" s="226"/>
      <c r="I344" s="225" t="n">
        <f aca="false">G344-H344</f>
        <v>0.007</v>
      </c>
      <c r="J344" s="57" t="n">
        <f aca="false">H344/G344</f>
        <v>0</v>
      </c>
      <c r="K344" s="164" t="n">
        <f aca="false">E344+E345+F344+F345</f>
        <v>0.007</v>
      </c>
      <c r="L344" s="164" t="n">
        <f aca="false">H344+H345</f>
        <v>0</v>
      </c>
      <c r="M344" s="164" t="n">
        <f aca="false">K344-L344</f>
        <v>0.007</v>
      </c>
      <c r="N344" s="86" t="n">
        <f aca="false">L344/K344</f>
        <v>0</v>
      </c>
    </row>
    <row r="345" customFormat="false" ht="14.4" hidden="false" customHeight="false" outlineLevel="0" collapsed="false">
      <c r="A345" s="217"/>
      <c r="B345" s="207"/>
      <c r="C345" s="124" t="n">
        <v>39387</v>
      </c>
      <c r="D345" s="125" t="n">
        <v>39447</v>
      </c>
      <c r="E345" s="138" t="n">
        <v>0</v>
      </c>
      <c r="F345" s="227"/>
      <c r="G345" s="161" t="n">
        <f aca="false">E345+F345+I344</f>
        <v>0.007</v>
      </c>
      <c r="H345" s="227"/>
      <c r="I345" s="161" t="n">
        <f aca="false">G345-H345</f>
        <v>0.007</v>
      </c>
      <c r="J345" s="64" t="n">
        <f aca="false">H345/G345</f>
        <v>0</v>
      </c>
      <c r="K345" s="164"/>
      <c r="L345" s="164"/>
      <c r="M345" s="164"/>
      <c r="N345" s="86"/>
    </row>
    <row r="346" customFormat="false" ht="14.4" hidden="false" customHeight="true" outlineLevel="0" collapsed="false">
      <c r="A346" s="217"/>
      <c r="B346" s="207" t="s">
        <v>71</v>
      </c>
      <c r="C346" s="121" t="n">
        <v>39083</v>
      </c>
      <c r="D346" s="122" t="n">
        <v>39386</v>
      </c>
      <c r="E346" s="133" t="n">
        <v>0</v>
      </c>
      <c r="F346" s="228" t="n">
        <f aca="false">3</f>
        <v>3</v>
      </c>
      <c r="G346" s="225" t="n">
        <f aca="false">E346+F346</f>
        <v>3</v>
      </c>
      <c r="H346" s="226"/>
      <c r="I346" s="225" t="n">
        <f aca="false">G346-H346</f>
        <v>3</v>
      </c>
      <c r="J346" s="57" t="n">
        <f aca="false">H346/G346</f>
        <v>0</v>
      </c>
      <c r="K346" s="164" t="n">
        <f aca="false">E346+E347+F346+F347</f>
        <v>3</v>
      </c>
      <c r="L346" s="164" t="n">
        <f aca="false">H346+H347</f>
        <v>0</v>
      </c>
      <c r="M346" s="164" t="n">
        <f aca="false">K346-L346</f>
        <v>3</v>
      </c>
      <c r="N346" s="86" t="n">
        <f aca="false">L346/K346</f>
        <v>0</v>
      </c>
    </row>
    <row r="347" customFormat="false" ht="14.4" hidden="false" customHeight="false" outlineLevel="0" collapsed="false">
      <c r="A347" s="217"/>
      <c r="B347" s="207"/>
      <c r="C347" s="124" t="n">
        <v>39387</v>
      </c>
      <c r="D347" s="125" t="n">
        <v>39447</v>
      </c>
      <c r="E347" s="138" t="n">
        <v>0</v>
      </c>
      <c r="F347" s="227"/>
      <c r="G347" s="161" t="n">
        <f aca="false">E347+F347+I346</f>
        <v>3</v>
      </c>
      <c r="H347" s="227"/>
      <c r="I347" s="161" t="n">
        <f aca="false">G347-H347</f>
        <v>3</v>
      </c>
      <c r="J347" s="64" t="n">
        <f aca="false">H347/G347</f>
        <v>0</v>
      </c>
      <c r="K347" s="164"/>
      <c r="L347" s="164"/>
      <c r="M347" s="164"/>
      <c r="N347" s="86"/>
    </row>
  </sheetData>
  <mergeCells count="730">
    <mergeCell ref="B1:N2"/>
    <mergeCell ref="C4:D4"/>
    <mergeCell ref="E4:G4"/>
    <mergeCell ref="H4:J4"/>
    <mergeCell ref="K4:N4"/>
    <mergeCell ref="A6:A13"/>
    <mergeCell ref="B6:B7"/>
    <mergeCell ref="K6:K7"/>
    <mergeCell ref="L6:L7"/>
    <mergeCell ref="M6:M7"/>
    <mergeCell ref="N6:N7"/>
    <mergeCell ref="B8:B9"/>
    <mergeCell ref="K8:K9"/>
    <mergeCell ref="L8:L9"/>
    <mergeCell ref="M8:M9"/>
    <mergeCell ref="N8:N9"/>
    <mergeCell ref="B10:B11"/>
    <mergeCell ref="K10:K11"/>
    <mergeCell ref="L10:L11"/>
    <mergeCell ref="M10:M11"/>
    <mergeCell ref="N10:N11"/>
    <mergeCell ref="B12:B13"/>
    <mergeCell ref="K12:K13"/>
    <mergeCell ref="L12:L13"/>
    <mergeCell ref="M12:M13"/>
    <mergeCell ref="N12:N13"/>
    <mergeCell ref="A16:A35"/>
    <mergeCell ref="B16:B17"/>
    <mergeCell ref="K16:K17"/>
    <mergeCell ref="L16:L17"/>
    <mergeCell ref="M16:M17"/>
    <mergeCell ref="N16:N17"/>
    <mergeCell ref="B18:B19"/>
    <mergeCell ref="K18:K19"/>
    <mergeCell ref="L18:L19"/>
    <mergeCell ref="M18:M19"/>
    <mergeCell ref="N18:N19"/>
    <mergeCell ref="B20:B21"/>
    <mergeCell ref="K20:K21"/>
    <mergeCell ref="L20:L21"/>
    <mergeCell ref="M20:M21"/>
    <mergeCell ref="N20:N21"/>
    <mergeCell ref="B22:B23"/>
    <mergeCell ref="K22:K23"/>
    <mergeCell ref="L22:L23"/>
    <mergeCell ref="M22:M23"/>
    <mergeCell ref="N22:N23"/>
    <mergeCell ref="B24:B25"/>
    <mergeCell ref="K24:K25"/>
    <mergeCell ref="L24:L25"/>
    <mergeCell ref="M24:M25"/>
    <mergeCell ref="N24:N25"/>
    <mergeCell ref="B26:B27"/>
    <mergeCell ref="K26:K27"/>
    <mergeCell ref="L26:L27"/>
    <mergeCell ref="M26:M27"/>
    <mergeCell ref="N26:N27"/>
    <mergeCell ref="B28:B29"/>
    <mergeCell ref="K28:K29"/>
    <mergeCell ref="L28:L29"/>
    <mergeCell ref="M28:M29"/>
    <mergeCell ref="N28:N29"/>
    <mergeCell ref="B30:B31"/>
    <mergeCell ref="K30:K31"/>
    <mergeCell ref="L30:L31"/>
    <mergeCell ref="M30:M31"/>
    <mergeCell ref="N30:N31"/>
    <mergeCell ref="B32:B33"/>
    <mergeCell ref="K32:K33"/>
    <mergeCell ref="L32:L33"/>
    <mergeCell ref="M32:M33"/>
    <mergeCell ref="N32:N33"/>
    <mergeCell ref="B34:B35"/>
    <mergeCell ref="K34:K35"/>
    <mergeCell ref="L34:L35"/>
    <mergeCell ref="M34:M35"/>
    <mergeCell ref="N34:N35"/>
    <mergeCell ref="A38:A91"/>
    <mergeCell ref="B38:B40"/>
    <mergeCell ref="K38:K40"/>
    <mergeCell ref="L38:L40"/>
    <mergeCell ref="M38:M40"/>
    <mergeCell ref="N38:N40"/>
    <mergeCell ref="B41:B43"/>
    <mergeCell ref="K41:K43"/>
    <mergeCell ref="L41:L43"/>
    <mergeCell ref="M41:M43"/>
    <mergeCell ref="N41:N43"/>
    <mergeCell ref="B44:B46"/>
    <mergeCell ref="K44:K46"/>
    <mergeCell ref="L44:L46"/>
    <mergeCell ref="M44:M46"/>
    <mergeCell ref="N44:N46"/>
    <mergeCell ref="B47:B49"/>
    <mergeCell ref="K47:K49"/>
    <mergeCell ref="L47:L49"/>
    <mergeCell ref="M47:M49"/>
    <mergeCell ref="N47:N49"/>
    <mergeCell ref="B50:B52"/>
    <mergeCell ref="K50:K52"/>
    <mergeCell ref="L50:L52"/>
    <mergeCell ref="M50:M52"/>
    <mergeCell ref="N50:N52"/>
    <mergeCell ref="B53:B55"/>
    <mergeCell ref="K53:K55"/>
    <mergeCell ref="L53:L55"/>
    <mergeCell ref="M53:M55"/>
    <mergeCell ref="N53:N55"/>
    <mergeCell ref="B56:B58"/>
    <mergeCell ref="K56:K58"/>
    <mergeCell ref="L56:L58"/>
    <mergeCell ref="M56:M58"/>
    <mergeCell ref="N56:N58"/>
    <mergeCell ref="B59:B61"/>
    <mergeCell ref="K59:K61"/>
    <mergeCell ref="L59:L61"/>
    <mergeCell ref="M59:M61"/>
    <mergeCell ref="N59:N61"/>
    <mergeCell ref="B62:B64"/>
    <mergeCell ref="K62:K64"/>
    <mergeCell ref="L62:L64"/>
    <mergeCell ref="M62:M64"/>
    <mergeCell ref="N62:N64"/>
    <mergeCell ref="B65:B67"/>
    <mergeCell ref="K65:K67"/>
    <mergeCell ref="L65:L67"/>
    <mergeCell ref="M65:M67"/>
    <mergeCell ref="N65:N67"/>
    <mergeCell ref="B68:B70"/>
    <mergeCell ref="K68:K70"/>
    <mergeCell ref="L68:L70"/>
    <mergeCell ref="M68:M70"/>
    <mergeCell ref="N68:N70"/>
    <mergeCell ref="B71:B73"/>
    <mergeCell ref="K71:K73"/>
    <mergeCell ref="L71:L73"/>
    <mergeCell ref="M71:M73"/>
    <mergeCell ref="N71:N73"/>
    <mergeCell ref="B74:B76"/>
    <mergeCell ref="K74:K76"/>
    <mergeCell ref="L74:L76"/>
    <mergeCell ref="M74:M76"/>
    <mergeCell ref="N74:N76"/>
    <mergeCell ref="B77:B79"/>
    <mergeCell ref="K77:K79"/>
    <mergeCell ref="L77:L79"/>
    <mergeCell ref="M77:M79"/>
    <mergeCell ref="N77:N79"/>
    <mergeCell ref="B80:B82"/>
    <mergeCell ref="K80:K82"/>
    <mergeCell ref="L80:L82"/>
    <mergeCell ref="M80:M82"/>
    <mergeCell ref="N80:N82"/>
    <mergeCell ref="B83:B85"/>
    <mergeCell ref="K83:K85"/>
    <mergeCell ref="L83:L85"/>
    <mergeCell ref="M83:M85"/>
    <mergeCell ref="N83:N85"/>
    <mergeCell ref="B86:B88"/>
    <mergeCell ref="K86:K88"/>
    <mergeCell ref="L86:L88"/>
    <mergeCell ref="M86:M88"/>
    <mergeCell ref="N86:N88"/>
    <mergeCell ref="B89:B91"/>
    <mergeCell ref="K89:K91"/>
    <mergeCell ref="L89:L91"/>
    <mergeCell ref="M89:M91"/>
    <mergeCell ref="N89:N91"/>
    <mergeCell ref="A94:A101"/>
    <mergeCell ref="B94:B95"/>
    <mergeCell ref="K94:K95"/>
    <mergeCell ref="L94:L95"/>
    <mergeCell ref="M94:M95"/>
    <mergeCell ref="N94:N95"/>
    <mergeCell ref="B96:B97"/>
    <mergeCell ref="K96:K97"/>
    <mergeCell ref="L96:L97"/>
    <mergeCell ref="M96:M97"/>
    <mergeCell ref="N96:N97"/>
    <mergeCell ref="B98:B99"/>
    <mergeCell ref="K98:K99"/>
    <mergeCell ref="L98:L99"/>
    <mergeCell ref="M98:M99"/>
    <mergeCell ref="N98:N99"/>
    <mergeCell ref="B100:B101"/>
    <mergeCell ref="K100:K101"/>
    <mergeCell ref="L100:L101"/>
    <mergeCell ref="M100:M101"/>
    <mergeCell ref="N100:N101"/>
    <mergeCell ref="A104:A133"/>
    <mergeCell ref="B104:B105"/>
    <mergeCell ref="K104:K105"/>
    <mergeCell ref="L104:L105"/>
    <mergeCell ref="M104:M105"/>
    <mergeCell ref="N104:N105"/>
    <mergeCell ref="B106:B107"/>
    <mergeCell ref="K106:K107"/>
    <mergeCell ref="L106:L107"/>
    <mergeCell ref="M106:M107"/>
    <mergeCell ref="N106:N107"/>
    <mergeCell ref="B108:B109"/>
    <mergeCell ref="K108:K109"/>
    <mergeCell ref="L108:L109"/>
    <mergeCell ref="M108:M109"/>
    <mergeCell ref="N108:N109"/>
    <mergeCell ref="B110:B111"/>
    <mergeCell ref="K110:K111"/>
    <mergeCell ref="L110:L111"/>
    <mergeCell ref="M110:M111"/>
    <mergeCell ref="N110:N111"/>
    <mergeCell ref="B112:B113"/>
    <mergeCell ref="K112:K113"/>
    <mergeCell ref="L112:L113"/>
    <mergeCell ref="M112:M113"/>
    <mergeCell ref="N112:N113"/>
    <mergeCell ref="B114:B115"/>
    <mergeCell ref="K114:K115"/>
    <mergeCell ref="L114:L115"/>
    <mergeCell ref="M114:M115"/>
    <mergeCell ref="N114:N115"/>
    <mergeCell ref="B116:B117"/>
    <mergeCell ref="K116:K117"/>
    <mergeCell ref="L116:L117"/>
    <mergeCell ref="M116:M117"/>
    <mergeCell ref="N116:N117"/>
    <mergeCell ref="B118:B119"/>
    <mergeCell ref="K118:K119"/>
    <mergeCell ref="L118:L119"/>
    <mergeCell ref="M118:M119"/>
    <mergeCell ref="N118:N119"/>
    <mergeCell ref="B120:B121"/>
    <mergeCell ref="K120:K121"/>
    <mergeCell ref="L120:L121"/>
    <mergeCell ref="M120:M121"/>
    <mergeCell ref="N120:N121"/>
    <mergeCell ref="B122:B123"/>
    <mergeCell ref="K122:K123"/>
    <mergeCell ref="L122:L123"/>
    <mergeCell ref="M122:M123"/>
    <mergeCell ref="N122:N123"/>
    <mergeCell ref="B124:B125"/>
    <mergeCell ref="K124:K125"/>
    <mergeCell ref="L124:L125"/>
    <mergeCell ref="M124:M125"/>
    <mergeCell ref="N124:N125"/>
    <mergeCell ref="B126:B127"/>
    <mergeCell ref="K126:K127"/>
    <mergeCell ref="L126:L127"/>
    <mergeCell ref="M126:M127"/>
    <mergeCell ref="N126:N127"/>
    <mergeCell ref="B128:B129"/>
    <mergeCell ref="K128:K129"/>
    <mergeCell ref="L128:L129"/>
    <mergeCell ref="M128:M129"/>
    <mergeCell ref="N128:N129"/>
    <mergeCell ref="B130:B131"/>
    <mergeCell ref="K130:K131"/>
    <mergeCell ref="L130:L131"/>
    <mergeCell ref="M130:M131"/>
    <mergeCell ref="N130:N131"/>
    <mergeCell ref="B132:B133"/>
    <mergeCell ref="K132:K133"/>
    <mergeCell ref="L132:L133"/>
    <mergeCell ref="M132:M133"/>
    <mergeCell ref="N132:N133"/>
    <mergeCell ref="A136:A199"/>
    <mergeCell ref="B136:B137"/>
    <mergeCell ref="K136:K137"/>
    <mergeCell ref="L136:L137"/>
    <mergeCell ref="M136:M137"/>
    <mergeCell ref="N136:N137"/>
    <mergeCell ref="B138:B139"/>
    <mergeCell ref="K138:K139"/>
    <mergeCell ref="L138:L139"/>
    <mergeCell ref="M138:M139"/>
    <mergeCell ref="N138:N139"/>
    <mergeCell ref="B140:B141"/>
    <mergeCell ref="K140:K141"/>
    <mergeCell ref="L140:L141"/>
    <mergeCell ref="M140:M141"/>
    <mergeCell ref="N140:N141"/>
    <mergeCell ref="B142:B143"/>
    <mergeCell ref="K142:K143"/>
    <mergeCell ref="L142:L143"/>
    <mergeCell ref="M142:M143"/>
    <mergeCell ref="N142:N143"/>
    <mergeCell ref="B144:B145"/>
    <mergeCell ref="K144:K145"/>
    <mergeCell ref="L144:L145"/>
    <mergeCell ref="M144:M145"/>
    <mergeCell ref="N144:N145"/>
    <mergeCell ref="B146:B147"/>
    <mergeCell ref="K146:K147"/>
    <mergeCell ref="L146:L147"/>
    <mergeCell ref="M146:M147"/>
    <mergeCell ref="N146:N147"/>
    <mergeCell ref="B148:B149"/>
    <mergeCell ref="K148:K149"/>
    <mergeCell ref="L148:L149"/>
    <mergeCell ref="M148:M149"/>
    <mergeCell ref="N148:N149"/>
    <mergeCell ref="B150:B151"/>
    <mergeCell ref="K150:K151"/>
    <mergeCell ref="L150:L151"/>
    <mergeCell ref="M150:M151"/>
    <mergeCell ref="N150:N151"/>
    <mergeCell ref="B152:B153"/>
    <mergeCell ref="K152:K153"/>
    <mergeCell ref="L152:L153"/>
    <mergeCell ref="M152:M153"/>
    <mergeCell ref="N152:N153"/>
    <mergeCell ref="B154:B155"/>
    <mergeCell ref="K154:K155"/>
    <mergeCell ref="L154:L155"/>
    <mergeCell ref="M154:M155"/>
    <mergeCell ref="N154:N155"/>
    <mergeCell ref="B156:B157"/>
    <mergeCell ref="K156:K157"/>
    <mergeCell ref="L156:L157"/>
    <mergeCell ref="M156:M157"/>
    <mergeCell ref="N156:N157"/>
    <mergeCell ref="B158:B159"/>
    <mergeCell ref="K158:K159"/>
    <mergeCell ref="L158:L159"/>
    <mergeCell ref="M158:M159"/>
    <mergeCell ref="N158:N159"/>
    <mergeCell ref="B160:B161"/>
    <mergeCell ref="K160:K161"/>
    <mergeCell ref="L160:L161"/>
    <mergeCell ref="M160:M161"/>
    <mergeCell ref="N160:N161"/>
    <mergeCell ref="B162:B163"/>
    <mergeCell ref="K162:K163"/>
    <mergeCell ref="L162:L163"/>
    <mergeCell ref="M162:M163"/>
    <mergeCell ref="N162:N163"/>
    <mergeCell ref="B164:B165"/>
    <mergeCell ref="K164:K165"/>
    <mergeCell ref="L164:L165"/>
    <mergeCell ref="M164:M165"/>
    <mergeCell ref="N164:N165"/>
    <mergeCell ref="B166:B167"/>
    <mergeCell ref="K166:K167"/>
    <mergeCell ref="L166:L167"/>
    <mergeCell ref="M166:M167"/>
    <mergeCell ref="N166:N167"/>
    <mergeCell ref="B168:B169"/>
    <mergeCell ref="K168:K169"/>
    <mergeCell ref="L168:L169"/>
    <mergeCell ref="M168:M169"/>
    <mergeCell ref="N168:N169"/>
    <mergeCell ref="B170:B171"/>
    <mergeCell ref="K170:K171"/>
    <mergeCell ref="L170:L171"/>
    <mergeCell ref="M170:M171"/>
    <mergeCell ref="N170:N171"/>
    <mergeCell ref="B172:B173"/>
    <mergeCell ref="K172:K173"/>
    <mergeCell ref="L172:L173"/>
    <mergeCell ref="M172:M173"/>
    <mergeCell ref="N172:N173"/>
    <mergeCell ref="B174:B175"/>
    <mergeCell ref="K174:K175"/>
    <mergeCell ref="L174:L175"/>
    <mergeCell ref="M174:M175"/>
    <mergeCell ref="N174:N175"/>
    <mergeCell ref="B176:B177"/>
    <mergeCell ref="K176:K177"/>
    <mergeCell ref="L176:L177"/>
    <mergeCell ref="M176:M177"/>
    <mergeCell ref="N176:N177"/>
    <mergeCell ref="B178:B179"/>
    <mergeCell ref="K178:K179"/>
    <mergeCell ref="L178:L179"/>
    <mergeCell ref="M178:M179"/>
    <mergeCell ref="N178:N179"/>
    <mergeCell ref="B180:B181"/>
    <mergeCell ref="K180:K181"/>
    <mergeCell ref="L180:L181"/>
    <mergeCell ref="M180:M181"/>
    <mergeCell ref="N180:N181"/>
    <mergeCell ref="B182:B183"/>
    <mergeCell ref="K182:K183"/>
    <mergeCell ref="L182:L183"/>
    <mergeCell ref="M182:M183"/>
    <mergeCell ref="N182:N183"/>
    <mergeCell ref="B184:B185"/>
    <mergeCell ref="K184:K185"/>
    <mergeCell ref="L184:L185"/>
    <mergeCell ref="M184:M185"/>
    <mergeCell ref="N184:N185"/>
    <mergeCell ref="B186:B187"/>
    <mergeCell ref="K186:K187"/>
    <mergeCell ref="L186:L187"/>
    <mergeCell ref="M186:M187"/>
    <mergeCell ref="N186:N187"/>
    <mergeCell ref="B188:B189"/>
    <mergeCell ref="K188:K189"/>
    <mergeCell ref="L188:L189"/>
    <mergeCell ref="M188:M189"/>
    <mergeCell ref="N188:N189"/>
    <mergeCell ref="B190:B191"/>
    <mergeCell ref="K190:K191"/>
    <mergeCell ref="L190:L191"/>
    <mergeCell ref="M190:M191"/>
    <mergeCell ref="N190:N191"/>
    <mergeCell ref="B192:B193"/>
    <mergeCell ref="K192:K193"/>
    <mergeCell ref="L192:L193"/>
    <mergeCell ref="M192:M193"/>
    <mergeCell ref="N192:N193"/>
    <mergeCell ref="B194:B195"/>
    <mergeCell ref="K194:K195"/>
    <mergeCell ref="L194:L195"/>
    <mergeCell ref="M194:M195"/>
    <mergeCell ref="N194:N195"/>
    <mergeCell ref="B196:B197"/>
    <mergeCell ref="K196:K197"/>
    <mergeCell ref="L196:L197"/>
    <mergeCell ref="M196:M197"/>
    <mergeCell ref="N196:N197"/>
    <mergeCell ref="B198:B199"/>
    <mergeCell ref="K198:K199"/>
    <mergeCell ref="L198:L199"/>
    <mergeCell ref="M198:M199"/>
    <mergeCell ref="N198:N199"/>
    <mergeCell ref="A202:A251"/>
    <mergeCell ref="B202:B203"/>
    <mergeCell ref="K202:K203"/>
    <mergeCell ref="L202:L203"/>
    <mergeCell ref="M202:M203"/>
    <mergeCell ref="N202:N203"/>
    <mergeCell ref="B204:B205"/>
    <mergeCell ref="K204:K205"/>
    <mergeCell ref="L204:L205"/>
    <mergeCell ref="M204:M205"/>
    <mergeCell ref="N204:N205"/>
    <mergeCell ref="B206:B207"/>
    <mergeCell ref="K206:K207"/>
    <mergeCell ref="L206:L207"/>
    <mergeCell ref="M206:M207"/>
    <mergeCell ref="N206:N207"/>
    <mergeCell ref="B208:B209"/>
    <mergeCell ref="K208:K209"/>
    <mergeCell ref="L208:L209"/>
    <mergeCell ref="M208:M209"/>
    <mergeCell ref="N208:N209"/>
    <mergeCell ref="B210:B211"/>
    <mergeCell ref="K210:K211"/>
    <mergeCell ref="L210:L211"/>
    <mergeCell ref="M210:M211"/>
    <mergeCell ref="N210:N211"/>
    <mergeCell ref="B212:B213"/>
    <mergeCell ref="K212:K213"/>
    <mergeCell ref="L212:L213"/>
    <mergeCell ref="M212:M213"/>
    <mergeCell ref="N212:N213"/>
    <mergeCell ref="B214:B215"/>
    <mergeCell ref="K214:K215"/>
    <mergeCell ref="L214:L215"/>
    <mergeCell ref="M214:M215"/>
    <mergeCell ref="N214:N215"/>
    <mergeCell ref="B216:B217"/>
    <mergeCell ref="K216:K217"/>
    <mergeCell ref="L216:L217"/>
    <mergeCell ref="M216:M217"/>
    <mergeCell ref="N216:N217"/>
    <mergeCell ref="B218:B219"/>
    <mergeCell ref="K218:K219"/>
    <mergeCell ref="L218:L219"/>
    <mergeCell ref="M218:M219"/>
    <mergeCell ref="N218:N219"/>
    <mergeCell ref="B220:B221"/>
    <mergeCell ref="K220:K221"/>
    <mergeCell ref="L220:L221"/>
    <mergeCell ref="M220:M221"/>
    <mergeCell ref="N220:N221"/>
    <mergeCell ref="B222:B223"/>
    <mergeCell ref="K222:K223"/>
    <mergeCell ref="L222:L223"/>
    <mergeCell ref="M222:M223"/>
    <mergeCell ref="N222:N223"/>
    <mergeCell ref="B224:B225"/>
    <mergeCell ref="K224:K225"/>
    <mergeCell ref="L224:L225"/>
    <mergeCell ref="M224:M225"/>
    <mergeCell ref="N224:N225"/>
    <mergeCell ref="B226:B227"/>
    <mergeCell ref="K226:K227"/>
    <mergeCell ref="L226:L227"/>
    <mergeCell ref="M226:M227"/>
    <mergeCell ref="N226:N227"/>
    <mergeCell ref="B228:B229"/>
    <mergeCell ref="K228:K229"/>
    <mergeCell ref="L228:L229"/>
    <mergeCell ref="M228:M229"/>
    <mergeCell ref="N228:N229"/>
    <mergeCell ref="B230:B231"/>
    <mergeCell ref="K230:K231"/>
    <mergeCell ref="L230:L231"/>
    <mergeCell ref="M230:M231"/>
    <mergeCell ref="N230:N231"/>
    <mergeCell ref="B232:B233"/>
    <mergeCell ref="K232:K233"/>
    <mergeCell ref="L232:L233"/>
    <mergeCell ref="M232:M233"/>
    <mergeCell ref="N232:N233"/>
    <mergeCell ref="B234:B235"/>
    <mergeCell ref="K234:K235"/>
    <mergeCell ref="L234:L235"/>
    <mergeCell ref="M234:M235"/>
    <mergeCell ref="N234:N235"/>
    <mergeCell ref="B236:B237"/>
    <mergeCell ref="K236:K237"/>
    <mergeCell ref="L236:L237"/>
    <mergeCell ref="M236:M237"/>
    <mergeCell ref="N236:N237"/>
    <mergeCell ref="B238:B239"/>
    <mergeCell ref="K238:K239"/>
    <mergeCell ref="L238:L239"/>
    <mergeCell ref="M238:M239"/>
    <mergeCell ref="N238:N239"/>
    <mergeCell ref="B240:B241"/>
    <mergeCell ref="K240:K241"/>
    <mergeCell ref="L240:L241"/>
    <mergeCell ref="M240:M241"/>
    <mergeCell ref="N240:N241"/>
    <mergeCell ref="B242:B243"/>
    <mergeCell ref="K242:K243"/>
    <mergeCell ref="L242:L243"/>
    <mergeCell ref="M242:M243"/>
    <mergeCell ref="N242:N243"/>
    <mergeCell ref="B244:B245"/>
    <mergeCell ref="K244:K245"/>
    <mergeCell ref="L244:L245"/>
    <mergeCell ref="M244:M245"/>
    <mergeCell ref="N244:N245"/>
    <mergeCell ref="B246:B247"/>
    <mergeCell ref="K246:K247"/>
    <mergeCell ref="L246:L247"/>
    <mergeCell ref="M246:M247"/>
    <mergeCell ref="N246:N247"/>
    <mergeCell ref="B248:B249"/>
    <mergeCell ref="K248:K249"/>
    <mergeCell ref="L248:L249"/>
    <mergeCell ref="M248:M249"/>
    <mergeCell ref="N248:N249"/>
    <mergeCell ref="B250:B251"/>
    <mergeCell ref="K250:K251"/>
    <mergeCell ref="L250:L251"/>
    <mergeCell ref="M250:M251"/>
    <mergeCell ref="N250:N251"/>
    <mergeCell ref="A254:A313"/>
    <mergeCell ref="B254:B256"/>
    <mergeCell ref="K254:K256"/>
    <mergeCell ref="L254:L256"/>
    <mergeCell ref="M254:M256"/>
    <mergeCell ref="N254:N256"/>
    <mergeCell ref="B257:B259"/>
    <mergeCell ref="K257:K259"/>
    <mergeCell ref="L257:L259"/>
    <mergeCell ref="M257:M259"/>
    <mergeCell ref="N257:N259"/>
    <mergeCell ref="B260:B262"/>
    <mergeCell ref="K260:K262"/>
    <mergeCell ref="L260:L262"/>
    <mergeCell ref="M260:M262"/>
    <mergeCell ref="N260:N262"/>
    <mergeCell ref="B263:B265"/>
    <mergeCell ref="K263:K265"/>
    <mergeCell ref="L263:L265"/>
    <mergeCell ref="M263:M265"/>
    <mergeCell ref="N263:N265"/>
    <mergeCell ref="B266:B268"/>
    <mergeCell ref="K266:K268"/>
    <mergeCell ref="L266:L268"/>
    <mergeCell ref="M266:M268"/>
    <mergeCell ref="N266:N268"/>
    <mergeCell ref="B269:B271"/>
    <mergeCell ref="K269:K271"/>
    <mergeCell ref="L269:L271"/>
    <mergeCell ref="M269:M271"/>
    <mergeCell ref="N269:N271"/>
    <mergeCell ref="B272:B274"/>
    <mergeCell ref="K272:K274"/>
    <mergeCell ref="L272:L274"/>
    <mergeCell ref="M272:M274"/>
    <mergeCell ref="N272:N274"/>
    <mergeCell ref="B275:B277"/>
    <mergeCell ref="K275:K277"/>
    <mergeCell ref="L275:L277"/>
    <mergeCell ref="M275:M277"/>
    <mergeCell ref="N275:N277"/>
    <mergeCell ref="B278:B280"/>
    <mergeCell ref="K278:K280"/>
    <mergeCell ref="L278:L280"/>
    <mergeCell ref="M278:M280"/>
    <mergeCell ref="N278:N280"/>
    <mergeCell ref="B281:B283"/>
    <mergeCell ref="K281:K283"/>
    <mergeCell ref="L281:L283"/>
    <mergeCell ref="M281:M283"/>
    <mergeCell ref="N281:N283"/>
    <mergeCell ref="B284:B286"/>
    <mergeCell ref="K284:K286"/>
    <mergeCell ref="L284:L286"/>
    <mergeCell ref="M284:M286"/>
    <mergeCell ref="N284:N286"/>
    <mergeCell ref="B287:B289"/>
    <mergeCell ref="K287:K289"/>
    <mergeCell ref="L287:L289"/>
    <mergeCell ref="M287:M289"/>
    <mergeCell ref="N287:N289"/>
    <mergeCell ref="B290:B292"/>
    <mergeCell ref="K290:K292"/>
    <mergeCell ref="L290:L292"/>
    <mergeCell ref="M290:M292"/>
    <mergeCell ref="N290:N292"/>
    <mergeCell ref="B293:B295"/>
    <mergeCell ref="K293:K295"/>
    <mergeCell ref="L293:L295"/>
    <mergeCell ref="M293:M295"/>
    <mergeCell ref="N293:N295"/>
    <mergeCell ref="B296:B298"/>
    <mergeCell ref="K296:K298"/>
    <mergeCell ref="L296:L298"/>
    <mergeCell ref="M296:M298"/>
    <mergeCell ref="N296:N298"/>
    <mergeCell ref="B299:B301"/>
    <mergeCell ref="K299:K301"/>
    <mergeCell ref="L299:L301"/>
    <mergeCell ref="M299:M301"/>
    <mergeCell ref="N299:N301"/>
    <mergeCell ref="B302:B304"/>
    <mergeCell ref="K302:K304"/>
    <mergeCell ref="L302:L304"/>
    <mergeCell ref="M302:M304"/>
    <mergeCell ref="N302:N304"/>
    <mergeCell ref="B305:B307"/>
    <mergeCell ref="K305:K307"/>
    <mergeCell ref="L305:L307"/>
    <mergeCell ref="M305:M307"/>
    <mergeCell ref="N305:N307"/>
    <mergeCell ref="B308:B310"/>
    <mergeCell ref="K308:K310"/>
    <mergeCell ref="L308:L310"/>
    <mergeCell ref="M308:M310"/>
    <mergeCell ref="N308:N310"/>
    <mergeCell ref="B311:B313"/>
    <mergeCell ref="K311:K313"/>
    <mergeCell ref="L311:L313"/>
    <mergeCell ref="M311:M313"/>
    <mergeCell ref="N311:N313"/>
    <mergeCell ref="A316:A323"/>
    <mergeCell ref="B316:B317"/>
    <mergeCell ref="K316:K317"/>
    <mergeCell ref="L316:L317"/>
    <mergeCell ref="M316:M317"/>
    <mergeCell ref="N316:N317"/>
    <mergeCell ref="B318:B319"/>
    <mergeCell ref="K318:K319"/>
    <mergeCell ref="L318:L319"/>
    <mergeCell ref="M318:M319"/>
    <mergeCell ref="N318:N319"/>
    <mergeCell ref="B320:B321"/>
    <mergeCell ref="K320:K321"/>
    <mergeCell ref="L320:L321"/>
    <mergeCell ref="M320:M321"/>
    <mergeCell ref="N320:N321"/>
    <mergeCell ref="B322:B323"/>
    <mergeCell ref="K322:K323"/>
    <mergeCell ref="L322:L323"/>
    <mergeCell ref="M322:M323"/>
    <mergeCell ref="N322:N323"/>
    <mergeCell ref="A326:A347"/>
    <mergeCell ref="B326:B327"/>
    <mergeCell ref="K326:K327"/>
    <mergeCell ref="L326:L327"/>
    <mergeCell ref="M326:M327"/>
    <mergeCell ref="N326:N327"/>
    <mergeCell ref="B328:B329"/>
    <mergeCell ref="K328:K329"/>
    <mergeCell ref="L328:L329"/>
    <mergeCell ref="M328:M329"/>
    <mergeCell ref="N328:N329"/>
    <mergeCell ref="B330:B331"/>
    <mergeCell ref="K330:K331"/>
    <mergeCell ref="L330:L331"/>
    <mergeCell ref="M330:M331"/>
    <mergeCell ref="N330:N331"/>
    <mergeCell ref="B332:B333"/>
    <mergeCell ref="K332:K333"/>
    <mergeCell ref="L332:L333"/>
    <mergeCell ref="M332:M333"/>
    <mergeCell ref="N332:N333"/>
    <mergeCell ref="B334:B335"/>
    <mergeCell ref="K334:K335"/>
    <mergeCell ref="L334:L335"/>
    <mergeCell ref="M334:M335"/>
    <mergeCell ref="N334:N335"/>
    <mergeCell ref="B336:B337"/>
    <mergeCell ref="K336:K337"/>
    <mergeCell ref="L336:L337"/>
    <mergeCell ref="M336:M337"/>
    <mergeCell ref="N336:N337"/>
    <mergeCell ref="B338:B339"/>
    <mergeCell ref="K338:K339"/>
    <mergeCell ref="L338:L339"/>
    <mergeCell ref="M338:M339"/>
    <mergeCell ref="N338:N339"/>
    <mergeCell ref="B340:B341"/>
    <mergeCell ref="K340:K341"/>
    <mergeCell ref="L340:L341"/>
    <mergeCell ref="M340:M341"/>
    <mergeCell ref="N340:N341"/>
    <mergeCell ref="B342:B343"/>
    <mergeCell ref="K342:K343"/>
    <mergeCell ref="L342:L343"/>
    <mergeCell ref="M342:M343"/>
    <mergeCell ref="N342:N343"/>
    <mergeCell ref="B344:B345"/>
    <mergeCell ref="K344:K345"/>
    <mergeCell ref="L344:L345"/>
    <mergeCell ref="M344:M345"/>
    <mergeCell ref="N344:N345"/>
    <mergeCell ref="B346:B347"/>
    <mergeCell ref="K346:K347"/>
    <mergeCell ref="L346:L347"/>
    <mergeCell ref="M346:M347"/>
    <mergeCell ref="N346:N3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BE12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3" topLeftCell="AH97" activePane="bottomRight" state="frozen"/>
      <selection pane="topLeft" activeCell="A1" activeCellId="0" sqref="A1"/>
      <selection pane="topRight" activeCell="AH1" activeCellId="0" sqref="AH1"/>
      <selection pane="bottomLeft" activeCell="A97" activeCellId="0" sqref="A97"/>
      <selection pane="bottomRight" activeCell="A3" activeCellId="0" sqref="A3:IV3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30.32"/>
    <col collapsed="false" customWidth="true" hidden="false" outlineLevel="0" max="2" min="2" style="0" width="21.88"/>
    <col collapsed="false" customWidth="true" hidden="false" outlineLevel="0" max="3" min="3" style="0" width="10.87"/>
    <col collapsed="false" customWidth="true" hidden="false" outlineLevel="0" max="4" min="4" style="0" width="10.32"/>
    <col collapsed="false" customWidth="true" hidden="false" outlineLevel="0" max="5" min="5" style="0" width="11.43"/>
    <col collapsed="false" customWidth="true" hidden="false" outlineLevel="0" max="6" min="6" style="0" width="11.99"/>
    <col collapsed="false" customWidth="true" hidden="false" outlineLevel="0" max="7" min="7" style="0" width="10.55"/>
    <col collapsed="false" customWidth="true" hidden="false" outlineLevel="0" max="8" min="8" style="0" width="13.33"/>
    <col collapsed="false" customWidth="true" hidden="false" outlineLevel="0" max="16" min="9" style="0" width="11.43"/>
    <col collapsed="false" customWidth="true" hidden="false" outlineLevel="0" max="17" min="17" style="0" width="12.43"/>
    <col collapsed="false" customWidth="true" hidden="false" outlineLevel="0" max="18" min="18" style="0" width="14.1"/>
    <col collapsed="false" customWidth="true" hidden="false" outlineLevel="0" max="19" min="19" style="0" width="13.43"/>
    <col collapsed="false" customWidth="true" hidden="false" outlineLevel="0" max="21" min="20" style="0" width="15.87"/>
    <col collapsed="false" customWidth="true" hidden="false" outlineLevel="0" max="22" min="22" style="0" width="12.32"/>
    <col collapsed="false" customWidth="true" hidden="false" outlineLevel="0" max="23" min="23" style="0" width="13.33"/>
    <col collapsed="false" customWidth="true" hidden="false" outlineLevel="0" max="24" min="24" style="0" width="15.87"/>
    <col collapsed="false" customWidth="true" hidden="false" outlineLevel="0" max="31" min="25" style="0" width="11.43"/>
    <col collapsed="false" customWidth="true" hidden="false" outlineLevel="0" max="32" min="32" style="0" width="13.33"/>
    <col collapsed="false" customWidth="true" hidden="false" outlineLevel="0" max="41" min="33" style="0" width="11.43"/>
    <col collapsed="false" customWidth="true" hidden="false" outlineLevel="0" max="42" min="42" style="0" width="12.88"/>
    <col collapsed="false" customWidth="true" hidden="false" outlineLevel="0" max="46" min="43" style="0" width="11.43"/>
    <col collapsed="false" customWidth="true" hidden="false" outlineLevel="0" max="49" min="48" style="0" width="15.55"/>
    <col collapsed="false" customWidth="true" hidden="false" outlineLevel="0" max="50" min="50" style="0" width="16.32"/>
    <col collapsed="false" customWidth="true" hidden="false" outlineLevel="0" max="51" min="51" style="0" width="13.33"/>
    <col collapsed="false" customWidth="true" hidden="false" outlineLevel="0" max="55" min="55" style="0" width="15.43"/>
    <col collapsed="false" customWidth="true" hidden="false" outlineLevel="0" max="56" min="56" style="0" width="11.55"/>
    <col collapsed="false" customWidth="true" hidden="false" outlineLevel="0" max="57" min="57" style="0" width="14.87"/>
  </cols>
  <sheetData>
    <row r="1" customFormat="false" ht="14.4" hidden="false" customHeight="false" outlineLevel="0" collapsed="false">
      <c r="B1" s="229" t="s">
        <v>127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U1" s="230"/>
      <c r="AV1" s="231" t="s">
        <v>128</v>
      </c>
    </row>
    <row r="2" customFormat="false" ht="15.75" hidden="false" customHeight="true" outlineLevel="0" collapsed="false">
      <c r="A2" s="1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AV2" s="231" t="s">
        <v>129</v>
      </c>
    </row>
    <row r="3" customFormat="false" ht="14.4" hidden="false" customHeight="false" outlineLevel="0" collapsed="false">
      <c r="A3" s="1"/>
    </row>
    <row r="4" customFormat="false" ht="15.6" hidden="false" customHeight="false" outlineLevel="0" collapsed="false">
      <c r="A4" s="1"/>
      <c r="B4" s="232"/>
      <c r="C4" s="46" t="s">
        <v>42</v>
      </c>
      <c r="D4" s="46"/>
      <c r="E4" s="233" t="s">
        <v>130</v>
      </c>
      <c r="F4" s="233"/>
      <c r="G4" s="233"/>
      <c r="H4" s="233" t="s">
        <v>131</v>
      </c>
      <c r="I4" s="233"/>
      <c r="J4" s="234"/>
      <c r="K4" s="233" t="s">
        <v>132</v>
      </c>
      <c r="L4" s="233"/>
      <c r="M4" s="233"/>
      <c r="N4" s="233" t="s">
        <v>133</v>
      </c>
      <c r="O4" s="233"/>
      <c r="P4" s="234"/>
      <c r="Q4" s="233" t="s">
        <v>134</v>
      </c>
      <c r="R4" s="233"/>
      <c r="S4" s="233"/>
      <c r="T4" s="233" t="s">
        <v>135</v>
      </c>
      <c r="U4" s="233"/>
      <c r="V4" s="234"/>
      <c r="W4" s="235" t="s">
        <v>136</v>
      </c>
      <c r="X4" s="235"/>
      <c r="Y4" s="235"/>
      <c r="Z4" s="236" t="s">
        <v>137</v>
      </c>
      <c r="AA4" s="236"/>
      <c r="AB4" s="234"/>
      <c r="AC4" s="237" t="s">
        <v>138</v>
      </c>
      <c r="AD4" s="237"/>
      <c r="AE4" s="237"/>
      <c r="AF4" s="237" t="s">
        <v>139</v>
      </c>
      <c r="AG4" s="237"/>
      <c r="AH4" s="234"/>
      <c r="AI4" s="238" t="s">
        <v>140</v>
      </c>
      <c r="AJ4" s="238"/>
      <c r="AK4" s="238"/>
      <c r="AL4" s="238" t="s">
        <v>141</v>
      </c>
      <c r="AM4" s="238"/>
      <c r="AN4" s="234"/>
      <c r="AO4" s="239" t="s">
        <v>142</v>
      </c>
      <c r="AP4" s="239"/>
      <c r="AQ4" s="239"/>
      <c r="AR4" s="239" t="s">
        <v>143</v>
      </c>
      <c r="AS4" s="239"/>
      <c r="AU4" s="240" t="s">
        <v>144</v>
      </c>
      <c r="AV4" s="240"/>
      <c r="AW4" s="240"/>
      <c r="AX4" s="240"/>
      <c r="AY4" s="240" t="s">
        <v>145</v>
      </c>
      <c r="AZ4" s="240"/>
      <c r="BA4" s="240"/>
      <c r="BB4" s="240" t="s">
        <v>146</v>
      </c>
      <c r="BC4" s="240"/>
      <c r="BD4" s="240"/>
      <c r="BE4" s="240"/>
    </row>
    <row r="5" customFormat="false" ht="55.2" hidden="false" customHeight="false" outlineLevel="0" collapsed="false">
      <c r="A5" s="48" t="s">
        <v>46</v>
      </c>
      <c r="B5" s="48" t="s">
        <v>147</v>
      </c>
      <c r="C5" s="49" t="s">
        <v>48</v>
      </c>
      <c r="D5" s="49" t="s">
        <v>49</v>
      </c>
      <c r="E5" s="50" t="s">
        <v>50</v>
      </c>
      <c r="F5" s="50" t="s">
        <v>51</v>
      </c>
      <c r="G5" s="50" t="s">
        <v>52</v>
      </c>
      <c r="H5" s="51" t="s">
        <v>53</v>
      </c>
      <c r="I5" s="51" t="s">
        <v>54</v>
      </c>
      <c r="J5" s="51" t="s">
        <v>148</v>
      </c>
      <c r="K5" s="50" t="s">
        <v>50</v>
      </c>
      <c r="L5" s="50" t="s">
        <v>51</v>
      </c>
      <c r="M5" s="50" t="s">
        <v>52</v>
      </c>
      <c r="N5" s="51" t="s">
        <v>53</v>
      </c>
      <c r="O5" s="51" t="s">
        <v>54</v>
      </c>
      <c r="P5" s="51" t="s">
        <v>148</v>
      </c>
      <c r="Q5" s="50" t="s">
        <v>50</v>
      </c>
      <c r="R5" s="50" t="s">
        <v>51</v>
      </c>
      <c r="S5" s="50" t="s">
        <v>52</v>
      </c>
      <c r="T5" s="51" t="s">
        <v>53</v>
      </c>
      <c r="U5" s="51" t="s">
        <v>54</v>
      </c>
      <c r="V5" s="51" t="s">
        <v>148</v>
      </c>
      <c r="W5" s="241" t="s">
        <v>50</v>
      </c>
      <c r="X5" s="241" t="s">
        <v>51</v>
      </c>
      <c r="Y5" s="241" t="s">
        <v>52</v>
      </c>
      <c r="Z5" s="242" t="s">
        <v>53</v>
      </c>
      <c r="AA5" s="242" t="s">
        <v>54</v>
      </c>
      <c r="AB5" s="243" t="s">
        <v>148</v>
      </c>
      <c r="AC5" s="244" t="s">
        <v>50</v>
      </c>
      <c r="AD5" s="244" t="s">
        <v>51</v>
      </c>
      <c r="AE5" s="244" t="s">
        <v>52</v>
      </c>
      <c r="AF5" s="245" t="s">
        <v>53</v>
      </c>
      <c r="AG5" s="245" t="s">
        <v>54</v>
      </c>
      <c r="AH5" s="245" t="s">
        <v>148</v>
      </c>
      <c r="AI5" s="246" t="s">
        <v>50</v>
      </c>
      <c r="AJ5" s="246" t="s">
        <v>51</v>
      </c>
      <c r="AK5" s="246" t="s">
        <v>52</v>
      </c>
      <c r="AL5" s="247" t="s">
        <v>53</v>
      </c>
      <c r="AM5" s="247" t="s">
        <v>54</v>
      </c>
      <c r="AN5" s="247" t="s">
        <v>148</v>
      </c>
      <c r="AO5" s="248" t="s">
        <v>50</v>
      </c>
      <c r="AP5" s="248" t="s">
        <v>51</v>
      </c>
      <c r="AQ5" s="248" t="s">
        <v>52</v>
      </c>
      <c r="AR5" s="249" t="s">
        <v>53</v>
      </c>
      <c r="AS5" s="249" t="s">
        <v>54</v>
      </c>
      <c r="AT5" s="249" t="s">
        <v>148</v>
      </c>
      <c r="AU5" s="250" t="s">
        <v>149</v>
      </c>
      <c r="AV5" s="250" t="s">
        <v>150</v>
      </c>
      <c r="AW5" s="250" t="s">
        <v>151</v>
      </c>
      <c r="AX5" s="250" t="s">
        <v>52</v>
      </c>
      <c r="AY5" s="251" t="s">
        <v>152</v>
      </c>
      <c r="AZ5" s="251" t="s">
        <v>54</v>
      </c>
      <c r="BA5" s="251" t="s">
        <v>55</v>
      </c>
      <c r="BB5" s="251" t="s">
        <v>148</v>
      </c>
      <c r="BC5" s="251" t="s">
        <v>53</v>
      </c>
      <c r="BD5" s="251" t="s">
        <v>54</v>
      </c>
      <c r="BE5" s="251" t="s">
        <v>55</v>
      </c>
    </row>
    <row r="6" customFormat="false" ht="14.4" hidden="false" customHeight="true" outlineLevel="0" collapsed="false">
      <c r="A6" s="252" t="s">
        <v>153</v>
      </c>
      <c r="B6" s="253" t="s">
        <v>154</v>
      </c>
      <c r="C6" s="254" t="n">
        <v>41640</v>
      </c>
      <c r="D6" s="255" t="n">
        <v>41882</v>
      </c>
      <c r="E6" s="256" t="n">
        <v>0.699</v>
      </c>
      <c r="F6" s="89"/>
      <c r="G6" s="89" t="n">
        <f aca="false">E6+F6</f>
        <v>0.699</v>
      </c>
      <c r="H6" s="257"/>
      <c r="I6" s="258" t="n">
        <f aca="false">G6-H6</f>
        <v>0.699</v>
      </c>
      <c r="J6" s="169" t="n">
        <f aca="false">E6+E7+F6+F7</f>
        <v>1.048</v>
      </c>
      <c r="K6" s="226" t="n">
        <v>0.349</v>
      </c>
      <c r="L6" s="224" t="n">
        <f aca="false">4.216</f>
        <v>4.216</v>
      </c>
      <c r="M6" s="226" t="n">
        <f aca="false">K6+L6</f>
        <v>4.565</v>
      </c>
      <c r="N6" s="226"/>
      <c r="O6" s="259" t="n">
        <f aca="false">M6-N6</f>
        <v>4.565</v>
      </c>
      <c r="P6" s="164" t="n">
        <f aca="false">K6+K7+L6+L7</f>
        <v>0.698</v>
      </c>
      <c r="Q6" s="226" t="n">
        <v>36.696</v>
      </c>
      <c r="R6" s="224" t="n">
        <f aca="false">6.817</f>
        <v>6.817</v>
      </c>
      <c r="S6" s="226" t="n">
        <f aca="false">Q6+R6</f>
        <v>43.513</v>
      </c>
      <c r="T6" s="225" t="n">
        <v>55.117</v>
      </c>
      <c r="U6" s="260" t="n">
        <f aca="false">S6-T6</f>
        <v>-11.604</v>
      </c>
      <c r="V6" s="164" t="n">
        <f aca="false">Q6+Q7+R6+R7</f>
        <v>87.73216</v>
      </c>
      <c r="W6" s="226" t="n">
        <v>66.752</v>
      </c>
      <c r="X6" s="226"/>
      <c r="Y6" s="226" t="n">
        <f aca="false">W6+X6</f>
        <v>66.752</v>
      </c>
      <c r="Z6" s="225" t="n">
        <v>75.722</v>
      </c>
      <c r="AA6" s="260" t="n">
        <f aca="false">Y6-Z6</f>
        <v>-8.97</v>
      </c>
      <c r="AB6" s="164" t="n">
        <f aca="false">W6+W7+X6+X7</f>
        <v>121.7834</v>
      </c>
      <c r="AC6" s="226" t="n">
        <v>113.059</v>
      </c>
      <c r="AD6" s="224" t="n">
        <f aca="false">0.8</f>
        <v>0.8</v>
      </c>
      <c r="AE6" s="226" t="n">
        <f aca="false">AC6+AD6</f>
        <v>113.859</v>
      </c>
      <c r="AF6" s="226" t="n">
        <v>135.871</v>
      </c>
      <c r="AG6" s="259" t="n">
        <f aca="false">AE6-AF6</f>
        <v>-22.012</v>
      </c>
      <c r="AH6" s="164" t="n">
        <f aca="false">AC6+AC7+AD6+AD7</f>
        <v>178.243</v>
      </c>
      <c r="AI6" s="226" t="n">
        <v>95.235</v>
      </c>
      <c r="AJ6" s="224" t="n">
        <f aca="false">19.978</f>
        <v>19.978</v>
      </c>
      <c r="AK6" s="226" t="n">
        <f aca="false">AI6+AJ6</f>
        <v>115.213</v>
      </c>
      <c r="AL6" s="225" t="n">
        <v>110.47</v>
      </c>
      <c r="AM6" s="259" t="n">
        <f aca="false">AK6-AL6</f>
        <v>4.743</v>
      </c>
      <c r="AN6" s="178" t="n">
        <f aca="false">AI6+AI7+AJ6+AJ7</f>
        <v>186.472</v>
      </c>
      <c r="AO6" s="226" t="n">
        <v>92.964</v>
      </c>
      <c r="AP6" s="224" t="n">
        <f aca="false">19.502</f>
        <v>19.502</v>
      </c>
      <c r="AQ6" s="226" t="n">
        <f aca="false">AO6+AP6</f>
        <v>112.466</v>
      </c>
      <c r="AR6" s="225" t="n">
        <v>115.094</v>
      </c>
      <c r="AS6" s="259" t="n">
        <f aca="false">AQ6-AR6</f>
        <v>-2.628</v>
      </c>
      <c r="AT6" s="164" t="n">
        <f aca="false">AO6+AO7+AP6+AP7</f>
        <v>188.6594</v>
      </c>
      <c r="AU6" s="261" t="n">
        <f aca="false">E6+K6+Q6+W6+AC6+AI6+AO6</f>
        <v>405.754</v>
      </c>
      <c r="AV6" s="262" t="n">
        <f aca="false">F6+L6+R6+X6+AD6+AJ6+AP6</f>
        <v>51.313</v>
      </c>
      <c r="AW6" s="228" t="n">
        <f aca="false">13.444</f>
        <v>13.444</v>
      </c>
      <c r="AX6" s="258" t="n">
        <f aca="false">AU6+AV6+AW6</f>
        <v>470.511</v>
      </c>
      <c r="AY6" s="263" t="n">
        <f aca="false">H6+N6+T6+Z6+AF6+AL6+AR6</f>
        <v>492.274</v>
      </c>
      <c r="AZ6" s="259" t="n">
        <f aca="false">AX6-AY6</f>
        <v>-21.763</v>
      </c>
      <c r="BA6" s="264" t="n">
        <f aca="false">AY6/AX6</f>
        <v>1.04625396643224</v>
      </c>
      <c r="BB6" s="149" t="n">
        <f aca="false">AU6+AU7+AV6+AV7+AW6+AW7</f>
        <v>782.63596</v>
      </c>
      <c r="BC6" s="265" t="n">
        <f aca="false">AY6+AY7</f>
        <v>762.388</v>
      </c>
      <c r="BD6" s="266" t="n">
        <f aca="false">BB6-BC6</f>
        <v>20.2479599999999</v>
      </c>
      <c r="BE6" s="267" t="n">
        <f aca="false">BC6/BB6</f>
        <v>0.974128507971957</v>
      </c>
    </row>
    <row r="7" customFormat="false" ht="14.4" hidden="false" customHeight="false" outlineLevel="0" collapsed="false">
      <c r="A7" s="252"/>
      <c r="B7" s="253"/>
      <c r="C7" s="268" t="n">
        <v>41883</v>
      </c>
      <c r="D7" s="269" t="n">
        <v>42004</v>
      </c>
      <c r="E7" s="270" t="n">
        <v>0.349</v>
      </c>
      <c r="F7" s="88"/>
      <c r="G7" s="88" t="n">
        <f aca="false">E7+F7+I6</f>
        <v>1.048</v>
      </c>
      <c r="H7" s="271"/>
      <c r="I7" s="272" t="n">
        <f aca="false">G7-H7</f>
        <v>1.048</v>
      </c>
      <c r="J7" s="169"/>
      <c r="K7" s="227" t="n">
        <v>0.349</v>
      </c>
      <c r="L7" s="273" t="n">
        <f aca="false">1.488-5.704</f>
        <v>-4.216</v>
      </c>
      <c r="M7" s="274" t="n">
        <f aca="false">K7+L7+O6</f>
        <v>0.698000000000001</v>
      </c>
      <c r="N7" s="227"/>
      <c r="O7" s="274" t="n">
        <f aca="false">M7-N7</f>
        <v>0.698000000000001</v>
      </c>
      <c r="P7" s="164"/>
      <c r="Q7" s="227" t="n">
        <v>35.298</v>
      </c>
      <c r="R7" s="275" t="n">
        <f aca="false">6.417+2.50416</f>
        <v>8.92116</v>
      </c>
      <c r="S7" s="274" t="n">
        <f aca="false">Q7+R7+U6</f>
        <v>32.61516</v>
      </c>
      <c r="T7" s="161" t="n">
        <v>32.517</v>
      </c>
      <c r="U7" s="276" t="n">
        <f aca="false">S7-T7</f>
        <v>0.09816</v>
      </c>
      <c r="V7" s="164"/>
      <c r="W7" s="227" t="n">
        <v>39.143</v>
      </c>
      <c r="X7" s="275" t="n">
        <f aca="false">11.68+4.2084</f>
        <v>15.8884</v>
      </c>
      <c r="Y7" s="227" t="n">
        <f aca="false">W7+X7+AA6</f>
        <v>46.0614</v>
      </c>
      <c r="Z7" s="161" t="n">
        <v>45.906</v>
      </c>
      <c r="AA7" s="276" t="n">
        <f aca="false">Y7-Z7</f>
        <v>0.155400000000007</v>
      </c>
      <c r="AB7" s="164"/>
      <c r="AC7" s="227" t="n">
        <v>58.889</v>
      </c>
      <c r="AD7" s="275" t="n">
        <f aca="false">5.495</f>
        <v>5.495</v>
      </c>
      <c r="AE7" s="227" t="n">
        <f aca="false">AC7+AD7+AG6</f>
        <v>42.372</v>
      </c>
      <c r="AF7" s="227" t="n">
        <v>42.311</v>
      </c>
      <c r="AG7" s="274" t="n">
        <f aca="false">AE7-AF7</f>
        <v>0.0609999999999857</v>
      </c>
      <c r="AH7" s="164"/>
      <c r="AI7" s="227" t="n">
        <v>51.375</v>
      </c>
      <c r="AJ7" s="275" t="n">
        <f aca="false">8.124+16.664-4.904</f>
        <v>19.884</v>
      </c>
      <c r="AK7" s="227" t="n">
        <f aca="false">AI7+AJ7+AM6</f>
        <v>76.002</v>
      </c>
      <c r="AL7" s="161" t="n">
        <v>75.989</v>
      </c>
      <c r="AM7" s="274" t="n">
        <f aca="false">AK7-AL7</f>
        <v>0.012999999999991</v>
      </c>
      <c r="AN7" s="178"/>
      <c r="AO7" s="227" t="n">
        <v>47.705</v>
      </c>
      <c r="AP7" s="275" t="n">
        <f aca="false">8.044+16.236+4.2084</f>
        <v>28.4884</v>
      </c>
      <c r="AQ7" s="227" t="n">
        <f aca="false">AO7+AP7+AS6</f>
        <v>73.5654</v>
      </c>
      <c r="AR7" s="161" t="n">
        <v>73.391</v>
      </c>
      <c r="AS7" s="274" t="n">
        <f aca="false">AQ7-AR7</f>
        <v>0.174399999999991</v>
      </c>
      <c r="AT7" s="164"/>
      <c r="AU7" s="277" t="n">
        <f aca="false">E7+K7+Q7+W7+AC7+AI7+AO7</f>
        <v>233.108</v>
      </c>
      <c r="AV7" s="278" t="n">
        <f aca="false">F7+L7+R7+X7+AD7+AJ7+AP7</f>
        <v>74.46096</v>
      </c>
      <c r="AW7" s="279" t="n">
        <f aca="false">4.556</f>
        <v>4.556</v>
      </c>
      <c r="AX7" s="272" t="n">
        <f aca="false">AU7+AV7+AZ6+AW7</f>
        <v>290.36196</v>
      </c>
      <c r="AY7" s="280" t="n">
        <f aca="false">H7+N7+T7+Z7+AF7+AL7+AR7</f>
        <v>270.114</v>
      </c>
      <c r="AZ7" s="274" t="n">
        <f aca="false">AX7-AY7</f>
        <v>20.2479599999999</v>
      </c>
      <c r="BA7" s="281" t="n">
        <f aca="false">AY7/AX7</f>
        <v>0.930266485320598</v>
      </c>
      <c r="BB7" s="149"/>
      <c r="BC7" s="265"/>
      <c r="BD7" s="266"/>
      <c r="BE7" s="267"/>
    </row>
    <row r="8" customFormat="false" ht="14.4" hidden="false" customHeight="true" outlineLevel="0" collapsed="false">
      <c r="A8" s="252"/>
      <c r="B8" s="282" t="s">
        <v>155</v>
      </c>
      <c r="C8" s="254" t="n">
        <v>41640</v>
      </c>
      <c r="D8" s="255" t="n">
        <v>41882</v>
      </c>
      <c r="E8" s="256" t="n">
        <v>0.267</v>
      </c>
      <c r="F8" s="56" t="n">
        <f aca="false">-0.267</f>
        <v>-0.267</v>
      </c>
      <c r="G8" s="89" t="n">
        <f aca="false">E8+F8</f>
        <v>0</v>
      </c>
      <c r="H8" s="257"/>
      <c r="I8" s="258" t="n">
        <f aca="false">G8-H8</f>
        <v>0</v>
      </c>
      <c r="J8" s="175" t="n">
        <f aca="false">E8+E9+F8+F9</f>
        <v>0</v>
      </c>
      <c r="K8" s="226" t="n">
        <v>0.133</v>
      </c>
      <c r="L8" s="283" t="n">
        <f aca="false">-0.133</f>
        <v>-0.133</v>
      </c>
      <c r="M8" s="226" t="n">
        <f aca="false">K8+L8</f>
        <v>0</v>
      </c>
      <c r="N8" s="226"/>
      <c r="O8" s="259" t="n">
        <f aca="false">M8-N8</f>
        <v>0</v>
      </c>
      <c r="P8" s="225" t="n">
        <f aca="false">K8+K9+L8+L9</f>
        <v>0</v>
      </c>
      <c r="Q8" s="226" t="n">
        <v>13.993</v>
      </c>
      <c r="R8" s="283" t="n">
        <f aca="false">-13.993</f>
        <v>-13.993</v>
      </c>
      <c r="S8" s="226" t="n">
        <f aca="false">Q8+R8</f>
        <v>0</v>
      </c>
      <c r="T8" s="225"/>
      <c r="U8" s="260" t="n">
        <f aca="false">S8-T8</f>
        <v>0</v>
      </c>
      <c r="V8" s="225" t="n">
        <f aca="false">Q8+Q9+R8+R9</f>
        <v>0</v>
      </c>
      <c r="W8" s="226" t="n">
        <v>25.454</v>
      </c>
      <c r="X8" s="283" t="n">
        <f aca="false">-25.454</f>
        <v>-25.454</v>
      </c>
      <c r="Y8" s="226" t="n">
        <f aca="false">W8+X8</f>
        <v>0</v>
      </c>
      <c r="Z8" s="226"/>
      <c r="AA8" s="260" t="n">
        <f aca="false">Y8-Z8</f>
        <v>0</v>
      </c>
      <c r="AB8" s="225" t="n">
        <f aca="false">W8+W9+X8+X9</f>
        <v>0</v>
      </c>
      <c r="AC8" s="226" t="n">
        <v>43.112</v>
      </c>
      <c r="AD8" s="283" t="n">
        <f aca="false">-43.112</f>
        <v>-43.112</v>
      </c>
      <c r="AE8" s="226" t="n">
        <f aca="false">AC8+AD8</f>
        <v>0</v>
      </c>
      <c r="AF8" s="226"/>
      <c r="AG8" s="259" t="n">
        <f aca="false">AE8-AF8</f>
        <v>0</v>
      </c>
      <c r="AH8" s="225" t="n">
        <f aca="false">AC8+AC9+AD8+AD9</f>
        <v>0</v>
      </c>
      <c r="AI8" s="226" t="n">
        <v>36.315</v>
      </c>
      <c r="AJ8" s="283" t="n">
        <f aca="false">-36.315</f>
        <v>-36.315</v>
      </c>
      <c r="AK8" s="226" t="n">
        <f aca="false">AI8+AJ8</f>
        <v>0</v>
      </c>
      <c r="AL8" s="226"/>
      <c r="AM8" s="259" t="n">
        <f aca="false">AK8-AL8</f>
        <v>0</v>
      </c>
      <c r="AN8" s="284" t="n">
        <f aca="false">AI8+AI9+AJ8+AJ9</f>
        <v>0</v>
      </c>
      <c r="AO8" s="226" t="n">
        <v>35.449</v>
      </c>
      <c r="AP8" s="283" t="n">
        <f aca="false">-35.449</f>
        <v>-35.449</v>
      </c>
      <c r="AQ8" s="226" t="n">
        <f aca="false">AO8+AP8</f>
        <v>0</v>
      </c>
      <c r="AR8" s="226"/>
      <c r="AS8" s="259" t="n">
        <f aca="false">AQ8-AR8</f>
        <v>0</v>
      </c>
      <c r="AT8" s="225" t="n">
        <f aca="false">AO8+AO9+AP8+AP9</f>
        <v>0</v>
      </c>
      <c r="AU8" s="261" t="n">
        <f aca="false">E8+K8+Q8+W8+AC8+AI8+AO8</f>
        <v>154.723</v>
      </c>
      <c r="AV8" s="285" t="n">
        <f aca="false">F8+L8+R8+X8+AD8+AJ8+AP8</f>
        <v>-154.723</v>
      </c>
      <c r="AW8" s="286"/>
      <c r="AX8" s="258" t="n">
        <f aca="false">AU8+AV8+AW8</f>
        <v>0</v>
      </c>
      <c r="AY8" s="263" t="n">
        <f aca="false">H8+N8+T8+Z8+AF8+AL8+AR8</f>
        <v>0</v>
      </c>
      <c r="AZ8" s="259" t="n">
        <f aca="false">AX8-AY8</f>
        <v>0</v>
      </c>
      <c r="BA8" s="264" t="e">
        <f aca="false">AY8/AX8</f>
        <v>#DIV/0!</v>
      </c>
      <c r="BB8" s="287" t="n">
        <f aca="false">AU8+AU9+AV8+AV9+AW8+AW9</f>
        <v>0</v>
      </c>
      <c r="BC8" s="288" t="n">
        <f aca="false">AY8+AY9</f>
        <v>0</v>
      </c>
      <c r="BD8" s="288" t="n">
        <f aca="false">BB8-BC8</f>
        <v>0</v>
      </c>
      <c r="BE8" s="289" t="e">
        <f aca="false">BC8/BB8</f>
        <v>#DIV/0!</v>
      </c>
    </row>
    <row r="9" customFormat="false" ht="14.4" hidden="false" customHeight="false" outlineLevel="0" collapsed="false">
      <c r="A9" s="252"/>
      <c r="B9" s="282"/>
      <c r="C9" s="290" t="n">
        <v>41883</v>
      </c>
      <c r="D9" s="291" t="n">
        <v>42004</v>
      </c>
      <c r="E9" s="292" t="n">
        <v>0.133</v>
      </c>
      <c r="F9" s="95" t="n">
        <f aca="false">-0.133</f>
        <v>-0.133</v>
      </c>
      <c r="G9" s="293" t="n">
        <f aca="false">E9+F9+I8</f>
        <v>0</v>
      </c>
      <c r="H9" s="294"/>
      <c r="I9" s="295" t="n">
        <f aca="false">G9-H9</f>
        <v>0</v>
      </c>
      <c r="J9" s="175"/>
      <c r="K9" s="296" t="n">
        <v>0.133</v>
      </c>
      <c r="L9" s="297" t="n">
        <f aca="false">-0.133</f>
        <v>-0.133</v>
      </c>
      <c r="M9" s="298" t="n">
        <f aca="false">K9+L9+O8</f>
        <v>0</v>
      </c>
      <c r="N9" s="298"/>
      <c r="O9" s="299" t="n">
        <f aca="false">M9-N9</f>
        <v>0</v>
      </c>
      <c r="P9" s="225"/>
      <c r="Q9" s="296" t="n">
        <v>13.46</v>
      </c>
      <c r="R9" s="297" t="n">
        <f aca="false">-13.46</f>
        <v>-13.46</v>
      </c>
      <c r="S9" s="298" t="n">
        <f aca="false">Q9+R9+U8</f>
        <v>0</v>
      </c>
      <c r="T9" s="300"/>
      <c r="U9" s="301" t="n">
        <f aca="false">S9-T9</f>
        <v>0</v>
      </c>
      <c r="V9" s="225"/>
      <c r="W9" s="296" t="n">
        <v>14.926</v>
      </c>
      <c r="X9" s="297" t="n">
        <f aca="false">-14.926</f>
        <v>-14.926</v>
      </c>
      <c r="Y9" s="298" t="n">
        <f aca="false">W9+X9+AA8</f>
        <v>0</v>
      </c>
      <c r="Z9" s="298"/>
      <c r="AA9" s="301" t="n">
        <f aca="false">Y9-Z9</f>
        <v>0</v>
      </c>
      <c r="AB9" s="225"/>
      <c r="AC9" s="296" t="n">
        <v>22.455</v>
      </c>
      <c r="AD9" s="297" t="n">
        <f aca="false">-22.455</f>
        <v>-22.455</v>
      </c>
      <c r="AE9" s="298" t="n">
        <f aca="false">AC9+AD9+AG8</f>
        <v>0</v>
      </c>
      <c r="AF9" s="298"/>
      <c r="AG9" s="299" t="n">
        <f aca="false">AE9-AF9</f>
        <v>0</v>
      </c>
      <c r="AH9" s="225"/>
      <c r="AI9" s="296" t="n">
        <v>19.59</v>
      </c>
      <c r="AJ9" s="297" t="n">
        <f aca="false">-19.59</f>
        <v>-19.59</v>
      </c>
      <c r="AK9" s="298" t="n">
        <f aca="false">AI9+AJ9+AM8</f>
        <v>0</v>
      </c>
      <c r="AL9" s="298"/>
      <c r="AM9" s="299" t="n">
        <f aca="false">AK9-AL9</f>
        <v>0</v>
      </c>
      <c r="AN9" s="284"/>
      <c r="AO9" s="296" t="n">
        <v>18.191</v>
      </c>
      <c r="AP9" s="297" t="n">
        <f aca="false">-18.191</f>
        <v>-18.191</v>
      </c>
      <c r="AQ9" s="298" t="n">
        <f aca="false">AO9+AP9+AS8</f>
        <v>0</v>
      </c>
      <c r="AR9" s="298"/>
      <c r="AS9" s="299" t="n">
        <f aca="false">AQ9-AR9</f>
        <v>0</v>
      </c>
      <c r="AT9" s="225"/>
      <c r="AU9" s="302" t="n">
        <f aca="false">E9+K9+Q9+W9+AC9+AI9+AO9</f>
        <v>88.888</v>
      </c>
      <c r="AV9" s="303" t="n">
        <f aca="false">F9+L9+R9+X9+AD9+AJ9+AP9</f>
        <v>-88.888</v>
      </c>
      <c r="AW9" s="304"/>
      <c r="AX9" s="295" t="n">
        <f aca="false">AU9+AV9+AZ8+AW9</f>
        <v>0</v>
      </c>
      <c r="AY9" s="305" t="n">
        <f aca="false">H9+N9+T9+Z9+AF9+AL9+AR9</f>
        <v>0</v>
      </c>
      <c r="AZ9" s="299" t="n">
        <f aca="false">AX9-AY9</f>
        <v>0</v>
      </c>
      <c r="BA9" s="306" t="e">
        <f aca="false">AY9/AX9</f>
        <v>#DIV/0!</v>
      </c>
      <c r="BB9" s="287"/>
      <c r="BC9" s="288"/>
      <c r="BD9" s="288"/>
      <c r="BE9" s="289"/>
    </row>
    <row r="10" customFormat="false" ht="14.4" hidden="false" customHeight="true" outlineLevel="0" collapsed="false">
      <c r="A10" s="252"/>
      <c r="B10" s="253" t="s">
        <v>64</v>
      </c>
      <c r="C10" s="254" t="n">
        <v>41640</v>
      </c>
      <c r="D10" s="255" t="n">
        <v>41882</v>
      </c>
      <c r="E10" s="256" t="n">
        <v>0.086</v>
      </c>
      <c r="F10" s="89"/>
      <c r="G10" s="89" t="n">
        <f aca="false">E10+F10</f>
        <v>0.086</v>
      </c>
      <c r="H10" s="257"/>
      <c r="I10" s="258" t="n">
        <f aca="false">G10-H10</f>
        <v>0.086</v>
      </c>
      <c r="J10" s="169" t="n">
        <f aca="false">E10+E11+F10+F11</f>
        <v>0.129</v>
      </c>
      <c r="K10" s="226" t="n">
        <v>0.043</v>
      </c>
      <c r="L10" s="226"/>
      <c r="M10" s="226" t="n">
        <f aca="false">K10+L10</f>
        <v>0.043</v>
      </c>
      <c r="N10" s="226"/>
      <c r="O10" s="259" t="n">
        <f aca="false">M10-N10</f>
        <v>0.043</v>
      </c>
      <c r="P10" s="164" t="n">
        <f aca="false">K10+K11+L10+L11</f>
        <v>0.086</v>
      </c>
      <c r="Q10" s="226" t="n">
        <v>4.492</v>
      </c>
      <c r="R10" s="226"/>
      <c r="S10" s="226" t="n">
        <f aca="false">Q10+R10</f>
        <v>4.492</v>
      </c>
      <c r="T10" s="225"/>
      <c r="U10" s="260" t="n">
        <f aca="false">S10-T10</f>
        <v>4.492</v>
      </c>
      <c r="V10" s="164" t="n">
        <f aca="false">Q10+Q11+R10+R11</f>
        <v>2.396</v>
      </c>
      <c r="W10" s="226" t="n">
        <v>8.171</v>
      </c>
      <c r="X10" s="226"/>
      <c r="Y10" s="226" t="n">
        <f aca="false">W10+X10</f>
        <v>8.171</v>
      </c>
      <c r="Z10" s="226"/>
      <c r="AA10" s="260" t="n">
        <f aca="false">Y10-Z10</f>
        <v>8.171</v>
      </c>
      <c r="AB10" s="164" t="n">
        <f aca="false">W10+W11+X10+X11</f>
        <v>1.283</v>
      </c>
      <c r="AC10" s="226" t="n">
        <v>13.84</v>
      </c>
      <c r="AD10" s="226"/>
      <c r="AE10" s="226" t="n">
        <f aca="false">AC10+AD10</f>
        <v>13.84</v>
      </c>
      <c r="AF10" s="226"/>
      <c r="AG10" s="259" t="n">
        <f aca="false">AE10-AF10</f>
        <v>13.84</v>
      </c>
      <c r="AH10" s="164" t="n">
        <f aca="false">AC10+AC11+AD10+AD11</f>
        <v>15.554</v>
      </c>
      <c r="AI10" s="226" t="n">
        <v>11.658</v>
      </c>
      <c r="AJ10" s="226"/>
      <c r="AK10" s="226" t="n">
        <f aca="false">AI10+AJ10</f>
        <v>11.658</v>
      </c>
      <c r="AL10" s="226"/>
      <c r="AM10" s="259" t="n">
        <f aca="false">AK10-AL10</f>
        <v>11.658</v>
      </c>
      <c r="AN10" s="178" t="n">
        <f aca="false">AI10+AI11+AJ10+AJ11</f>
        <v>1.283</v>
      </c>
      <c r="AO10" s="226" t="n">
        <v>11.38</v>
      </c>
      <c r="AP10" s="226"/>
      <c r="AQ10" s="226" t="n">
        <f aca="false">AO10+AP10</f>
        <v>11.38</v>
      </c>
      <c r="AR10" s="226"/>
      <c r="AS10" s="259" t="n">
        <f aca="false">AQ10-AR10</f>
        <v>11.38</v>
      </c>
      <c r="AT10" s="164" t="n">
        <f aca="false">AO10+AO11+AP10+AP11</f>
        <v>0.983999999999998</v>
      </c>
      <c r="AU10" s="261" t="n">
        <f aca="false">E10+K10+Q10+W10+AC10+AI10+AO10</f>
        <v>49.67</v>
      </c>
      <c r="AV10" s="258" t="n">
        <f aca="false">F10+L10+R10+X10+AD10+AJ10+AP10</f>
        <v>0</v>
      </c>
      <c r="AW10" s="286" t="n">
        <f aca="false">-0.7652</f>
        <v>-0.7652</v>
      </c>
      <c r="AX10" s="258" t="n">
        <f aca="false">AU10+AV10+AW10</f>
        <v>48.9048</v>
      </c>
      <c r="AY10" s="263" t="n">
        <f aca="false">H10+N10+T10+Z10+AF10+AL10+AR10</f>
        <v>0</v>
      </c>
      <c r="AZ10" s="259" t="n">
        <f aca="false">AX10-AY10</f>
        <v>48.9048</v>
      </c>
      <c r="BA10" s="264" t="n">
        <f aca="false">AY10/AX10</f>
        <v>0</v>
      </c>
      <c r="BB10" s="149" t="n">
        <f aca="false">AU10+AU11+AV10+AV11+AW10+AW11</f>
        <v>20.9498</v>
      </c>
      <c r="BC10" s="265" t="n">
        <f aca="false">AY10+AY11</f>
        <v>0</v>
      </c>
      <c r="BD10" s="266" t="n">
        <f aca="false">BB10-BC10</f>
        <v>20.9498</v>
      </c>
      <c r="BE10" s="307" t="n">
        <f aca="false">BC10/BB10</f>
        <v>0</v>
      </c>
    </row>
    <row r="11" customFormat="false" ht="14.4" hidden="false" customHeight="false" outlineLevel="0" collapsed="false">
      <c r="A11" s="252"/>
      <c r="B11" s="253"/>
      <c r="C11" s="268" t="n">
        <v>41883</v>
      </c>
      <c r="D11" s="269" t="n">
        <v>42004</v>
      </c>
      <c r="E11" s="270" t="n">
        <v>0.043</v>
      </c>
      <c r="F11" s="88"/>
      <c r="G11" s="88" t="n">
        <f aca="false">E11+F11+I10</f>
        <v>0.129</v>
      </c>
      <c r="H11" s="271"/>
      <c r="I11" s="272" t="n">
        <f aca="false">G11-H11</f>
        <v>0.129</v>
      </c>
      <c r="J11" s="169"/>
      <c r="K11" s="308" t="n">
        <v>0.043</v>
      </c>
      <c r="L11" s="227"/>
      <c r="M11" s="227" t="n">
        <f aca="false">K11+L11+O10</f>
        <v>0.086</v>
      </c>
      <c r="N11" s="227"/>
      <c r="O11" s="274" t="n">
        <f aca="false">M11-N11</f>
        <v>0.086</v>
      </c>
      <c r="P11" s="164"/>
      <c r="Q11" s="308" t="n">
        <v>4.321</v>
      </c>
      <c r="R11" s="273" t="n">
        <f aca="false">-6.417</f>
        <v>-6.417</v>
      </c>
      <c r="S11" s="276" t="n">
        <f aca="false">Q11+R11+U10</f>
        <v>2.396</v>
      </c>
      <c r="T11" s="161"/>
      <c r="U11" s="276" t="n">
        <f aca="false">S11-T11</f>
        <v>2.396</v>
      </c>
      <c r="V11" s="164"/>
      <c r="W11" s="308" t="n">
        <v>4.792</v>
      </c>
      <c r="X11" s="273" t="n">
        <f aca="false">-11.68</f>
        <v>-11.68</v>
      </c>
      <c r="Y11" s="227" t="n">
        <f aca="false">W11+X11+AA10</f>
        <v>1.283</v>
      </c>
      <c r="Z11" s="227"/>
      <c r="AA11" s="276" t="n">
        <f aca="false">Y11-Z11</f>
        <v>1.283</v>
      </c>
      <c r="AB11" s="164"/>
      <c r="AC11" s="308" t="n">
        <v>7.209</v>
      </c>
      <c r="AD11" s="273" t="n">
        <f aca="false">-5.495</f>
        <v>-5.495</v>
      </c>
      <c r="AE11" s="227" t="n">
        <f aca="false">AC11+AD11+AG10</f>
        <v>15.554</v>
      </c>
      <c r="AF11" s="273"/>
      <c r="AG11" s="274" t="n">
        <f aca="false">AE11-AF11</f>
        <v>15.554</v>
      </c>
      <c r="AH11" s="164"/>
      <c r="AI11" s="308" t="n">
        <v>6.289</v>
      </c>
      <c r="AJ11" s="273" t="n">
        <f aca="false">-16.664</f>
        <v>-16.664</v>
      </c>
      <c r="AK11" s="227" t="n">
        <f aca="false">AI11+AJ11+AM10</f>
        <v>1.283</v>
      </c>
      <c r="AL11" s="227"/>
      <c r="AM11" s="274" t="n">
        <f aca="false">AK11-AL11</f>
        <v>1.283</v>
      </c>
      <c r="AN11" s="178"/>
      <c r="AO11" s="308" t="n">
        <v>5.84</v>
      </c>
      <c r="AP11" s="273" t="n">
        <f aca="false">-16.236</f>
        <v>-16.236</v>
      </c>
      <c r="AQ11" s="227" t="n">
        <f aca="false">AO11+AP11+AS10</f>
        <v>0.984</v>
      </c>
      <c r="AR11" s="227"/>
      <c r="AS11" s="274" t="n">
        <f aca="false">AQ11-AR11</f>
        <v>0.984</v>
      </c>
      <c r="AT11" s="164"/>
      <c r="AU11" s="277" t="n">
        <f aca="false">E11+K11+Q11+W11+AC11+AI11+AO11</f>
        <v>28.537</v>
      </c>
      <c r="AV11" s="309" t="n">
        <f aca="false">F11+L11+R11+X11+AD11+AJ11+AP11</f>
        <v>-56.492</v>
      </c>
      <c r="AW11" s="223"/>
      <c r="AX11" s="272" t="n">
        <f aca="false">AU11+AV11+AZ10+AW11</f>
        <v>20.9498</v>
      </c>
      <c r="AY11" s="280" t="n">
        <f aca="false">H11+N11+T11+Z11+AF11+AL11+AR11</f>
        <v>0</v>
      </c>
      <c r="AZ11" s="274" t="n">
        <f aca="false">AX11-AY11</f>
        <v>20.9498</v>
      </c>
      <c r="BA11" s="281" t="n">
        <f aca="false">AY11/AX11</f>
        <v>0</v>
      </c>
      <c r="BB11" s="149"/>
      <c r="BC11" s="265"/>
      <c r="BD11" s="266"/>
      <c r="BE11" s="307"/>
    </row>
    <row r="12" customFormat="false" ht="14.4" hidden="false" customHeight="true" outlineLevel="0" collapsed="false">
      <c r="A12" s="252"/>
      <c r="B12" s="282" t="s">
        <v>156</v>
      </c>
      <c r="C12" s="254" t="n">
        <v>41640</v>
      </c>
      <c r="D12" s="255" t="n">
        <v>41882</v>
      </c>
      <c r="E12" s="256" t="n">
        <v>0.686</v>
      </c>
      <c r="F12" s="89"/>
      <c r="G12" s="89" t="n">
        <f aca="false">E12+F12</f>
        <v>0.686</v>
      </c>
      <c r="H12" s="257"/>
      <c r="I12" s="258" t="n">
        <f aca="false">G12-H12</f>
        <v>0.686</v>
      </c>
      <c r="J12" s="175" t="n">
        <f aca="false">E12+E13+F12+F13</f>
        <v>1.029</v>
      </c>
      <c r="K12" s="226" t="n">
        <v>0.343</v>
      </c>
      <c r="L12" s="226"/>
      <c r="M12" s="226" t="n">
        <f aca="false">K12+L12</f>
        <v>0.343</v>
      </c>
      <c r="N12" s="226"/>
      <c r="O12" s="259" t="n">
        <f aca="false">M12-N12</f>
        <v>0.343</v>
      </c>
      <c r="P12" s="225" t="n">
        <f aca="false">K12+K13+L12+L13</f>
        <v>0.686</v>
      </c>
      <c r="Q12" s="226" t="n">
        <v>36.034</v>
      </c>
      <c r="R12" s="226"/>
      <c r="S12" s="226" t="n">
        <f aca="false">Q12+R12</f>
        <v>36.034</v>
      </c>
      <c r="T12" s="225" t="n">
        <v>29.525</v>
      </c>
      <c r="U12" s="260" t="n">
        <f aca="false">S12-T12</f>
        <v>6.509</v>
      </c>
      <c r="V12" s="225" t="n">
        <f aca="false">Q12+Q13+R12+R13</f>
        <v>70.696</v>
      </c>
      <c r="W12" s="226" t="n">
        <v>65.548</v>
      </c>
      <c r="X12" s="226"/>
      <c r="Y12" s="226" t="n">
        <f aca="false">W12+X12</f>
        <v>65.548</v>
      </c>
      <c r="Z12" s="226" t="n">
        <v>61.918</v>
      </c>
      <c r="AA12" s="260" t="n">
        <f aca="false">Y12-Z12</f>
        <v>3.63</v>
      </c>
      <c r="AB12" s="225" t="n">
        <f aca="false">W12+W13+X12+X13</f>
        <v>93.985</v>
      </c>
      <c r="AC12" s="226" t="n">
        <v>111.02</v>
      </c>
      <c r="AD12" s="226"/>
      <c r="AE12" s="226" t="n">
        <f aca="false">AC12+AD12</f>
        <v>111.02</v>
      </c>
      <c r="AF12" s="226" t="n">
        <v>105.275</v>
      </c>
      <c r="AG12" s="310" t="n">
        <f aca="false">AE12-AF12</f>
        <v>5.74499999999999</v>
      </c>
      <c r="AH12" s="225" t="n">
        <f aca="false">AC12+AC13+AD12+AD13</f>
        <v>168.847</v>
      </c>
      <c r="AI12" s="226" t="n">
        <v>93.518</v>
      </c>
      <c r="AJ12" s="226"/>
      <c r="AK12" s="226" t="n">
        <f aca="false">AI12+AJ12</f>
        <v>93.518</v>
      </c>
      <c r="AL12" s="225" t="n">
        <v>119.225</v>
      </c>
      <c r="AM12" s="259" t="n">
        <f aca="false">AK12-AL12</f>
        <v>-25.707</v>
      </c>
      <c r="AN12" s="284" t="n">
        <f aca="false">AI12+AI13+AJ12+AJ13</f>
        <v>153.966</v>
      </c>
      <c r="AO12" s="226" t="n">
        <v>91.287</v>
      </c>
      <c r="AP12" s="226"/>
      <c r="AQ12" s="226" t="n">
        <f aca="false">AO12+AP12</f>
        <v>91.287</v>
      </c>
      <c r="AR12" s="225" t="n">
        <v>52.106</v>
      </c>
      <c r="AS12" s="259" t="n">
        <f aca="false">AQ12-AR12</f>
        <v>39.181</v>
      </c>
      <c r="AT12" s="225" t="n">
        <f aca="false">AO12+AO13+AP12+AP13</f>
        <v>138.132</v>
      </c>
      <c r="AU12" s="261" t="n">
        <f aca="false">E12+K12+Q12+W12+AC12+AI12+AO12</f>
        <v>398.436</v>
      </c>
      <c r="AV12" s="258" t="n">
        <f aca="false">F12+L12+R12+X12+AD12+AJ12+AP12</f>
        <v>0</v>
      </c>
      <c r="AW12" s="258"/>
      <c r="AX12" s="258" t="n">
        <f aca="false">AU12+AV12+AW12</f>
        <v>398.436</v>
      </c>
      <c r="AY12" s="263" t="n">
        <f aca="false">H12+N12+T12+Z12+AF12+AL12+AR12</f>
        <v>368.049</v>
      </c>
      <c r="AZ12" s="259" t="n">
        <f aca="false">AX12-AY12</f>
        <v>30.3870000000001</v>
      </c>
      <c r="BA12" s="264" t="n">
        <f aca="false">AY12/AX12</f>
        <v>0.923734301117369</v>
      </c>
      <c r="BB12" s="287" t="n">
        <f aca="false">AU12+AU13+AV12+AV13+AW12+AW13</f>
        <v>627.341</v>
      </c>
      <c r="BC12" s="288" t="n">
        <f aca="false">AY12+AY13</f>
        <v>622.842</v>
      </c>
      <c r="BD12" s="311" t="n">
        <f aca="false">BB12-BC12</f>
        <v>4.49900000000002</v>
      </c>
      <c r="BE12" s="312" t="n">
        <f aca="false">BC12/BB12</f>
        <v>0.992828461713805</v>
      </c>
    </row>
    <row r="13" customFormat="false" ht="14.4" hidden="false" customHeight="false" outlineLevel="0" collapsed="false">
      <c r="A13" s="252"/>
      <c r="B13" s="282"/>
      <c r="C13" s="290" t="n">
        <v>41883</v>
      </c>
      <c r="D13" s="291" t="n">
        <v>42004</v>
      </c>
      <c r="E13" s="292" t="n">
        <v>0.343</v>
      </c>
      <c r="F13" s="293"/>
      <c r="G13" s="293" t="n">
        <f aca="false">E13+F13+I12</f>
        <v>1.029</v>
      </c>
      <c r="H13" s="294"/>
      <c r="I13" s="295" t="n">
        <f aca="false">G13-H13</f>
        <v>1.029</v>
      </c>
      <c r="J13" s="175"/>
      <c r="K13" s="296" t="n">
        <v>0.343</v>
      </c>
      <c r="L13" s="298"/>
      <c r="M13" s="298" t="n">
        <f aca="false">K13+L13+O12</f>
        <v>0.686</v>
      </c>
      <c r="N13" s="298"/>
      <c r="O13" s="299" t="n">
        <f aca="false">M13-N13</f>
        <v>0.686</v>
      </c>
      <c r="P13" s="225"/>
      <c r="Q13" s="296" t="n">
        <v>34.662</v>
      </c>
      <c r="R13" s="298"/>
      <c r="S13" s="298" t="n">
        <f aca="false">Q13+R13+U12</f>
        <v>41.171</v>
      </c>
      <c r="T13" s="300" t="n">
        <v>39.033</v>
      </c>
      <c r="U13" s="301" t="n">
        <f aca="false">S13-T13</f>
        <v>2.138</v>
      </c>
      <c r="V13" s="225"/>
      <c r="W13" s="296" t="n">
        <v>38.437</v>
      </c>
      <c r="X13" s="297" t="n">
        <f aca="false">-10</f>
        <v>-10</v>
      </c>
      <c r="Y13" s="298" t="n">
        <f aca="false">W13+X13+AA12</f>
        <v>32.067</v>
      </c>
      <c r="Z13" s="298" t="n">
        <v>31.877</v>
      </c>
      <c r="AA13" s="301" t="n">
        <f aca="false">Y13-Z13</f>
        <v>0.190000000000001</v>
      </c>
      <c r="AB13" s="225"/>
      <c r="AC13" s="296" t="n">
        <v>57.827</v>
      </c>
      <c r="AD13" s="298"/>
      <c r="AE13" s="298" t="n">
        <f aca="false">AC13+AD13+AG12</f>
        <v>63.572</v>
      </c>
      <c r="AF13" s="298" t="n">
        <v>63.183</v>
      </c>
      <c r="AG13" s="299" t="n">
        <f aca="false">AE13-AF13</f>
        <v>0.388999999999989</v>
      </c>
      <c r="AH13" s="225"/>
      <c r="AI13" s="296" t="n">
        <v>50.448</v>
      </c>
      <c r="AJ13" s="313" t="n">
        <f aca="false">10</f>
        <v>10</v>
      </c>
      <c r="AK13" s="298" t="n">
        <f aca="false">AI13+AJ13+AM12</f>
        <v>34.741</v>
      </c>
      <c r="AL13" s="300" t="n">
        <v>34.692</v>
      </c>
      <c r="AM13" s="299" t="n">
        <f aca="false">AK13-AL13</f>
        <v>0.0490000000000066</v>
      </c>
      <c r="AN13" s="284"/>
      <c r="AO13" s="296" t="n">
        <v>46.845</v>
      </c>
      <c r="AP13" s="298"/>
      <c r="AQ13" s="298" t="n">
        <f aca="false">AO13+AP13+AS12</f>
        <v>86.026</v>
      </c>
      <c r="AR13" s="300" t="n">
        <v>86.008</v>
      </c>
      <c r="AS13" s="299" t="n">
        <f aca="false">AQ13-AR13</f>
        <v>0.0180000000000149</v>
      </c>
      <c r="AT13" s="225"/>
      <c r="AU13" s="302" t="n">
        <f aca="false">E13+K13+Q13+W13+AC13+AI13+AO13</f>
        <v>228.905</v>
      </c>
      <c r="AV13" s="295" t="n">
        <f aca="false">F13+L13+R13+X13+AD13+AJ13+AP13</f>
        <v>0</v>
      </c>
      <c r="AW13" s="295"/>
      <c r="AX13" s="295" t="n">
        <f aca="false">AU13+AV13+AZ12+AW13</f>
        <v>259.292</v>
      </c>
      <c r="AY13" s="305" t="n">
        <f aca="false">H13+N13+T13+Z13+AF13+AL13+AR13</f>
        <v>254.793</v>
      </c>
      <c r="AZ13" s="299" t="n">
        <f aca="false">AX13-AY13</f>
        <v>4.49900000000002</v>
      </c>
      <c r="BA13" s="306" t="n">
        <f aca="false">AY13/AX13</f>
        <v>0.982648905481079</v>
      </c>
      <c r="BB13" s="287"/>
      <c r="BC13" s="288"/>
      <c r="BD13" s="311"/>
      <c r="BE13" s="312"/>
    </row>
    <row r="14" customFormat="false" ht="15" hidden="false" customHeight="true" outlineLevel="0" collapsed="false">
      <c r="A14" s="252"/>
      <c r="B14" s="253" t="s">
        <v>69</v>
      </c>
      <c r="C14" s="254" t="n">
        <v>41640</v>
      </c>
      <c r="D14" s="255" t="n">
        <v>41882</v>
      </c>
      <c r="E14" s="256" t="n">
        <v>0.004</v>
      </c>
      <c r="F14" s="89"/>
      <c r="G14" s="89" t="n">
        <f aca="false">E14+F14</f>
        <v>0.004</v>
      </c>
      <c r="H14" s="314"/>
      <c r="I14" s="258" t="n">
        <f aca="false">G14-H14</f>
        <v>0.004</v>
      </c>
      <c r="J14" s="169" t="n">
        <f aca="false">E14+E15+F14+F15</f>
        <v>0.006</v>
      </c>
      <c r="K14" s="226" t="n">
        <v>0.002</v>
      </c>
      <c r="L14" s="226"/>
      <c r="M14" s="226" t="n">
        <f aca="false">K14+L14</f>
        <v>0.002</v>
      </c>
      <c r="N14" s="226"/>
      <c r="O14" s="259" t="n">
        <f aca="false">M14-N14</f>
        <v>0.002</v>
      </c>
      <c r="P14" s="164" t="n">
        <f aca="false">K14+K15+L14+L15</f>
        <v>0.004</v>
      </c>
      <c r="Q14" s="226" t="n">
        <v>0.187</v>
      </c>
      <c r="R14" s="226"/>
      <c r="S14" s="226" t="n">
        <f aca="false">Q14+R14</f>
        <v>0.187</v>
      </c>
      <c r="T14" s="225"/>
      <c r="U14" s="260" t="n">
        <f aca="false">S14-T14</f>
        <v>0.187</v>
      </c>
      <c r="V14" s="164" t="n">
        <f aca="false">Q14+Q15+R14+R15</f>
        <v>0.367</v>
      </c>
      <c r="W14" s="226" t="n">
        <v>0.34</v>
      </c>
      <c r="X14" s="226"/>
      <c r="Y14" s="226" t="n">
        <f aca="false">W14+X14</f>
        <v>0.34</v>
      </c>
      <c r="Z14" s="226"/>
      <c r="AA14" s="260" t="n">
        <f aca="false">Y14-Z14</f>
        <v>0.34</v>
      </c>
      <c r="AB14" s="164" t="n">
        <f aca="false">W14+W15+X14+X15</f>
        <v>0.539</v>
      </c>
      <c r="AC14" s="226" t="n">
        <v>0.576</v>
      </c>
      <c r="AD14" s="226"/>
      <c r="AE14" s="226" t="n">
        <f aca="false">AC14+AD14</f>
        <v>0.576</v>
      </c>
      <c r="AF14" s="226"/>
      <c r="AG14" s="259" t="n">
        <f aca="false">AE14-AF14</f>
        <v>0.576</v>
      </c>
      <c r="AH14" s="164" t="n">
        <f aca="false">AC14+AC15+AD14+AD15</f>
        <v>0.876</v>
      </c>
      <c r="AI14" s="226" t="n">
        <v>0.486</v>
      </c>
      <c r="AJ14" s="226"/>
      <c r="AK14" s="226" t="n">
        <f aca="false">AI14+AJ14</f>
        <v>0.486</v>
      </c>
      <c r="AL14" s="226"/>
      <c r="AM14" s="259" t="n">
        <f aca="false">AK14-AL14</f>
        <v>0.486</v>
      </c>
      <c r="AN14" s="178" t="n">
        <f aca="false">AI14+AI15+AJ14+AJ15</f>
        <v>0.748</v>
      </c>
      <c r="AO14" s="226" t="n">
        <v>0.474</v>
      </c>
      <c r="AP14" s="226"/>
      <c r="AQ14" s="226" t="n">
        <f aca="false">AO14+AP14</f>
        <v>0.474</v>
      </c>
      <c r="AR14" s="226"/>
      <c r="AS14" s="259" t="n">
        <f aca="false">AQ14-AR14</f>
        <v>0.474</v>
      </c>
      <c r="AT14" s="164" t="n">
        <f aca="false">AO14+AO15+AP14+AP15</f>
        <v>0.717</v>
      </c>
      <c r="AU14" s="261" t="n">
        <f aca="false">E14+K14+Q14+W14+AC14+AI14+AO14</f>
        <v>2.069</v>
      </c>
      <c r="AV14" s="258" t="n">
        <f aca="false">F14+L14+R14+X14+AD14+AJ14+AP14</f>
        <v>0</v>
      </c>
      <c r="AW14" s="286" t="n">
        <f aca="false">-0.06964-0.06964</f>
        <v>-0.13928</v>
      </c>
      <c r="AX14" s="258" t="n">
        <f aca="false">AU14+AV14+AW14</f>
        <v>1.92972</v>
      </c>
      <c r="AY14" s="263" t="n">
        <f aca="false">H14+N14+T14+Z14+AF14+AL14+AR14</f>
        <v>0</v>
      </c>
      <c r="AZ14" s="259" t="n">
        <f aca="false">AX14-AY14</f>
        <v>1.92972</v>
      </c>
      <c r="BA14" s="264" t="n">
        <f aca="false">AY14/AX14</f>
        <v>0</v>
      </c>
      <c r="BB14" s="149" t="n">
        <f aca="false">AU14+AU15+AV14+AV15+AW14+AW15</f>
        <v>2.42132</v>
      </c>
      <c r="BC14" s="265" t="n">
        <f aca="false">AY14+AY15</f>
        <v>0.603</v>
      </c>
      <c r="BD14" s="266" t="n">
        <f aca="false">BB14-BC14</f>
        <v>1.81832</v>
      </c>
      <c r="BE14" s="307" t="n">
        <f aca="false">BC14/BB14</f>
        <v>0.249037714965391</v>
      </c>
    </row>
    <row r="15" customFormat="false" ht="14.25" hidden="false" customHeight="true" outlineLevel="0" collapsed="false">
      <c r="A15" s="252"/>
      <c r="B15" s="253"/>
      <c r="C15" s="268" t="n">
        <v>41883</v>
      </c>
      <c r="D15" s="269" t="n">
        <v>42004</v>
      </c>
      <c r="E15" s="270" t="n">
        <v>0.002</v>
      </c>
      <c r="F15" s="88"/>
      <c r="G15" s="88" t="n">
        <f aca="false">E15+F15+I14</f>
        <v>0.006</v>
      </c>
      <c r="H15" s="315"/>
      <c r="I15" s="272" t="n">
        <f aca="false">G15-H15</f>
        <v>0.006</v>
      </c>
      <c r="J15" s="169"/>
      <c r="K15" s="308" t="n">
        <v>0.002</v>
      </c>
      <c r="L15" s="227"/>
      <c r="M15" s="227" t="n">
        <f aca="false">K15+L15+O14</f>
        <v>0.004</v>
      </c>
      <c r="N15" s="227"/>
      <c r="O15" s="274" t="n">
        <f aca="false">M15-N15</f>
        <v>0.004</v>
      </c>
      <c r="P15" s="164"/>
      <c r="Q15" s="308" t="n">
        <v>0.18</v>
      </c>
      <c r="R15" s="227"/>
      <c r="S15" s="227" t="n">
        <f aca="false">Q15+R15+U14</f>
        <v>0.367</v>
      </c>
      <c r="T15" s="161"/>
      <c r="U15" s="276" t="n">
        <f aca="false">S15-T15</f>
        <v>0.367</v>
      </c>
      <c r="V15" s="164"/>
      <c r="W15" s="308" t="n">
        <v>0.199</v>
      </c>
      <c r="X15" s="227"/>
      <c r="Y15" s="227" t="n">
        <f aca="false">W15+X15+AA14</f>
        <v>0.539</v>
      </c>
      <c r="Z15" s="227"/>
      <c r="AA15" s="276" t="n">
        <f aca="false">Y15-Z15</f>
        <v>0.539</v>
      </c>
      <c r="AB15" s="164"/>
      <c r="AC15" s="308" t="n">
        <v>0.3</v>
      </c>
      <c r="AD15" s="227"/>
      <c r="AE15" s="227" t="n">
        <f aca="false">AC15+AD15+AG14</f>
        <v>0.876</v>
      </c>
      <c r="AF15" s="227"/>
      <c r="AG15" s="274" t="n">
        <f aca="false">AE15-AF15</f>
        <v>0.876</v>
      </c>
      <c r="AH15" s="164"/>
      <c r="AI15" s="308" t="n">
        <v>0.262</v>
      </c>
      <c r="AJ15" s="227"/>
      <c r="AK15" s="227" t="n">
        <f aca="false">AI15+AJ15+AM14</f>
        <v>0.748</v>
      </c>
      <c r="AL15" s="161" t="n">
        <v>0.486</v>
      </c>
      <c r="AM15" s="274" t="n">
        <f aca="false">AK15-AL15</f>
        <v>0.262</v>
      </c>
      <c r="AN15" s="178"/>
      <c r="AO15" s="308" t="n">
        <v>0.243</v>
      </c>
      <c r="AP15" s="227"/>
      <c r="AQ15" s="227" t="n">
        <f aca="false">AO15+AP15+AS14</f>
        <v>0.717</v>
      </c>
      <c r="AR15" s="161" t="n">
        <v>0.117</v>
      </c>
      <c r="AS15" s="274" t="n">
        <f aca="false">AQ15-AR15</f>
        <v>0.6</v>
      </c>
      <c r="AT15" s="164"/>
      <c r="AU15" s="277" t="n">
        <f aca="false">E15+K15+Q15+W15+AC15+AI15+AO15</f>
        <v>1.188</v>
      </c>
      <c r="AV15" s="272" t="n">
        <f aca="false">F15+L15+R15+X15+AD15+AJ15+AP15</f>
        <v>0</v>
      </c>
      <c r="AW15" s="316" t="n">
        <f aca="false">-0.6964</f>
        <v>-0.6964</v>
      </c>
      <c r="AX15" s="272" t="n">
        <f aca="false">AU15+AV15+AZ14+AW15</f>
        <v>2.42132</v>
      </c>
      <c r="AY15" s="280" t="n">
        <f aca="false">H15+N15+T15+Z15+AF15+AL15+AR15</f>
        <v>0.603</v>
      </c>
      <c r="AZ15" s="274" t="n">
        <f aca="false">AX15-AY15</f>
        <v>1.81832</v>
      </c>
      <c r="BA15" s="281" t="n">
        <f aca="false">AY15/AX15</f>
        <v>0.249037714965391</v>
      </c>
      <c r="BB15" s="149"/>
      <c r="BC15" s="265"/>
      <c r="BD15" s="266"/>
      <c r="BE15" s="307"/>
    </row>
    <row r="16" customFormat="false" ht="14.4" hidden="false" customHeight="true" outlineLevel="0" collapsed="false">
      <c r="A16" s="252"/>
      <c r="B16" s="282" t="s">
        <v>157</v>
      </c>
      <c r="C16" s="254" t="n">
        <v>41640</v>
      </c>
      <c r="D16" s="255" t="n">
        <v>41882</v>
      </c>
      <c r="E16" s="256" t="n">
        <v>0.022</v>
      </c>
      <c r="F16" s="89"/>
      <c r="G16" s="89" t="n">
        <f aca="false">E16+F16</f>
        <v>0.022</v>
      </c>
      <c r="H16" s="257"/>
      <c r="I16" s="258" t="n">
        <f aca="false">G16-H16</f>
        <v>0.022</v>
      </c>
      <c r="J16" s="175" t="n">
        <f aca="false">E16+E17+F16+F17</f>
        <v>0.033</v>
      </c>
      <c r="K16" s="226" t="n">
        <v>0.011</v>
      </c>
      <c r="L16" s="226"/>
      <c r="M16" s="226" t="n">
        <f aca="false">K16+L16</f>
        <v>0.011</v>
      </c>
      <c r="N16" s="226"/>
      <c r="O16" s="259" t="n">
        <f aca="false">M16-N16</f>
        <v>0.011</v>
      </c>
      <c r="P16" s="225" t="n">
        <f aca="false">K16+K17+L16+L17</f>
        <v>0.022</v>
      </c>
      <c r="Q16" s="226" t="n">
        <v>1.159</v>
      </c>
      <c r="R16" s="226"/>
      <c r="S16" s="226" t="n">
        <f aca="false">Q16+R16</f>
        <v>1.159</v>
      </c>
      <c r="T16" s="225"/>
      <c r="U16" s="260" t="n">
        <f aca="false">S16-T16</f>
        <v>1.159</v>
      </c>
      <c r="V16" s="225" t="n">
        <f aca="false">Q16+Q17+R16+R17</f>
        <v>2.274</v>
      </c>
      <c r="W16" s="226" t="n">
        <v>2.109</v>
      </c>
      <c r="X16" s="226"/>
      <c r="Y16" s="226" t="n">
        <f aca="false">W16+X16</f>
        <v>2.109</v>
      </c>
      <c r="Z16" s="226"/>
      <c r="AA16" s="260" t="n">
        <f aca="false">Y16-Z16</f>
        <v>2.109</v>
      </c>
      <c r="AB16" s="225" t="n">
        <f aca="false">W16+W17+X16+X17</f>
        <v>3.346</v>
      </c>
      <c r="AC16" s="226" t="n">
        <v>3.572</v>
      </c>
      <c r="AD16" s="226"/>
      <c r="AE16" s="226" t="n">
        <f aca="false">AC16+AD16</f>
        <v>3.572</v>
      </c>
      <c r="AF16" s="226"/>
      <c r="AG16" s="259" t="n">
        <f aca="false">AE16-AF16</f>
        <v>3.572</v>
      </c>
      <c r="AH16" s="225" t="n">
        <f aca="false">AC16+AC17+AD16+AD17</f>
        <v>5.433</v>
      </c>
      <c r="AI16" s="226" t="n">
        <v>3.009</v>
      </c>
      <c r="AJ16" s="226"/>
      <c r="AK16" s="226" t="n">
        <f aca="false">AI16+AJ16</f>
        <v>3.009</v>
      </c>
      <c r="AL16" s="226"/>
      <c r="AM16" s="259" t="n">
        <f aca="false">AK16-AL16</f>
        <v>3.009</v>
      </c>
      <c r="AN16" s="284" t="n">
        <f aca="false">AI16+AI17+AJ16+AJ17</f>
        <v>4.632</v>
      </c>
      <c r="AO16" s="226" t="n">
        <v>2.937</v>
      </c>
      <c r="AP16" s="226"/>
      <c r="AQ16" s="226" t="n">
        <f aca="false">AO16+AP16</f>
        <v>2.937</v>
      </c>
      <c r="AR16" s="226"/>
      <c r="AS16" s="259" t="n">
        <f aca="false">AQ16-AR16</f>
        <v>2.937</v>
      </c>
      <c r="AT16" s="225" t="n">
        <f aca="false">AO16+AO17+AP16+AP17</f>
        <v>4.444</v>
      </c>
      <c r="AU16" s="261" t="n">
        <f aca="false">E16+K16+Q16+W16+AC16+AI16+AO16</f>
        <v>12.819</v>
      </c>
      <c r="AV16" s="258" t="n">
        <f aca="false">F16+L16+R16+X16+AD16+AJ16+AP16</f>
        <v>0</v>
      </c>
      <c r="AW16" s="286" t="n">
        <f aca="false">-13.444</f>
        <v>-13.444</v>
      </c>
      <c r="AX16" s="258" t="n">
        <f aca="false">AU16+AV16+AW16</f>
        <v>-0.625000000000002</v>
      </c>
      <c r="AY16" s="263" t="n">
        <f aca="false">H16+N16+T16+Z16+AF16+AL16+AR16</f>
        <v>0</v>
      </c>
      <c r="AZ16" s="259" t="n">
        <f aca="false">AX16-AY16</f>
        <v>-0.625000000000002</v>
      </c>
      <c r="BA16" s="264" t="n">
        <f aca="false">AY16/AX16</f>
        <v>-0</v>
      </c>
      <c r="BB16" s="287" t="n">
        <f aca="false">AU16+AU17+AV16+AV17+AW16+AW17</f>
        <v>2.184</v>
      </c>
      <c r="BC16" s="288" t="n">
        <f aca="false">AY16+AY17</f>
        <v>0</v>
      </c>
      <c r="BD16" s="311" t="n">
        <f aca="false">BB16-BC16</f>
        <v>2.184</v>
      </c>
      <c r="BE16" s="289" t="n">
        <f aca="false">BC16/BB16</f>
        <v>0</v>
      </c>
    </row>
    <row r="17" customFormat="false" ht="14.4" hidden="false" customHeight="false" outlineLevel="0" collapsed="false">
      <c r="A17" s="252"/>
      <c r="B17" s="282"/>
      <c r="C17" s="290" t="n">
        <v>41883</v>
      </c>
      <c r="D17" s="291" t="n">
        <v>42004</v>
      </c>
      <c r="E17" s="292" t="n">
        <v>0.011</v>
      </c>
      <c r="F17" s="293"/>
      <c r="G17" s="293" t="n">
        <f aca="false">E17+F17+I16</f>
        <v>0.033</v>
      </c>
      <c r="H17" s="294"/>
      <c r="I17" s="295" t="n">
        <f aca="false">G17-H17</f>
        <v>0.033</v>
      </c>
      <c r="J17" s="175"/>
      <c r="K17" s="296" t="n">
        <v>0.011</v>
      </c>
      <c r="L17" s="298"/>
      <c r="M17" s="298" t="n">
        <f aca="false">K17+L17+O16</f>
        <v>0.022</v>
      </c>
      <c r="N17" s="298"/>
      <c r="O17" s="299" t="n">
        <f aca="false">M17-N17</f>
        <v>0.022</v>
      </c>
      <c r="P17" s="225"/>
      <c r="Q17" s="296" t="n">
        <v>1.115</v>
      </c>
      <c r="R17" s="298"/>
      <c r="S17" s="298" t="n">
        <f aca="false">Q17+R17+U16</f>
        <v>2.274</v>
      </c>
      <c r="T17" s="300"/>
      <c r="U17" s="301" t="n">
        <f aca="false">S17-T17</f>
        <v>2.274</v>
      </c>
      <c r="V17" s="225"/>
      <c r="W17" s="296" t="n">
        <v>1.237</v>
      </c>
      <c r="X17" s="298"/>
      <c r="Y17" s="298" t="n">
        <f aca="false">W17+X17+AA16</f>
        <v>3.346</v>
      </c>
      <c r="Z17" s="298"/>
      <c r="AA17" s="301" t="n">
        <f aca="false">Y17-Z17</f>
        <v>3.346</v>
      </c>
      <c r="AB17" s="225"/>
      <c r="AC17" s="296" t="n">
        <v>1.861</v>
      </c>
      <c r="AD17" s="298"/>
      <c r="AE17" s="298" t="n">
        <f aca="false">AC17+AD17+AG16</f>
        <v>5.433</v>
      </c>
      <c r="AF17" s="298"/>
      <c r="AG17" s="299" t="n">
        <f aca="false">AE17-AF17</f>
        <v>5.433</v>
      </c>
      <c r="AH17" s="225"/>
      <c r="AI17" s="296" t="n">
        <v>1.623</v>
      </c>
      <c r="AJ17" s="298"/>
      <c r="AK17" s="298" t="n">
        <f aca="false">AI17+AJ17+AM16</f>
        <v>4.632</v>
      </c>
      <c r="AL17" s="298"/>
      <c r="AM17" s="299" t="n">
        <f aca="false">AK17-AL17</f>
        <v>4.632</v>
      </c>
      <c r="AN17" s="284"/>
      <c r="AO17" s="296" t="n">
        <v>1.507</v>
      </c>
      <c r="AP17" s="298"/>
      <c r="AQ17" s="298" t="n">
        <f aca="false">AO17+AP17+AS16</f>
        <v>4.444</v>
      </c>
      <c r="AR17" s="298"/>
      <c r="AS17" s="299" t="n">
        <f aca="false">AQ17-AR17</f>
        <v>4.444</v>
      </c>
      <c r="AT17" s="225"/>
      <c r="AU17" s="302" t="n">
        <f aca="false">E17+K17+Q17+W17+AC17+AI17+AO17</f>
        <v>7.365</v>
      </c>
      <c r="AV17" s="295" t="n">
        <f aca="false">F17+L17+R17+X17+AD17+AJ17+AP17</f>
        <v>0</v>
      </c>
      <c r="AW17" s="304" t="n">
        <f aca="false">-4.556</f>
        <v>-4.556</v>
      </c>
      <c r="AX17" s="295" t="n">
        <f aca="false">AU17+AV17+AZ16+AW17</f>
        <v>2.184</v>
      </c>
      <c r="AY17" s="305" t="n">
        <f aca="false">H17+N17+T17+Z17+AF17+AL17+AR17</f>
        <v>0</v>
      </c>
      <c r="AZ17" s="299" t="n">
        <f aca="false">AX17-AY17</f>
        <v>2.184</v>
      </c>
      <c r="BA17" s="306" t="n">
        <f aca="false">AY17/AX17</f>
        <v>0</v>
      </c>
      <c r="BB17" s="287"/>
      <c r="BC17" s="288"/>
      <c r="BD17" s="311"/>
      <c r="BE17" s="289"/>
    </row>
    <row r="18" customFormat="false" ht="15" hidden="false" customHeight="true" outlineLevel="0" collapsed="false">
      <c r="A18" s="252"/>
      <c r="B18" s="253" t="s">
        <v>158</v>
      </c>
      <c r="C18" s="254" t="n">
        <v>41640</v>
      </c>
      <c r="D18" s="255" t="n">
        <v>41882</v>
      </c>
      <c r="E18" s="256" t="n">
        <v>0.097</v>
      </c>
      <c r="F18" s="56" t="n">
        <f aca="false">-0.097</f>
        <v>-0.097</v>
      </c>
      <c r="G18" s="89" t="n">
        <f aca="false">E18+F18</f>
        <v>0</v>
      </c>
      <c r="H18" s="257"/>
      <c r="I18" s="258" t="n">
        <f aca="false">G18-H18</f>
        <v>0</v>
      </c>
      <c r="J18" s="169" t="n">
        <f aca="false">E18+E19+F18+F19</f>
        <v>0</v>
      </c>
      <c r="K18" s="226" t="n">
        <v>0.049</v>
      </c>
      <c r="L18" s="283" t="n">
        <f aca="false">-0.049</f>
        <v>-0.049</v>
      </c>
      <c r="M18" s="226" t="n">
        <f aca="false">K18+L18</f>
        <v>0</v>
      </c>
      <c r="N18" s="226"/>
      <c r="O18" s="259" t="n">
        <f aca="false">M18-N18</f>
        <v>0</v>
      </c>
      <c r="P18" s="164" t="n">
        <f aca="false">K18+K19+L18+L19</f>
        <v>0</v>
      </c>
      <c r="Q18" s="226" t="n">
        <v>5.116</v>
      </c>
      <c r="R18" s="283" t="n">
        <f aca="false">-5.116</f>
        <v>-5.116</v>
      </c>
      <c r="S18" s="226" t="n">
        <f aca="false">Q18+R18</f>
        <v>0</v>
      </c>
      <c r="T18" s="225"/>
      <c r="U18" s="260" t="n">
        <f aca="false">S18-T18</f>
        <v>0</v>
      </c>
      <c r="V18" s="164" t="n">
        <f aca="false">Q18+Q19+R18+R19</f>
        <v>0</v>
      </c>
      <c r="W18" s="226" t="n">
        <v>9.307</v>
      </c>
      <c r="X18" s="283" t="n">
        <f aca="false">-9.307</f>
        <v>-9.307</v>
      </c>
      <c r="Y18" s="226" t="n">
        <f aca="false">W18+X18</f>
        <v>0</v>
      </c>
      <c r="Z18" s="226"/>
      <c r="AA18" s="260" t="n">
        <f aca="false">Y18-Z18</f>
        <v>0</v>
      </c>
      <c r="AB18" s="164" t="n">
        <f aca="false">W18+W19+X18+X19</f>
        <v>0</v>
      </c>
      <c r="AC18" s="226" t="n">
        <v>15.763</v>
      </c>
      <c r="AD18" s="283" t="n">
        <f aca="false">-15.763</f>
        <v>-15.763</v>
      </c>
      <c r="AE18" s="226" t="n">
        <f aca="false">AC18+AD18</f>
        <v>0</v>
      </c>
      <c r="AF18" s="226"/>
      <c r="AG18" s="259" t="n">
        <f aca="false">AE18-AF18</f>
        <v>0</v>
      </c>
      <c r="AH18" s="164" t="n">
        <f aca="false">AC18+AC19+AD18+AD19</f>
        <v>0</v>
      </c>
      <c r="AI18" s="226" t="n">
        <v>13.278</v>
      </c>
      <c r="AJ18" s="283" t="n">
        <f aca="false">-13.278</f>
        <v>-13.278</v>
      </c>
      <c r="AK18" s="226" t="n">
        <f aca="false">AI18+AJ18</f>
        <v>0</v>
      </c>
      <c r="AL18" s="226"/>
      <c r="AM18" s="259" t="n">
        <f aca="false">AK18-AL18</f>
        <v>0</v>
      </c>
      <c r="AN18" s="178" t="n">
        <f aca="false">AI18+AI19+AJ18+AJ19</f>
        <v>0</v>
      </c>
      <c r="AO18" s="226" t="n">
        <v>12.961</v>
      </c>
      <c r="AP18" s="283" t="n">
        <f aca="false">-12.961</f>
        <v>-12.961</v>
      </c>
      <c r="AQ18" s="226" t="n">
        <f aca="false">AO18+AP18</f>
        <v>0</v>
      </c>
      <c r="AR18" s="226"/>
      <c r="AS18" s="259" t="n">
        <f aca="false">AQ18-AR18</f>
        <v>0</v>
      </c>
      <c r="AT18" s="164" t="n">
        <f aca="false">AO18+AO19+AP18+AP19</f>
        <v>0</v>
      </c>
      <c r="AU18" s="261" t="n">
        <f aca="false">E18+K18+Q18+W18+AC18+AI18+AO18</f>
        <v>56.571</v>
      </c>
      <c r="AV18" s="285" t="n">
        <f aca="false">F18+L18+R18+X18+AD18+AJ18+AP18</f>
        <v>-56.571</v>
      </c>
      <c r="AW18" s="258"/>
      <c r="AX18" s="258" t="n">
        <f aca="false">AU18+AV18+AW18</f>
        <v>0</v>
      </c>
      <c r="AY18" s="263" t="n">
        <f aca="false">H18+N18+T18+Z18+AF18+AL18+AR18</f>
        <v>0</v>
      </c>
      <c r="AZ18" s="259" t="n">
        <f aca="false">AX18-AY18</f>
        <v>0</v>
      </c>
      <c r="BA18" s="264" t="e">
        <f aca="false">AY18/AX18</f>
        <v>#DIV/0!</v>
      </c>
      <c r="BB18" s="149" t="n">
        <f aca="false">AU18+AU19+AV18+AV19+AW18+AW19</f>
        <v>0</v>
      </c>
      <c r="BC18" s="265" t="n">
        <f aca="false">AY18+AY19</f>
        <v>0</v>
      </c>
      <c r="BD18" s="266" t="n">
        <f aca="false">BB18-BC18</f>
        <v>0</v>
      </c>
      <c r="BE18" s="307" t="e">
        <f aca="false">BC18/BB18</f>
        <v>#DIV/0!</v>
      </c>
    </row>
    <row r="19" customFormat="false" ht="15" hidden="false" customHeight="true" outlineLevel="0" collapsed="false">
      <c r="A19" s="252"/>
      <c r="B19" s="253"/>
      <c r="C19" s="268" t="n">
        <v>41883</v>
      </c>
      <c r="D19" s="269" t="n">
        <v>42004</v>
      </c>
      <c r="E19" s="270" t="n">
        <v>0.049</v>
      </c>
      <c r="F19" s="63" t="n">
        <f aca="false">-0.049</f>
        <v>-0.049</v>
      </c>
      <c r="G19" s="88" t="n">
        <f aca="false">E19+F19+I18</f>
        <v>0</v>
      </c>
      <c r="H19" s="271"/>
      <c r="I19" s="272" t="n">
        <f aca="false">G19-H19</f>
        <v>0</v>
      </c>
      <c r="J19" s="169"/>
      <c r="K19" s="308" t="n">
        <v>0.049</v>
      </c>
      <c r="L19" s="273" t="n">
        <f aca="false">-0.049</f>
        <v>-0.049</v>
      </c>
      <c r="M19" s="227" t="n">
        <f aca="false">K19+L19+O18</f>
        <v>0</v>
      </c>
      <c r="N19" s="227"/>
      <c r="O19" s="274" t="n">
        <f aca="false">M19-N19</f>
        <v>0</v>
      </c>
      <c r="P19" s="164"/>
      <c r="Q19" s="308" t="n">
        <v>4.921</v>
      </c>
      <c r="R19" s="273" t="n">
        <f aca="false">-4.921</f>
        <v>-4.921</v>
      </c>
      <c r="S19" s="227" t="n">
        <f aca="false">Q19+R19+U18</f>
        <v>0</v>
      </c>
      <c r="T19" s="161"/>
      <c r="U19" s="276" t="n">
        <f aca="false">S19-T19</f>
        <v>0</v>
      </c>
      <c r="V19" s="164"/>
      <c r="W19" s="308" t="n">
        <v>5.457</v>
      </c>
      <c r="X19" s="273" t="n">
        <f aca="false">-5.457</f>
        <v>-5.457</v>
      </c>
      <c r="Y19" s="227" t="n">
        <f aca="false">W19+X19+AA18</f>
        <v>0</v>
      </c>
      <c r="Z19" s="227"/>
      <c r="AA19" s="276" t="n">
        <f aca="false">Y19-Z19</f>
        <v>0</v>
      </c>
      <c r="AB19" s="164"/>
      <c r="AC19" s="308" t="n">
        <v>8.21</v>
      </c>
      <c r="AD19" s="273" t="n">
        <f aca="false">-8.21</f>
        <v>-8.21</v>
      </c>
      <c r="AE19" s="227" t="n">
        <f aca="false">AC19+AD19+AG18</f>
        <v>0</v>
      </c>
      <c r="AF19" s="227"/>
      <c r="AG19" s="274" t="n">
        <f aca="false">AE19-AF19</f>
        <v>0</v>
      </c>
      <c r="AH19" s="164"/>
      <c r="AI19" s="308" t="n">
        <v>7.163</v>
      </c>
      <c r="AJ19" s="273" t="n">
        <f aca="false">-7.163</f>
        <v>-7.163</v>
      </c>
      <c r="AK19" s="227" t="n">
        <f aca="false">AI19+AJ19+AM18</f>
        <v>0</v>
      </c>
      <c r="AL19" s="227"/>
      <c r="AM19" s="274" t="n">
        <f aca="false">AK19-AL19</f>
        <v>0</v>
      </c>
      <c r="AN19" s="178"/>
      <c r="AO19" s="308" t="n">
        <v>6.651</v>
      </c>
      <c r="AP19" s="273" t="n">
        <f aca="false">-6.651</f>
        <v>-6.651</v>
      </c>
      <c r="AQ19" s="227" t="n">
        <f aca="false">AO19+AP19+AS18</f>
        <v>0</v>
      </c>
      <c r="AR19" s="227"/>
      <c r="AS19" s="274" t="n">
        <f aca="false">AQ19-AR19</f>
        <v>0</v>
      </c>
      <c r="AT19" s="164"/>
      <c r="AU19" s="277" t="n">
        <f aca="false">E19+K19+Q19+W19+AC19+AI19+AO19</f>
        <v>32.5</v>
      </c>
      <c r="AV19" s="309" t="n">
        <f aca="false">F19+L19+R19+X19+AD19+AJ19+AP19</f>
        <v>-32.5</v>
      </c>
      <c r="AW19" s="272"/>
      <c r="AX19" s="272" t="n">
        <f aca="false">AU19+AV19+AZ18+AW19</f>
        <v>0</v>
      </c>
      <c r="AY19" s="280" t="n">
        <f aca="false">H19+N19+T19+Z19+AF19+AL19+AR19</f>
        <v>0</v>
      </c>
      <c r="AZ19" s="274" t="n">
        <f aca="false">AX19-AY19</f>
        <v>0</v>
      </c>
      <c r="BA19" s="281" t="e">
        <f aca="false">AY19/AX19</f>
        <v>#DIV/0!</v>
      </c>
      <c r="BB19" s="149"/>
      <c r="BC19" s="265"/>
      <c r="BD19" s="266"/>
      <c r="BE19" s="307"/>
    </row>
    <row r="20" customFormat="false" ht="15" hidden="false" customHeight="true" outlineLevel="0" collapsed="false">
      <c r="A20" s="252"/>
      <c r="B20" s="282" t="s">
        <v>159</v>
      </c>
      <c r="C20" s="254" t="n">
        <v>41640</v>
      </c>
      <c r="D20" s="255" t="n">
        <v>41882</v>
      </c>
      <c r="E20" s="256" t="n">
        <v>0.013</v>
      </c>
      <c r="F20" s="89"/>
      <c r="G20" s="89" t="n">
        <f aca="false">E20+F20</f>
        <v>0.013</v>
      </c>
      <c r="H20" s="257"/>
      <c r="I20" s="258" t="n">
        <f aca="false">G20-H20</f>
        <v>0.013</v>
      </c>
      <c r="J20" s="175" t="n">
        <f aca="false">E20+E21+F20+F21</f>
        <v>0.02</v>
      </c>
      <c r="K20" s="226" t="n">
        <v>0.007</v>
      </c>
      <c r="L20" s="226"/>
      <c r="M20" s="226" t="n">
        <f aca="false">K20+L20</f>
        <v>0.007</v>
      </c>
      <c r="N20" s="226"/>
      <c r="O20" s="259" t="n">
        <f aca="false">M20-N20</f>
        <v>0.007</v>
      </c>
      <c r="P20" s="225" t="n">
        <f aca="false">K20+K21+L20+L21</f>
        <v>0.014</v>
      </c>
      <c r="Q20" s="226" t="n">
        <v>0.701</v>
      </c>
      <c r="R20" s="226"/>
      <c r="S20" s="226" t="n">
        <f aca="false">Q20+R20</f>
        <v>0.701</v>
      </c>
      <c r="T20" s="225"/>
      <c r="U20" s="260" t="n">
        <f aca="false">S20-T20</f>
        <v>0.701</v>
      </c>
      <c r="V20" s="225" t="n">
        <f aca="false">Q20+Q21+R20+R21</f>
        <v>1.376</v>
      </c>
      <c r="W20" s="226" t="n">
        <v>1.276</v>
      </c>
      <c r="X20" s="226"/>
      <c r="Y20" s="226" t="n">
        <f aca="false">W20+X20</f>
        <v>1.276</v>
      </c>
      <c r="Z20" s="226"/>
      <c r="AA20" s="260" t="n">
        <f aca="false">Y20-Z20</f>
        <v>1.276</v>
      </c>
      <c r="AB20" s="225" t="n">
        <f aca="false">W20+W21+X20+X21</f>
        <v>2.024</v>
      </c>
      <c r="AC20" s="226" t="n">
        <v>2.161</v>
      </c>
      <c r="AD20" s="226"/>
      <c r="AE20" s="226" t="n">
        <f aca="false">AC20+AD20</f>
        <v>2.161</v>
      </c>
      <c r="AF20" s="226"/>
      <c r="AG20" s="259" t="n">
        <f aca="false">AE20-AF20</f>
        <v>2.161</v>
      </c>
      <c r="AH20" s="225" t="n">
        <f aca="false">AC20+AC21+AD20+AD21</f>
        <v>3.287</v>
      </c>
      <c r="AI20" s="226" t="n">
        <v>1.82</v>
      </c>
      <c r="AJ20" s="226"/>
      <c r="AK20" s="226" t="n">
        <f aca="false">AI20+AJ20</f>
        <v>1.82</v>
      </c>
      <c r="AL20" s="226"/>
      <c r="AM20" s="259" t="n">
        <f aca="false">AK20-AL20</f>
        <v>1.82</v>
      </c>
      <c r="AN20" s="284" t="n">
        <f aca="false">AI20+AI21+AJ20+AJ21</f>
        <v>2.802</v>
      </c>
      <c r="AO20" s="226" t="n">
        <v>1.777</v>
      </c>
      <c r="AP20" s="226"/>
      <c r="AQ20" s="226" t="n">
        <f aca="false">AO20+AP20</f>
        <v>1.777</v>
      </c>
      <c r="AR20" s="226"/>
      <c r="AS20" s="259" t="n">
        <f aca="false">AQ20-AR20</f>
        <v>1.777</v>
      </c>
      <c r="AT20" s="225" t="n">
        <f aca="false">AO20+AO21+AP20+AP21</f>
        <v>2.689</v>
      </c>
      <c r="AU20" s="261" t="n">
        <f aca="false">E20+K20+Q20+W20+AC20+AI20+AO20</f>
        <v>7.755</v>
      </c>
      <c r="AV20" s="258" t="n">
        <f aca="false">F20+L20+R20+X20+AD20+AJ20+AP20</f>
        <v>0</v>
      </c>
      <c r="AW20" s="258"/>
      <c r="AX20" s="258" t="n">
        <f aca="false">AU20+AV20+AW20</f>
        <v>7.755</v>
      </c>
      <c r="AY20" s="263" t="n">
        <f aca="false">H20+N20+T20+Z20+AF20+AL20+AR20</f>
        <v>0</v>
      </c>
      <c r="AZ20" s="259" t="n">
        <f aca="false">AX20-AY20</f>
        <v>7.755</v>
      </c>
      <c r="BA20" s="264" t="n">
        <f aca="false">AY20/AX20</f>
        <v>0</v>
      </c>
      <c r="BB20" s="287" t="n">
        <f aca="false">AU20+AU21+AV20+AV21+AW20+AW21</f>
        <v>12.212</v>
      </c>
      <c r="BC20" s="288" t="n">
        <f aca="false">AY20+AY21</f>
        <v>0</v>
      </c>
      <c r="BD20" s="311" t="n">
        <f aca="false">BB20-BC20</f>
        <v>12.212</v>
      </c>
      <c r="BE20" s="289" t="n">
        <f aca="false">BC20/BB20</f>
        <v>0</v>
      </c>
    </row>
    <row r="21" customFormat="false" ht="15" hidden="false" customHeight="true" outlineLevel="0" collapsed="false">
      <c r="A21" s="252"/>
      <c r="B21" s="282"/>
      <c r="C21" s="290" t="n">
        <v>41883</v>
      </c>
      <c r="D21" s="291" t="n">
        <v>42004</v>
      </c>
      <c r="E21" s="292" t="n">
        <v>0.007</v>
      </c>
      <c r="F21" s="293"/>
      <c r="G21" s="293" t="n">
        <f aca="false">E21+F21+I20</f>
        <v>0.02</v>
      </c>
      <c r="H21" s="294"/>
      <c r="I21" s="295" t="n">
        <f aca="false">G21-H21</f>
        <v>0.02</v>
      </c>
      <c r="J21" s="175"/>
      <c r="K21" s="296" t="n">
        <v>0.007</v>
      </c>
      <c r="L21" s="298"/>
      <c r="M21" s="298" t="n">
        <f aca="false">K21+L21+O20</f>
        <v>0.014</v>
      </c>
      <c r="N21" s="298"/>
      <c r="O21" s="299" t="n">
        <f aca="false">M21-N21</f>
        <v>0.014</v>
      </c>
      <c r="P21" s="225"/>
      <c r="Q21" s="296" t="n">
        <v>0.675</v>
      </c>
      <c r="R21" s="298"/>
      <c r="S21" s="298" t="n">
        <f aca="false">Q21+R21+U20</f>
        <v>1.376</v>
      </c>
      <c r="T21" s="300"/>
      <c r="U21" s="301" t="n">
        <f aca="false">S21-T21</f>
        <v>1.376</v>
      </c>
      <c r="V21" s="225"/>
      <c r="W21" s="296" t="n">
        <v>0.748</v>
      </c>
      <c r="X21" s="298"/>
      <c r="Y21" s="298" t="n">
        <f aca="false">W21+X21+AA20</f>
        <v>2.024</v>
      </c>
      <c r="Z21" s="298"/>
      <c r="AA21" s="301" t="n">
        <f aca="false">Y21-Z21</f>
        <v>2.024</v>
      </c>
      <c r="AB21" s="225"/>
      <c r="AC21" s="296" t="n">
        <v>1.126</v>
      </c>
      <c r="AD21" s="298"/>
      <c r="AE21" s="298" t="n">
        <f aca="false">AC21+AD21+AG20</f>
        <v>3.287</v>
      </c>
      <c r="AF21" s="298"/>
      <c r="AG21" s="299" t="n">
        <f aca="false">AE21-AF21</f>
        <v>3.287</v>
      </c>
      <c r="AH21" s="225"/>
      <c r="AI21" s="296" t="n">
        <v>0.982</v>
      </c>
      <c r="AJ21" s="298"/>
      <c r="AK21" s="298" t="n">
        <f aca="false">AI21+AJ21+AM20</f>
        <v>2.802</v>
      </c>
      <c r="AL21" s="298"/>
      <c r="AM21" s="299" t="n">
        <f aca="false">AK21-AL21</f>
        <v>2.802</v>
      </c>
      <c r="AN21" s="284"/>
      <c r="AO21" s="296" t="n">
        <v>0.912</v>
      </c>
      <c r="AP21" s="298"/>
      <c r="AQ21" s="298" t="n">
        <f aca="false">AO21+AP21+AS20</f>
        <v>2.689</v>
      </c>
      <c r="AR21" s="298"/>
      <c r="AS21" s="299" t="n">
        <f aca="false">AQ21-AR21</f>
        <v>2.689</v>
      </c>
      <c r="AT21" s="225"/>
      <c r="AU21" s="302" t="n">
        <f aca="false">E21+K21+Q21+W21+AC21+AI21+AO21</f>
        <v>4.457</v>
      </c>
      <c r="AV21" s="295" t="n">
        <f aca="false">F21+L21+R21+X21+AD21+AJ21+AP21</f>
        <v>0</v>
      </c>
      <c r="AW21" s="295"/>
      <c r="AX21" s="295" t="n">
        <f aca="false">AU21+AV21+AZ20+AW21</f>
        <v>12.212</v>
      </c>
      <c r="AY21" s="305" t="n">
        <f aca="false">H21+N21+T21+Z21+AF21+AL21+AR21</f>
        <v>0</v>
      </c>
      <c r="AZ21" s="299" t="n">
        <f aca="false">AX21-AY21</f>
        <v>12.212</v>
      </c>
      <c r="BA21" s="306" t="n">
        <f aca="false">AY21/AX21</f>
        <v>0</v>
      </c>
      <c r="BB21" s="287"/>
      <c r="BC21" s="288"/>
      <c r="BD21" s="311"/>
      <c r="BE21" s="289"/>
    </row>
    <row r="22" customFormat="false" ht="15" hidden="false" customHeight="true" outlineLevel="0" collapsed="false">
      <c r="A22" s="252"/>
      <c r="B22" s="253" t="s">
        <v>92</v>
      </c>
      <c r="C22" s="254" t="n">
        <v>41640</v>
      </c>
      <c r="D22" s="255" t="n">
        <v>41882</v>
      </c>
      <c r="E22" s="256" t="n">
        <v>0.617</v>
      </c>
      <c r="F22" s="100" t="n">
        <f aca="false">0.097+0.173</f>
        <v>0.27</v>
      </c>
      <c r="G22" s="89" t="n">
        <f aca="false">E22+F22</f>
        <v>0.887</v>
      </c>
      <c r="H22" s="257"/>
      <c r="I22" s="258" t="n">
        <f aca="false">G22-H22</f>
        <v>0.887</v>
      </c>
      <c r="J22" s="169" t="n">
        <f aca="false">E22+E23+F22+F23</f>
        <v>1.331</v>
      </c>
      <c r="K22" s="226" t="n">
        <v>0.308</v>
      </c>
      <c r="L22" s="224" t="n">
        <f aca="false">0.049+0.087</f>
        <v>0.136</v>
      </c>
      <c r="M22" s="226" t="n">
        <f aca="false">K22+L22</f>
        <v>0.444</v>
      </c>
      <c r="N22" s="226"/>
      <c r="O22" s="259" t="n">
        <f aca="false">M22-N22</f>
        <v>0.444</v>
      </c>
      <c r="P22" s="164" t="n">
        <f aca="false">K22+K23+L22+L23</f>
        <v>0.888</v>
      </c>
      <c r="Q22" s="226" t="n">
        <v>32.385</v>
      </c>
      <c r="R22" s="224" t="n">
        <f aca="false">5.116+9.119</f>
        <v>14.235</v>
      </c>
      <c r="S22" s="226" t="n">
        <f aca="false">Q22+R22</f>
        <v>46.62</v>
      </c>
      <c r="T22" s="225" t="n">
        <v>27.99</v>
      </c>
      <c r="U22" s="260" t="n">
        <f aca="false">S22-T22</f>
        <v>18.63</v>
      </c>
      <c r="V22" s="164" t="n">
        <f aca="false">Q22+Q23+R22+R23</f>
        <v>88.95984</v>
      </c>
      <c r="W22" s="226" t="n">
        <v>58.91</v>
      </c>
      <c r="X22" s="224" t="n">
        <f aca="false">9.307+16.588</f>
        <v>25.895</v>
      </c>
      <c r="Y22" s="226" t="n">
        <f aca="false">W22+X22</f>
        <v>84.805</v>
      </c>
      <c r="Z22" s="225" t="n">
        <v>81.978</v>
      </c>
      <c r="AA22" s="260" t="n">
        <f aca="false">Y22-Z22</f>
        <v>2.82700000000001</v>
      </c>
      <c r="AB22" s="164" t="n">
        <f aca="false">W22+W23+X22+X23</f>
        <v>130.3246</v>
      </c>
      <c r="AC22" s="226" t="n">
        <v>99.777</v>
      </c>
      <c r="AD22" s="224" t="n">
        <f aca="false">15.763+28.096</f>
        <v>43.859</v>
      </c>
      <c r="AE22" s="226" t="n">
        <f aca="false">AC22+AD22</f>
        <v>143.636</v>
      </c>
      <c r="AF22" s="226" t="n">
        <v>135.505</v>
      </c>
      <c r="AG22" s="310" t="n">
        <f aca="false">AE22-AF22</f>
        <v>8.131</v>
      </c>
      <c r="AH22" s="164" t="n">
        <f aca="false">AC22+AC23+AD22+AD23</f>
        <v>218.45</v>
      </c>
      <c r="AI22" s="226" t="n">
        <v>84.047</v>
      </c>
      <c r="AJ22" s="224" t="n">
        <f aca="false">13.278+23.667</f>
        <v>36.945</v>
      </c>
      <c r="AK22" s="226" t="n">
        <f aca="false">AI22+AJ22</f>
        <v>120.992</v>
      </c>
      <c r="AL22" s="225" t="n">
        <v>109.482</v>
      </c>
      <c r="AM22" s="259" t="n">
        <f aca="false">AK22-AL22</f>
        <v>11.51</v>
      </c>
      <c r="AN22" s="178" t="n">
        <f aca="false">AI22+AI23+AJ22+AJ23</f>
        <v>191.165</v>
      </c>
      <c r="AO22" s="226" t="n">
        <v>82.042</v>
      </c>
      <c r="AP22" s="224" t="n">
        <f aca="false">12.961+23.102</f>
        <v>36.063</v>
      </c>
      <c r="AQ22" s="226" t="n">
        <f aca="false">AO22+AP22</f>
        <v>118.105</v>
      </c>
      <c r="AR22" s="225" t="n">
        <v>88.767</v>
      </c>
      <c r="AS22" s="259" t="n">
        <f aca="false">AQ22-AR22</f>
        <v>29.338</v>
      </c>
      <c r="AT22" s="164" t="n">
        <f aca="false">AO22+AO23+AP22+AP23</f>
        <v>174.5036</v>
      </c>
      <c r="AU22" s="261" t="n">
        <f aca="false">E22+K22+Q22+W22+AC22+AI22+AO22</f>
        <v>358.086</v>
      </c>
      <c r="AV22" s="262" t="n">
        <f aca="false">F22+L22+R22+X22+AD22+AJ22+AP22</f>
        <v>157.403</v>
      </c>
      <c r="AW22" s="286" t="n">
        <f aca="false">-0.03478</f>
        <v>-0.03478</v>
      </c>
      <c r="AX22" s="258" t="n">
        <f aca="false">AU22+AV22+AW22</f>
        <v>515.45422</v>
      </c>
      <c r="AY22" s="263" t="n">
        <f aca="false">H22+N22+T22+Z22+AF22+AL22+AR22</f>
        <v>443.722</v>
      </c>
      <c r="AZ22" s="259" t="n">
        <f aca="false">AX22-AY22</f>
        <v>71.7322200000001</v>
      </c>
      <c r="BA22" s="264" t="n">
        <f aca="false">AY22/AX22</f>
        <v>0.860836875096298</v>
      </c>
      <c r="BB22" s="149" t="n">
        <f aca="false">AU22+AU23+AV22+AV23+AW22+AW23</f>
        <v>805.58726</v>
      </c>
      <c r="BC22" s="265" t="n">
        <f aca="false">AY22+AY23</f>
        <v>711.607</v>
      </c>
      <c r="BD22" s="266" t="n">
        <f aca="false">BB22-BC22</f>
        <v>93.9802600000002</v>
      </c>
      <c r="BE22" s="307" t="n">
        <f aca="false">BC22/BB22</f>
        <v>0.883339441092949</v>
      </c>
    </row>
    <row r="23" customFormat="false" ht="15" hidden="false" customHeight="true" outlineLevel="0" collapsed="false">
      <c r="A23" s="252"/>
      <c r="B23" s="253"/>
      <c r="C23" s="268" t="n">
        <v>41883</v>
      </c>
      <c r="D23" s="269" t="n">
        <v>42004</v>
      </c>
      <c r="E23" s="270" t="n">
        <v>0.308</v>
      </c>
      <c r="F23" s="130" t="n">
        <f aca="false">0.049+0.087</f>
        <v>0.136</v>
      </c>
      <c r="G23" s="88" t="n">
        <f aca="false">E23+F23+I22</f>
        <v>1.331</v>
      </c>
      <c r="H23" s="271"/>
      <c r="I23" s="272" t="n">
        <f aca="false">G23-H23</f>
        <v>1.331</v>
      </c>
      <c r="J23" s="169"/>
      <c r="K23" s="308" t="n">
        <v>0.308</v>
      </c>
      <c r="L23" s="275" t="n">
        <f aca="false">0.049+0.087</f>
        <v>0.136</v>
      </c>
      <c r="M23" s="227" t="n">
        <f aca="false">K23+L23+O22</f>
        <v>0.888</v>
      </c>
      <c r="N23" s="227"/>
      <c r="O23" s="274" t="n">
        <f aca="false">M23-N23</f>
        <v>0.888</v>
      </c>
      <c r="P23" s="164"/>
      <c r="Q23" s="308" t="n">
        <v>31.151</v>
      </c>
      <c r="R23" s="279" t="n">
        <f aca="false">4.921+8.772-2.50416</f>
        <v>11.18884</v>
      </c>
      <c r="S23" s="227" t="n">
        <f aca="false">Q23+R23+U22</f>
        <v>60.96984</v>
      </c>
      <c r="T23" s="161" t="n">
        <v>13.972</v>
      </c>
      <c r="U23" s="276" t="n">
        <f aca="false">S23-T23</f>
        <v>46.99784</v>
      </c>
      <c r="V23" s="164"/>
      <c r="W23" s="308" t="n">
        <v>34.544</v>
      </c>
      <c r="X23" s="275" t="n">
        <f aca="false">5.457+9.727-4.2084</f>
        <v>10.9756</v>
      </c>
      <c r="Y23" s="227" t="n">
        <f aca="false">W23+X23+AA22</f>
        <v>48.3466</v>
      </c>
      <c r="Z23" s="161" t="n">
        <v>35.731</v>
      </c>
      <c r="AA23" s="276" t="n">
        <f aca="false">Y23-Z23</f>
        <v>12.6156</v>
      </c>
      <c r="AB23" s="164"/>
      <c r="AC23" s="308" t="n">
        <v>51.97</v>
      </c>
      <c r="AD23" s="275" t="n">
        <f aca="false">8.21+14.634</f>
        <v>22.844</v>
      </c>
      <c r="AE23" s="227" t="n">
        <f aca="false">AC23+AD23+AG22</f>
        <v>82.945</v>
      </c>
      <c r="AF23" s="227" t="n">
        <v>77.344</v>
      </c>
      <c r="AG23" s="274" t="n">
        <f aca="false">AE23-AF23</f>
        <v>5.601</v>
      </c>
      <c r="AH23" s="164"/>
      <c r="AI23" s="308" t="n">
        <v>45.339</v>
      </c>
      <c r="AJ23" s="275" t="n">
        <f aca="false">7.163+12.767+4.904</f>
        <v>24.834</v>
      </c>
      <c r="AK23" s="227" t="n">
        <f aca="false">AI23+AJ23+AM22</f>
        <v>81.683</v>
      </c>
      <c r="AL23" s="161" t="n">
        <v>81.769</v>
      </c>
      <c r="AM23" s="274" t="n">
        <f aca="false">AK23-AL23</f>
        <v>-0.0860000000000127</v>
      </c>
      <c r="AN23" s="178"/>
      <c r="AO23" s="308" t="n">
        <v>42.101</v>
      </c>
      <c r="AP23" s="275" t="n">
        <f aca="false">6.651+11.855-4.2084</f>
        <v>14.2976</v>
      </c>
      <c r="AQ23" s="227" t="n">
        <f aca="false">AO23+AP23+AS22</f>
        <v>85.7366</v>
      </c>
      <c r="AR23" s="161" t="n">
        <v>59.069</v>
      </c>
      <c r="AS23" s="274" t="n">
        <f aca="false">AQ23-AR23</f>
        <v>26.6676</v>
      </c>
      <c r="AT23" s="164"/>
      <c r="AU23" s="277" t="n">
        <f aca="false">E23+K23+Q23+W23+AC23+AI23+AO23</f>
        <v>205.721</v>
      </c>
      <c r="AV23" s="278" t="n">
        <f aca="false">F23+L23+R23+X23+AD23+AJ23+AP23</f>
        <v>84.41204</v>
      </c>
      <c r="AW23" s="272"/>
      <c r="AX23" s="272" t="n">
        <f aca="false">AU23+AV23+AZ22+AW23</f>
        <v>361.86526</v>
      </c>
      <c r="AY23" s="280" t="n">
        <f aca="false">H23+N23+T23+Z23+AF23+AL23+AR23</f>
        <v>267.885</v>
      </c>
      <c r="AZ23" s="274" t="n">
        <f aca="false">AX23-AY23</f>
        <v>93.9802600000001</v>
      </c>
      <c r="BA23" s="281" t="n">
        <f aca="false">AY23/AX23</f>
        <v>0.7402893552147</v>
      </c>
      <c r="BB23" s="149"/>
      <c r="BC23" s="265"/>
      <c r="BD23" s="266"/>
      <c r="BE23" s="307"/>
    </row>
    <row r="24" customFormat="false" ht="15" hidden="false" customHeight="true" outlineLevel="0" collapsed="false">
      <c r="A24" s="252"/>
      <c r="B24" s="253" t="s">
        <v>81</v>
      </c>
      <c r="C24" s="254" t="n">
        <v>41640</v>
      </c>
      <c r="D24" s="255" t="n">
        <v>41882</v>
      </c>
      <c r="E24" s="256" t="n">
        <v>0.007</v>
      </c>
      <c r="F24" s="89"/>
      <c r="G24" s="89" t="n">
        <f aca="false">E24+F24</f>
        <v>0.007</v>
      </c>
      <c r="H24" s="257"/>
      <c r="I24" s="258" t="n">
        <f aca="false">G24-H24</f>
        <v>0.007</v>
      </c>
      <c r="J24" s="169" t="n">
        <f aca="false">E24+E25+F24+F25</f>
        <v>0.011</v>
      </c>
      <c r="K24" s="226" t="n">
        <v>0.004</v>
      </c>
      <c r="L24" s="226"/>
      <c r="M24" s="226" t="n">
        <f aca="false">K24+L24</f>
        <v>0.004</v>
      </c>
      <c r="N24" s="226"/>
      <c r="O24" s="259" t="n">
        <f aca="false">M24-N24</f>
        <v>0.004</v>
      </c>
      <c r="P24" s="164" t="n">
        <f aca="false">K24+K25+L24+L25</f>
        <v>0.008</v>
      </c>
      <c r="Q24" s="226" t="n">
        <v>0.383</v>
      </c>
      <c r="R24" s="226"/>
      <c r="S24" s="226" t="n">
        <f aca="false">Q24+R24</f>
        <v>0.383</v>
      </c>
      <c r="T24" s="225"/>
      <c r="U24" s="260" t="n">
        <f aca="false">S24-T24</f>
        <v>0.383</v>
      </c>
      <c r="V24" s="164" t="n">
        <f aca="false">Q24+Q25+R24+R25</f>
        <v>0.751</v>
      </c>
      <c r="W24" s="226" t="n">
        <v>0.696</v>
      </c>
      <c r="X24" s="226"/>
      <c r="Y24" s="226" t="n">
        <f aca="false">W24+X24</f>
        <v>0.696</v>
      </c>
      <c r="Z24" s="225"/>
      <c r="AA24" s="260" t="n">
        <f aca="false">Y24-Z24</f>
        <v>0.696</v>
      </c>
      <c r="AB24" s="164" t="n">
        <f aca="false">W24+W25+X24+X25</f>
        <v>1.104</v>
      </c>
      <c r="AC24" s="226" t="n">
        <v>1.18</v>
      </c>
      <c r="AD24" s="226"/>
      <c r="AE24" s="226" t="n">
        <f aca="false">AC24+AD24</f>
        <v>1.18</v>
      </c>
      <c r="AF24" s="226"/>
      <c r="AG24" s="259" t="n">
        <f aca="false">AE24-AF24</f>
        <v>1.18</v>
      </c>
      <c r="AH24" s="164" t="n">
        <f aca="false">AC24+AC25+AD24+AD25</f>
        <v>1.794</v>
      </c>
      <c r="AI24" s="226" t="n">
        <v>0.994</v>
      </c>
      <c r="AJ24" s="226"/>
      <c r="AK24" s="226" t="n">
        <f aca="false">AI24+AJ24</f>
        <v>0.994</v>
      </c>
      <c r="AL24" s="226"/>
      <c r="AM24" s="259" t="n">
        <f aca="false">AK24-AL24</f>
        <v>0.994</v>
      </c>
      <c r="AN24" s="178" t="n">
        <f aca="false">AI24+AI25+AJ24+AJ25</f>
        <v>1.53</v>
      </c>
      <c r="AO24" s="226" t="n">
        <v>0.97</v>
      </c>
      <c r="AP24" s="226"/>
      <c r="AQ24" s="226" t="n">
        <f aca="false">AO24+AP24</f>
        <v>0.97</v>
      </c>
      <c r="AR24" s="226"/>
      <c r="AS24" s="259" t="n">
        <f aca="false">AQ24-AR24</f>
        <v>0.97</v>
      </c>
      <c r="AT24" s="164" t="n">
        <f aca="false">AO24+AO25+AP24+AP25</f>
        <v>1.468</v>
      </c>
      <c r="AU24" s="261" t="n">
        <f aca="false">E24+K24+Q24+W24+AC24+AI24+AO24</f>
        <v>4.234</v>
      </c>
      <c r="AV24" s="258" t="n">
        <f aca="false">F24+L24+R24+X24+AD24+AJ24+AP24</f>
        <v>0</v>
      </c>
      <c r="AW24" s="258"/>
      <c r="AX24" s="258" t="n">
        <f aca="false">AU24+AV24+AW24</f>
        <v>4.234</v>
      </c>
      <c r="AY24" s="263" t="n">
        <f aca="false">H24+N24+T24+Z24+AF24+AL24+AR24</f>
        <v>0</v>
      </c>
      <c r="AZ24" s="259" t="n">
        <f aca="false">AX24-AY24</f>
        <v>4.234</v>
      </c>
      <c r="BA24" s="264" t="n">
        <f aca="false">AY24/AX24</f>
        <v>0</v>
      </c>
      <c r="BB24" s="149" t="n">
        <f aca="false">AU24+AU25+AV24+AV25+AW24+AW25</f>
        <v>6.666</v>
      </c>
      <c r="BC24" s="265" t="n">
        <f aca="false">AY24+AY25</f>
        <v>0</v>
      </c>
      <c r="BD24" s="266" t="n">
        <f aca="false">BB24-BC24</f>
        <v>6.666</v>
      </c>
      <c r="BE24" s="307" t="n">
        <f aca="false">BC24/BB24</f>
        <v>0</v>
      </c>
    </row>
    <row r="25" customFormat="false" ht="15" hidden="false" customHeight="true" outlineLevel="0" collapsed="false">
      <c r="A25" s="252"/>
      <c r="B25" s="253"/>
      <c r="C25" s="268" t="n">
        <v>41883</v>
      </c>
      <c r="D25" s="269" t="n">
        <v>42004</v>
      </c>
      <c r="E25" s="270" t="n">
        <v>0.004</v>
      </c>
      <c r="F25" s="88"/>
      <c r="G25" s="88" t="n">
        <f aca="false">E25+F25+I24</f>
        <v>0.011</v>
      </c>
      <c r="H25" s="271"/>
      <c r="I25" s="272" t="n">
        <f aca="false">G25-H25</f>
        <v>0.011</v>
      </c>
      <c r="J25" s="169"/>
      <c r="K25" s="308" t="n">
        <v>0.004</v>
      </c>
      <c r="L25" s="227"/>
      <c r="M25" s="227" t="n">
        <f aca="false">K25+L25+O24</f>
        <v>0.008</v>
      </c>
      <c r="N25" s="227"/>
      <c r="O25" s="274" t="n">
        <f aca="false">M25-N25</f>
        <v>0.008</v>
      </c>
      <c r="P25" s="164"/>
      <c r="Q25" s="308" t="n">
        <v>0.368</v>
      </c>
      <c r="R25" s="227"/>
      <c r="S25" s="227" t="n">
        <f aca="false">Q25+R25+U24</f>
        <v>0.751</v>
      </c>
      <c r="T25" s="161"/>
      <c r="U25" s="276" t="n">
        <f aca="false">S25-T25</f>
        <v>0.751</v>
      </c>
      <c r="V25" s="164"/>
      <c r="W25" s="308" t="n">
        <v>0.408</v>
      </c>
      <c r="X25" s="227"/>
      <c r="Y25" s="227" t="n">
        <f aca="false">W25+X25+AA24</f>
        <v>1.104</v>
      </c>
      <c r="Z25" s="161"/>
      <c r="AA25" s="276" t="n">
        <f aca="false">Y25-Z25</f>
        <v>1.104</v>
      </c>
      <c r="AB25" s="164"/>
      <c r="AC25" s="308" t="n">
        <v>0.614</v>
      </c>
      <c r="AD25" s="227"/>
      <c r="AE25" s="227" t="n">
        <f aca="false">AC25+AD25+AG24</f>
        <v>1.794</v>
      </c>
      <c r="AF25" s="227"/>
      <c r="AG25" s="274" t="n">
        <f aca="false">AE25-AF25</f>
        <v>1.794</v>
      </c>
      <c r="AH25" s="164"/>
      <c r="AI25" s="308" t="n">
        <v>0.536</v>
      </c>
      <c r="AJ25" s="227"/>
      <c r="AK25" s="227" t="n">
        <f aca="false">AI25+AJ25+AM24</f>
        <v>1.53</v>
      </c>
      <c r="AL25" s="227"/>
      <c r="AM25" s="274" t="n">
        <f aca="false">AK25-AL25</f>
        <v>1.53</v>
      </c>
      <c r="AN25" s="178"/>
      <c r="AO25" s="308" t="n">
        <v>0.498</v>
      </c>
      <c r="AP25" s="227"/>
      <c r="AQ25" s="227" t="n">
        <f aca="false">AO25+AP25+AS24</f>
        <v>1.468</v>
      </c>
      <c r="AR25" s="227"/>
      <c r="AS25" s="274" t="n">
        <f aca="false">AQ25-AR25</f>
        <v>1.468</v>
      </c>
      <c r="AT25" s="164"/>
      <c r="AU25" s="277" t="n">
        <f aca="false">E25+K25+Q25+W25+AC25+AI25+AO25</f>
        <v>2.432</v>
      </c>
      <c r="AV25" s="272" t="n">
        <f aca="false">F25+L25+R25+X25+AD25+AJ25+AP25</f>
        <v>0</v>
      </c>
      <c r="AW25" s="272"/>
      <c r="AX25" s="272" t="n">
        <f aca="false">AU25+AV25+AZ24+AW25</f>
        <v>6.666</v>
      </c>
      <c r="AY25" s="280" t="n">
        <f aca="false">H25+N25+T25+Z25+AF25+AL25+AR25</f>
        <v>0</v>
      </c>
      <c r="AZ25" s="274" t="n">
        <f aca="false">AX25-AY25</f>
        <v>6.666</v>
      </c>
      <c r="BA25" s="281" t="n">
        <f aca="false">AY25/AX25</f>
        <v>0</v>
      </c>
      <c r="BB25" s="149"/>
      <c r="BC25" s="265"/>
      <c r="BD25" s="266"/>
      <c r="BE25" s="307"/>
    </row>
    <row r="26" customFormat="false" ht="15" hidden="false" customHeight="true" outlineLevel="0" collapsed="false">
      <c r="A26" s="252"/>
      <c r="B26" s="253" t="s">
        <v>160</v>
      </c>
      <c r="C26" s="254" t="n">
        <v>41640</v>
      </c>
      <c r="D26" s="255" t="n">
        <v>41882</v>
      </c>
      <c r="E26" s="256" t="n">
        <v>0.153</v>
      </c>
      <c r="F26" s="56" t="n">
        <f aca="false">-0.153</f>
        <v>-0.153</v>
      </c>
      <c r="G26" s="89" t="n">
        <f aca="false">E26+F26</f>
        <v>0</v>
      </c>
      <c r="H26" s="314"/>
      <c r="I26" s="258" t="n">
        <f aca="false">G26-H26</f>
        <v>0</v>
      </c>
      <c r="J26" s="169" t="n">
        <f aca="false">E26+E27+F26+F27</f>
        <v>0</v>
      </c>
      <c r="K26" s="226" t="n">
        <v>0.076</v>
      </c>
      <c r="L26" s="283" t="n">
        <f aca="false">-0.076</f>
        <v>-0.076</v>
      </c>
      <c r="M26" s="226" t="n">
        <f aca="false">K26+L26</f>
        <v>0</v>
      </c>
      <c r="N26" s="226"/>
      <c r="O26" s="259" t="n">
        <f aca="false">M26-N26</f>
        <v>0</v>
      </c>
      <c r="P26" s="164" t="n">
        <f aca="false">K26+K27+L26+L27</f>
        <v>0</v>
      </c>
      <c r="Q26" s="226" t="n">
        <v>8.026</v>
      </c>
      <c r="R26" s="283" t="n">
        <f aca="false">-8.026</f>
        <v>-8.026</v>
      </c>
      <c r="S26" s="226" t="n">
        <f aca="false">Q26+R26</f>
        <v>0</v>
      </c>
      <c r="T26" s="225"/>
      <c r="U26" s="260" t="n">
        <f aca="false">S26-T26</f>
        <v>0</v>
      </c>
      <c r="V26" s="164" t="n">
        <f aca="false">Q26+Q27+R26+R27</f>
        <v>0</v>
      </c>
      <c r="W26" s="226" t="n">
        <v>14.599</v>
      </c>
      <c r="X26" s="283" t="n">
        <f aca="false">-14.599</f>
        <v>-14.599</v>
      </c>
      <c r="Y26" s="226" t="n">
        <f aca="false">W26+X26</f>
        <v>0</v>
      </c>
      <c r="Z26" s="225"/>
      <c r="AA26" s="260" t="n">
        <f aca="false">Y26-Z26</f>
        <v>0</v>
      </c>
      <c r="AB26" s="164" t="n">
        <f aca="false">W26+W27+X26+X27</f>
        <v>0</v>
      </c>
      <c r="AC26" s="226" t="n">
        <v>24.727</v>
      </c>
      <c r="AD26" s="283" t="n">
        <f aca="false">-24.727</f>
        <v>-24.727</v>
      </c>
      <c r="AE26" s="226" t="n">
        <f aca="false">AC26+AD26</f>
        <v>0</v>
      </c>
      <c r="AF26" s="226"/>
      <c r="AG26" s="259" t="n">
        <f aca="false">AE26-AF26</f>
        <v>0</v>
      </c>
      <c r="AH26" s="164" t="n">
        <f aca="false">AC26+AC27+AD26+AD27</f>
        <v>0</v>
      </c>
      <c r="AI26" s="226" t="n">
        <v>20.829</v>
      </c>
      <c r="AJ26" s="283" t="n">
        <f aca="false">-20.829</f>
        <v>-20.829</v>
      </c>
      <c r="AK26" s="226" t="n">
        <f aca="false">AI26+AJ26</f>
        <v>0</v>
      </c>
      <c r="AL26" s="226"/>
      <c r="AM26" s="259" t="n">
        <f aca="false">AK26-AL26</f>
        <v>0</v>
      </c>
      <c r="AN26" s="178" t="n">
        <f aca="false">AI26+AI27+AJ26+AJ27</f>
        <v>0</v>
      </c>
      <c r="AO26" s="226" t="n">
        <v>20.332</v>
      </c>
      <c r="AP26" s="283" t="n">
        <f aca="false">-20.332</f>
        <v>-20.332</v>
      </c>
      <c r="AQ26" s="226" t="n">
        <f aca="false">AO26+AP26</f>
        <v>0</v>
      </c>
      <c r="AR26" s="226"/>
      <c r="AS26" s="259" t="n">
        <f aca="false">AQ26-AR26</f>
        <v>0</v>
      </c>
      <c r="AT26" s="164" t="n">
        <f aca="false">AO26+AO27+AP26+AP27</f>
        <v>0</v>
      </c>
      <c r="AU26" s="261" t="n">
        <f aca="false">E26+K26+Q26+W26+AC26+AI26+AO26</f>
        <v>88.742</v>
      </c>
      <c r="AV26" s="285" t="n">
        <f aca="false">F26+L26+R26+X26+AD26+AJ26+AP26</f>
        <v>-88.742</v>
      </c>
      <c r="AW26" s="285"/>
      <c r="AX26" s="258" t="n">
        <f aca="false">AU26+AV26+AW26</f>
        <v>0</v>
      </c>
      <c r="AY26" s="263" t="n">
        <f aca="false">H26+N26+T26+Z26+AF26+AL26+AR26</f>
        <v>0</v>
      </c>
      <c r="AZ26" s="259" t="n">
        <f aca="false">AX26-AY26</f>
        <v>0</v>
      </c>
      <c r="BA26" s="317" t="e">
        <f aca="false">AY26/AX26</f>
        <v>#DIV/0!</v>
      </c>
      <c r="BB26" s="149" t="n">
        <f aca="false">AU26+AU27+AV26+AV27+AW26+AW27</f>
        <v>0</v>
      </c>
      <c r="BC26" s="265" t="n">
        <f aca="false">AY26+AY27</f>
        <v>0</v>
      </c>
      <c r="BD26" s="266" t="n">
        <f aca="false">BB26-BC26</f>
        <v>0</v>
      </c>
      <c r="BE26" s="307" t="e">
        <f aca="false">BC26/BB26</f>
        <v>#DIV/0!</v>
      </c>
    </row>
    <row r="27" customFormat="false" ht="15" hidden="false" customHeight="true" outlineLevel="0" collapsed="false">
      <c r="A27" s="252"/>
      <c r="B27" s="253"/>
      <c r="C27" s="268" t="n">
        <v>41883</v>
      </c>
      <c r="D27" s="269" t="n">
        <v>42004</v>
      </c>
      <c r="E27" s="270" t="n">
        <v>0.076</v>
      </c>
      <c r="F27" s="63" t="n">
        <f aca="false">-0.076</f>
        <v>-0.076</v>
      </c>
      <c r="G27" s="88" t="n">
        <f aca="false">E27+F27+I26</f>
        <v>0</v>
      </c>
      <c r="H27" s="315"/>
      <c r="I27" s="272" t="n">
        <f aca="false">G27-H27</f>
        <v>0</v>
      </c>
      <c r="J27" s="169"/>
      <c r="K27" s="308" t="n">
        <v>0.076</v>
      </c>
      <c r="L27" s="273" t="n">
        <f aca="false">-0.076</f>
        <v>-0.076</v>
      </c>
      <c r="M27" s="227" t="n">
        <f aca="false">K27+L27+O26</f>
        <v>0</v>
      </c>
      <c r="N27" s="227"/>
      <c r="O27" s="274" t="n">
        <f aca="false">M27-N27</f>
        <v>0</v>
      </c>
      <c r="P27" s="164"/>
      <c r="Q27" s="308" t="n">
        <v>7.72</v>
      </c>
      <c r="R27" s="273" t="n">
        <f aca="false">-7.72</f>
        <v>-7.72</v>
      </c>
      <c r="S27" s="227" t="n">
        <f aca="false">Q27+R27+U26</f>
        <v>0</v>
      </c>
      <c r="T27" s="161"/>
      <c r="U27" s="276" t="n">
        <f aca="false">S27-T27</f>
        <v>0</v>
      </c>
      <c r="V27" s="164"/>
      <c r="W27" s="308" t="n">
        <v>8.561</v>
      </c>
      <c r="X27" s="273" t="n">
        <f aca="false">-8.561</f>
        <v>-8.561</v>
      </c>
      <c r="Y27" s="227" t="n">
        <f aca="false">W27+X27+AA26</f>
        <v>0</v>
      </c>
      <c r="Z27" s="161"/>
      <c r="AA27" s="276" t="n">
        <f aca="false">Y27-Z27</f>
        <v>0</v>
      </c>
      <c r="AB27" s="164"/>
      <c r="AC27" s="308" t="n">
        <v>12.88</v>
      </c>
      <c r="AD27" s="273" t="n">
        <f aca="false">-12.88</f>
        <v>-12.88</v>
      </c>
      <c r="AE27" s="227" t="n">
        <f aca="false">AC27+AD27+AG26</f>
        <v>0</v>
      </c>
      <c r="AF27" s="227"/>
      <c r="AG27" s="274" t="n">
        <f aca="false">AE27-AF27</f>
        <v>0</v>
      </c>
      <c r="AH27" s="164"/>
      <c r="AI27" s="308" t="n">
        <v>11.236</v>
      </c>
      <c r="AJ27" s="273" t="n">
        <f aca="false">-11.236</f>
        <v>-11.236</v>
      </c>
      <c r="AK27" s="227" t="n">
        <f aca="false">AI27+AJ27+AM26</f>
        <v>0</v>
      </c>
      <c r="AL27" s="227"/>
      <c r="AM27" s="274" t="n">
        <f aca="false">AK27-AL27</f>
        <v>0</v>
      </c>
      <c r="AN27" s="178"/>
      <c r="AO27" s="308" t="n">
        <v>10.434</v>
      </c>
      <c r="AP27" s="273" t="n">
        <f aca="false">-10.434</f>
        <v>-10.434</v>
      </c>
      <c r="AQ27" s="227" t="n">
        <f aca="false">AO27+AP27+AS26</f>
        <v>0</v>
      </c>
      <c r="AR27" s="227"/>
      <c r="AS27" s="274" t="n">
        <f aca="false">AQ27-AR27</f>
        <v>0</v>
      </c>
      <c r="AT27" s="164"/>
      <c r="AU27" s="277" t="n">
        <f aca="false">E27+K27+Q27+W27+AC27+AI27+AO27</f>
        <v>50.983</v>
      </c>
      <c r="AV27" s="309" t="n">
        <f aca="false">F27+L27+R27+X27+AD27+AJ27+AP27</f>
        <v>-50.983</v>
      </c>
      <c r="AW27" s="309"/>
      <c r="AX27" s="272" t="n">
        <f aca="false">AU27+AV27+AZ26+AW27</f>
        <v>0</v>
      </c>
      <c r="AY27" s="280" t="n">
        <f aca="false">H27+N27+T27+Z27+AF27+AL27+AR27</f>
        <v>0</v>
      </c>
      <c r="AZ27" s="274" t="n">
        <f aca="false">AX27-AY27</f>
        <v>0</v>
      </c>
      <c r="BA27" s="318" t="e">
        <f aca="false">AY27/AX27</f>
        <v>#DIV/0!</v>
      </c>
      <c r="BB27" s="149"/>
      <c r="BC27" s="265"/>
      <c r="BD27" s="266"/>
      <c r="BE27" s="307"/>
    </row>
    <row r="28" customFormat="false" ht="14.4" hidden="false" customHeight="true" outlineLevel="0" collapsed="false">
      <c r="A28" s="252"/>
      <c r="B28" s="319" t="s">
        <v>161</v>
      </c>
      <c r="C28" s="290" t="n">
        <v>41640</v>
      </c>
      <c r="D28" s="291" t="n">
        <v>41882</v>
      </c>
      <c r="E28" s="292" t="n">
        <v>0.345</v>
      </c>
      <c r="F28" s="95" t="n">
        <f aca="false">-0.345</f>
        <v>-0.345</v>
      </c>
      <c r="G28" s="293" t="n">
        <f aca="false">E28+F28</f>
        <v>0</v>
      </c>
      <c r="H28" s="294"/>
      <c r="I28" s="295" t="n">
        <f aca="false">G28-H28</f>
        <v>0</v>
      </c>
      <c r="J28" s="320" t="n">
        <f aca="false">E28+E29+F28+F29</f>
        <v>0</v>
      </c>
      <c r="K28" s="298" t="n">
        <v>0.172</v>
      </c>
      <c r="L28" s="297" t="n">
        <f aca="false">-0.172</f>
        <v>-0.172</v>
      </c>
      <c r="M28" s="298" t="n">
        <f aca="false">K28+L28</f>
        <v>0</v>
      </c>
      <c r="N28" s="298"/>
      <c r="O28" s="299" t="n">
        <f aca="false">M28-N28</f>
        <v>0</v>
      </c>
      <c r="P28" s="300" t="n">
        <f aca="false">K28+K29+L28+L29</f>
        <v>0</v>
      </c>
      <c r="Q28" s="298" t="n">
        <v>18.101</v>
      </c>
      <c r="R28" s="297" t="n">
        <f aca="false">-18.101</f>
        <v>-18.101</v>
      </c>
      <c r="S28" s="298" t="n">
        <f aca="false">Q28+R28</f>
        <v>0</v>
      </c>
      <c r="T28" s="300"/>
      <c r="U28" s="301" t="n">
        <f aca="false">S28-T28</f>
        <v>0</v>
      </c>
      <c r="V28" s="300" t="n">
        <f aca="false">Q28+Q29+R28+R29</f>
        <v>0</v>
      </c>
      <c r="W28" s="298" t="n">
        <v>32.927</v>
      </c>
      <c r="X28" s="297" t="n">
        <f aca="false">-32.927</f>
        <v>-32.927</v>
      </c>
      <c r="Y28" s="298" t="n">
        <f aca="false">W28+X28</f>
        <v>0</v>
      </c>
      <c r="Z28" s="300"/>
      <c r="AA28" s="301" t="n">
        <f aca="false">Y28-Z28</f>
        <v>0</v>
      </c>
      <c r="AB28" s="300" t="n">
        <f aca="false">W28+W29+X28+X29</f>
        <v>0</v>
      </c>
      <c r="AC28" s="298" t="n">
        <v>55.769</v>
      </c>
      <c r="AD28" s="297" t="n">
        <f aca="false">-55.769</f>
        <v>-55.769</v>
      </c>
      <c r="AE28" s="298" t="n">
        <f aca="false">AC28+AD28</f>
        <v>0</v>
      </c>
      <c r="AF28" s="298"/>
      <c r="AG28" s="299" t="n">
        <f aca="false">AE28-AF28</f>
        <v>0</v>
      </c>
      <c r="AH28" s="300" t="n">
        <f aca="false">AC28+AC29+AD28+AD29</f>
        <v>0</v>
      </c>
      <c r="AI28" s="298" t="n">
        <v>46.977</v>
      </c>
      <c r="AJ28" s="297" t="n">
        <f aca="false">-46.977</f>
        <v>-46.977</v>
      </c>
      <c r="AK28" s="298" t="n">
        <f aca="false">AI28+AJ28</f>
        <v>0</v>
      </c>
      <c r="AL28" s="298"/>
      <c r="AM28" s="299" t="n">
        <f aca="false">AK28-AL28</f>
        <v>0</v>
      </c>
      <c r="AN28" s="321" t="n">
        <f aca="false">AI28+AI29+AJ28+AJ29</f>
        <v>0</v>
      </c>
      <c r="AO28" s="298" t="n">
        <v>45.856</v>
      </c>
      <c r="AP28" s="297" t="n">
        <f aca="false">-45.856</f>
        <v>-45.856</v>
      </c>
      <c r="AQ28" s="298" t="n">
        <f aca="false">AO28+AP28</f>
        <v>0</v>
      </c>
      <c r="AR28" s="298"/>
      <c r="AS28" s="299" t="n">
        <f aca="false">AQ28-AR28</f>
        <v>0</v>
      </c>
      <c r="AT28" s="300" t="n">
        <f aca="false">AO28+AO29+AP28+AP29</f>
        <v>0</v>
      </c>
      <c r="AU28" s="302" t="n">
        <f aca="false">E28+K28+Q28+W28+AC28+AI28+AO28</f>
        <v>200.147</v>
      </c>
      <c r="AV28" s="303" t="n">
        <f aca="false">F28+L28+R28+X28+AD28+AJ28+AP28</f>
        <v>-200.147</v>
      </c>
      <c r="AW28" s="295"/>
      <c r="AX28" s="295" t="n">
        <f aca="false">AU28+AV28+AW28</f>
        <v>0</v>
      </c>
      <c r="AY28" s="305" t="n">
        <f aca="false">H28+N28+T28+Z28+AF28+AL28+AR28</f>
        <v>0</v>
      </c>
      <c r="AZ28" s="299" t="n">
        <f aca="false">AX28-AY28</f>
        <v>0</v>
      </c>
      <c r="BA28" s="322" t="e">
        <f aca="false">AY28/AX28</f>
        <v>#DIV/0!</v>
      </c>
      <c r="BB28" s="151" t="n">
        <f aca="false">AU28+AU29+AV28+AV29+AW28+AW29</f>
        <v>0</v>
      </c>
      <c r="BC28" s="323" t="n">
        <f aca="false">AY28+AY29</f>
        <v>0</v>
      </c>
      <c r="BD28" s="324" t="n">
        <f aca="false">BB28-BC28</f>
        <v>0</v>
      </c>
      <c r="BE28" s="325" t="e">
        <f aca="false">BC28/BB28</f>
        <v>#DIV/0!</v>
      </c>
    </row>
    <row r="29" customFormat="false" ht="14.4" hidden="false" customHeight="false" outlineLevel="0" collapsed="false">
      <c r="A29" s="252"/>
      <c r="B29" s="319"/>
      <c r="C29" s="290" t="n">
        <v>41883</v>
      </c>
      <c r="D29" s="291" t="n">
        <v>42004</v>
      </c>
      <c r="E29" s="292" t="n">
        <v>0.172</v>
      </c>
      <c r="F29" s="95" t="n">
        <f aca="false">-0.172</f>
        <v>-0.172</v>
      </c>
      <c r="G29" s="293" t="n">
        <f aca="false">E29+F29+I28</f>
        <v>0</v>
      </c>
      <c r="H29" s="294"/>
      <c r="I29" s="295" t="n">
        <f aca="false">G29-H29</f>
        <v>0</v>
      </c>
      <c r="J29" s="320"/>
      <c r="K29" s="296" t="n">
        <v>0.172</v>
      </c>
      <c r="L29" s="297" t="n">
        <f aca="false">-0.172</f>
        <v>-0.172</v>
      </c>
      <c r="M29" s="298" t="n">
        <f aca="false">K29+L29+O28</f>
        <v>0</v>
      </c>
      <c r="N29" s="298"/>
      <c r="O29" s="299" t="n">
        <f aca="false">M29-N29</f>
        <v>0</v>
      </c>
      <c r="P29" s="300"/>
      <c r="Q29" s="296" t="n">
        <v>17.412</v>
      </c>
      <c r="R29" s="297" t="n">
        <f aca="false">-17.412</f>
        <v>-17.412</v>
      </c>
      <c r="S29" s="298" t="n">
        <f aca="false">Q29+R29+U28</f>
        <v>0</v>
      </c>
      <c r="T29" s="300"/>
      <c r="U29" s="301" t="n">
        <f aca="false">S29-T29</f>
        <v>0</v>
      </c>
      <c r="V29" s="300"/>
      <c r="W29" s="296" t="n">
        <v>19.308</v>
      </c>
      <c r="X29" s="297" t="n">
        <f aca="false">-19.308</f>
        <v>-19.308</v>
      </c>
      <c r="Y29" s="298" t="n">
        <f aca="false">W29+X29+AA28</f>
        <v>0</v>
      </c>
      <c r="Z29" s="300"/>
      <c r="AA29" s="301" t="n">
        <f aca="false">Y29-Z29</f>
        <v>0</v>
      </c>
      <c r="AB29" s="300"/>
      <c r="AC29" s="296" t="n">
        <v>29.048</v>
      </c>
      <c r="AD29" s="297" t="n">
        <f aca="false">-29.048</f>
        <v>-29.048</v>
      </c>
      <c r="AE29" s="298" t="n">
        <f aca="false">AC29+AD29+AG28</f>
        <v>0</v>
      </c>
      <c r="AF29" s="298"/>
      <c r="AG29" s="299" t="n">
        <f aca="false">AE29-AF29</f>
        <v>0</v>
      </c>
      <c r="AH29" s="300"/>
      <c r="AI29" s="296" t="n">
        <v>25.342</v>
      </c>
      <c r="AJ29" s="297" t="n">
        <f aca="false">-25.342</f>
        <v>-25.342</v>
      </c>
      <c r="AK29" s="298" t="n">
        <f aca="false">AI29+AJ29+AM28</f>
        <v>0</v>
      </c>
      <c r="AL29" s="298"/>
      <c r="AM29" s="299" t="n">
        <f aca="false">AK29-AL29</f>
        <v>0</v>
      </c>
      <c r="AN29" s="321"/>
      <c r="AO29" s="296" t="n">
        <v>23.532</v>
      </c>
      <c r="AP29" s="297" t="n">
        <f aca="false">-23.532</f>
        <v>-23.532</v>
      </c>
      <c r="AQ29" s="298" t="n">
        <f aca="false">AO29+AP29+AS28</f>
        <v>0</v>
      </c>
      <c r="AR29" s="298"/>
      <c r="AS29" s="299" t="n">
        <f aca="false">AQ29-AR29</f>
        <v>0</v>
      </c>
      <c r="AT29" s="300"/>
      <c r="AU29" s="302" t="n">
        <f aca="false">E29+K29+Q29+W29+AC29+AI29+AO29</f>
        <v>114.986</v>
      </c>
      <c r="AV29" s="303" t="n">
        <f aca="false">F29+L29+R29+X29+AD29+AJ29+AP29</f>
        <v>-114.986</v>
      </c>
      <c r="AW29" s="295"/>
      <c r="AX29" s="295" t="n">
        <f aca="false">AU29+AV29+AZ28+AW29</f>
        <v>0</v>
      </c>
      <c r="AY29" s="305" t="n">
        <f aca="false">H29+N29+T29+Z29+AF29+AL29+AR29</f>
        <v>0</v>
      </c>
      <c r="AZ29" s="299" t="n">
        <f aca="false">AX29-AY29</f>
        <v>0</v>
      </c>
      <c r="BA29" s="322" t="e">
        <f aca="false">AY29/AX29</f>
        <v>#DIV/0!</v>
      </c>
      <c r="BB29" s="151"/>
      <c r="BC29" s="323"/>
      <c r="BD29" s="324"/>
      <c r="BE29" s="325"/>
    </row>
    <row r="30" customFormat="false" ht="14.4" hidden="false" customHeight="true" outlineLevel="0" collapsed="false">
      <c r="A30" s="252"/>
      <c r="B30" s="253" t="s">
        <v>162</v>
      </c>
      <c r="C30" s="254" t="n">
        <v>41640</v>
      </c>
      <c r="D30" s="255" t="n">
        <v>41882</v>
      </c>
      <c r="E30" s="256" t="n">
        <v>0.083</v>
      </c>
      <c r="F30" s="56" t="n">
        <f aca="false">-0.083</f>
        <v>-0.083</v>
      </c>
      <c r="G30" s="89" t="n">
        <f aca="false">E30+F30</f>
        <v>0</v>
      </c>
      <c r="H30" s="257"/>
      <c r="I30" s="258" t="n">
        <f aca="false">G30-H30</f>
        <v>0</v>
      </c>
      <c r="J30" s="169" t="n">
        <f aca="false">E30+E31+F30+F31</f>
        <v>0</v>
      </c>
      <c r="K30" s="226" t="n">
        <v>0.041</v>
      </c>
      <c r="L30" s="283" t="n">
        <f aca="false">-0.041</f>
        <v>-0.041</v>
      </c>
      <c r="M30" s="226" t="n">
        <f aca="false">K30+L30</f>
        <v>0</v>
      </c>
      <c r="N30" s="226"/>
      <c r="O30" s="259" t="n">
        <f aca="false">M30-N30</f>
        <v>0</v>
      </c>
      <c r="P30" s="164" t="n">
        <f aca="false">K30+K31+L30+L31</f>
        <v>0</v>
      </c>
      <c r="Q30" s="226" t="n">
        <v>4.333</v>
      </c>
      <c r="R30" s="283" t="n">
        <f aca="false">-4.333</f>
        <v>-4.333</v>
      </c>
      <c r="S30" s="226" t="n">
        <f aca="false">Q30+R30</f>
        <v>0</v>
      </c>
      <c r="T30" s="225"/>
      <c r="U30" s="260" t="n">
        <f aca="false">S30-T30</f>
        <v>0</v>
      </c>
      <c r="V30" s="164" t="n">
        <f aca="false">Q30+Q31+R30+R31</f>
        <v>0</v>
      </c>
      <c r="W30" s="226" t="n">
        <v>7.883</v>
      </c>
      <c r="X30" s="283" t="n">
        <f aca="false">-7.883</f>
        <v>-7.883</v>
      </c>
      <c r="Y30" s="226" t="n">
        <f aca="false">W30+X30</f>
        <v>0</v>
      </c>
      <c r="Z30" s="225"/>
      <c r="AA30" s="260" t="n">
        <f aca="false">Y30-Z30</f>
        <v>0</v>
      </c>
      <c r="AB30" s="164" t="n">
        <f aca="false">W30+W31+X30+X31</f>
        <v>0</v>
      </c>
      <c r="AC30" s="226" t="n">
        <v>13.351</v>
      </c>
      <c r="AD30" s="283" t="n">
        <f aca="false">-13.351</f>
        <v>-13.351</v>
      </c>
      <c r="AE30" s="226" t="n">
        <f aca="false">AC30+AD30</f>
        <v>0</v>
      </c>
      <c r="AF30" s="226"/>
      <c r="AG30" s="259" t="n">
        <f aca="false">AE30-AF30</f>
        <v>0</v>
      </c>
      <c r="AH30" s="164" t="n">
        <f aca="false">AC30+AC31+AD30+AD31</f>
        <v>0</v>
      </c>
      <c r="AI30" s="226" t="n">
        <v>11.246</v>
      </c>
      <c r="AJ30" s="283" t="n">
        <f aca="false">-11.246</f>
        <v>-11.246</v>
      </c>
      <c r="AK30" s="226" t="n">
        <f aca="false">AI30+AJ30</f>
        <v>0</v>
      </c>
      <c r="AL30" s="226"/>
      <c r="AM30" s="259" t="n">
        <f aca="false">AK30-AL30</f>
        <v>0</v>
      </c>
      <c r="AN30" s="178" t="n">
        <f aca="false">AI30+AI31+AJ30+AJ31</f>
        <v>0</v>
      </c>
      <c r="AO30" s="226" t="n">
        <v>10.978</v>
      </c>
      <c r="AP30" s="283" t="n">
        <f aca="false">-10.978</f>
        <v>-10.978</v>
      </c>
      <c r="AQ30" s="226" t="n">
        <f aca="false">AO30+AP30</f>
        <v>0</v>
      </c>
      <c r="AR30" s="226"/>
      <c r="AS30" s="259" t="n">
        <f aca="false">AQ30-AR30</f>
        <v>0</v>
      </c>
      <c r="AT30" s="164" t="n">
        <f aca="false">AO30+AO31+AP30+AP31</f>
        <v>0</v>
      </c>
      <c r="AU30" s="261" t="n">
        <f aca="false">E30+K30+Q30+W30+AC30+AI30+AO30</f>
        <v>47.915</v>
      </c>
      <c r="AV30" s="285" t="n">
        <f aca="false">F30+L30+R30+X30+AD30+AJ30+AP30</f>
        <v>-47.915</v>
      </c>
      <c r="AW30" s="258"/>
      <c r="AX30" s="258" t="n">
        <f aca="false">AU30+AV30+AW30</f>
        <v>0</v>
      </c>
      <c r="AY30" s="263" t="n">
        <f aca="false">H30+N30+T30+Z30+AF30+AL30+AR30</f>
        <v>0</v>
      </c>
      <c r="AZ30" s="259" t="n">
        <f aca="false">AX30-AY30</f>
        <v>0</v>
      </c>
      <c r="BA30" s="317" t="e">
        <f aca="false">AY30/AX30</f>
        <v>#DIV/0!</v>
      </c>
      <c r="BB30" s="149" t="n">
        <f aca="false">AU30+AU31+AV30+AV31+AW30+AW31</f>
        <v>0</v>
      </c>
      <c r="BC30" s="265" t="n">
        <f aca="false">AY30+AY31</f>
        <v>0</v>
      </c>
      <c r="BD30" s="266" t="n">
        <f aca="false">BB30-BC30</f>
        <v>0</v>
      </c>
      <c r="BE30" s="307" t="e">
        <f aca="false">BC30/BB30</f>
        <v>#DIV/0!</v>
      </c>
    </row>
    <row r="31" customFormat="false" ht="14.4" hidden="false" customHeight="false" outlineLevel="0" collapsed="false">
      <c r="A31" s="252"/>
      <c r="B31" s="253"/>
      <c r="C31" s="268" t="n">
        <v>41883</v>
      </c>
      <c r="D31" s="269" t="n">
        <v>42004</v>
      </c>
      <c r="E31" s="270" t="n">
        <v>0.041</v>
      </c>
      <c r="F31" s="63" t="n">
        <f aca="false">-0.041</f>
        <v>-0.041</v>
      </c>
      <c r="G31" s="88" t="n">
        <f aca="false">E31+F31+I30</f>
        <v>0</v>
      </c>
      <c r="H31" s="271"/>
      <c r="I31" s="272" t="n">
        <f aca="false">G31-H31</f>
        <v>0</v>
      </c>
      <c r="J31" s="169"/>
      <c r="K31" s="308" t="n">
        <v>0.041</v>
      </c>
      <c r="L31" s="273" t="n">
        <f aca="false">-0.041</f>
        <v>-0.041</v>
      </c>
      <c r="M31" s="227" t="n">
        <f aca="false">K31+L31+O30</f>
        <v>0</v>
      </c>
      <c r="N31" s="227"/>
      <c r="O31" s="274" t="n">
        <f aca="false">M31-N31</f>
        <v>0</v>
      </c>
      <c r="P31" s="164"/>
      <c r="Q31" s="308" t="n">
        <v>4.168</v>
      </c>
      <c r="R31" s="273" t="n">
        <f aca="false">-4.168</f>
        <v>-4.168</v>
      </c>
      <c r="S31" s="227" t="n">
        <f aca="false">Q31+R31+U30</f>
        <v>0</v>
      </c>
      <c r="T31" s="161"/>
      <c r="U31" s="276" t="n">
        <f aca="false">S31-T31</f>
        <v>0</v>
      </c>
      <c r="V31" s="164"/>
      <c r="W31" s="308" t="n">
        <v>4.622</v>
      </c>
      <c r="X31" s="273" t="n">
        <f aca="false">-4.622</f>
        <v>-4.622</v>
      </c>
      <c r="Y31" s="227" t="n">
        <f aca="false">W31+X31+AA30</f>
        <v>0</v>
      </c>
      <c r="Z31" s="161"/>
      <c r="AA31" s="276" t="n">
        <f aca="false">Y31-Z31</f>
        <v>0</v>
      </c>
      <c r="AB31" s="164"/>
      <c r="AC31" s="308" t="n">
        <v>6.954</v>
      </c>
      <c r="AD31" s="273" t="n">
        <f aca="false">-6.954</f>
        <v>-6.954</v>
      </c>
      <c r="AE31" s="227" t="n">
        <f aca="false">AC31+AD31+AG30</f>
        <v>0</v>
      </c>
      <c r="AF31" s="227"/>
      <c r="AG31" s="274" t="n">
        <f aca="false">AE31-AF31</f>
        <v>0</v>
      </c>
      <c r="AH31" s="164"/>
      <c r="AI31" s="308" t="n">
        <v>6.067</v>
      </c>
      <c r="AJ31" s="273" t="n">
        <f aca="false">-6.067</f>
        <v>-6.067</v>
      </c>
      <c r="AK31" s="227" t="n">
        <f aca="false">AI31+AJ31+AM30</f>
        <v>0</v>
      </c>
      <c r="AL31" s="227"/>
      <c r="AM31" s="274" t="n">
        <f aca="false">AK31-AL31</f>
        <v>0</v>
      </c>
      <c r="AN31" s="178"/>
      <c r="AO31" s="308" t="n">
        <v>5.634</v>
      </c>
      <c r="AP31" s="273" t="n">
        <f aca="false">-5.634</f>
        <v>-5.634</v>
      </c>
      <c r="AQ31" s="227" t="n">
        <f aca="false">AO31+AP31+AS30</f>
        <v>0</v>
      </c>
      <c r="AR31" s="227"/>
      <c r="AS31" s="274" t="n">
        <f aca="false">AQ31-AR31</f>
        <v>0</v>
      </c>
      <c r="AT31" s="164"/>
      <c r="AU31" s="277" t="n">
        <f aca="false">E31+K31+Q31+W31+AC31+AI31+AO31</f>
        <v>27.527</v>
      </c>
      <c r="AV31" s="309" t="n">
        <f aca="false">F31+L31+R31+X31+AD31+AJ31+AP31</f>
        <v>-27.527</v>
      </c>
      <c r="AW31" s="272"/>
      <c r="AX31" s="272" t="n">
        <f aca="false">AU31+AV31+AZ30+AW31</f>
        <v>0</v>
      </c>
      <c r="AY31" s="280" t="n">
        <f aca="false">H31+N31+T31+Z31+AF31+AL31+AR31</f>
        <v>0</v>
      </c>
      <c r="AZ31" s="274" t="n">
        <f aca="false">AX31-AY31</f>
        <v>0</v>
      </c>
      <c r="BA31" s="318" t="e">
        <f aca="false">AY31/AX31</f>
        <v>#DIV/0!</v>
      </c>
      <c r="BB31" s="149"/>
      <c r="BC31" s="265"/>
      <c r="BD31" s="266"/>
      <c r="BE31" s="307"/>
    </row>
    <row r="32" customFormat="false" ht="14.4" hidden="false" customHeight="true" outlineLevel="0" collapsed="false">
      <c r="A32" s="252"/>
      <c r="B32" s="253" t="s">
        <v>163</v>
      </c>
      <c r="C32" s="254" t="n">
        <v>41640</v>
      </c>
      <c r="D32" s="255" t="n">
        <v>41882</v>
      </c>
      <c r="E32" s="256" t="n">
        <v>0.601</v>
      </c>
      <c r="F32" s="100" t="n">
        <f aca="false">0.267+0.153+0.345+0.083</f>
        <v>0.848</v>
      </c>
      <c r="G32" s="89" t="n">
        <f aca="false">E32+F32</f>
        <v>1.449</v>
      </c>
      <c r="H32" s="314"/>
      <c r="I32" s="258" t="n">
        <f aca="false">G32-H32</f>
        <v>1.449</v>
      </c>
      <c r="J32" s="169" t="n">
        <f aca="false">E32+E33+F32+F33</f>
        <v>2.172</v>
      </c>
      <c r="K32" s="226" t="n">
        <v>0.301</v>
      </c>
      <c r="L32" s="224" t="n">
        <f aca="false">0.133+0.076+0.172+0.041</f>
        <v>0.422</v>
      </c>
      <c r="M32" s="226" t="n">
        <f aca="false">K32+L32</f>
        <v>0.723</v>
      </c>
      <c r="N32" s="226"/>
      <c r="O32" s="259" t="n">
        <f aca="false">M32-N32</f>
        <v>0.723</v>
      </c>
      <c r="P32" s="164" t="n">
        <f aca="false">K32+K33+L32+L33</f>
        <v>1.986</v>
      </c>
      <c r="Q32" s="226" t="n">
        <v>31.575</v>
      </c>
      <c r="R32" s="224" t="n">
        <f aca="false">13.993+8.026+18.101+4.333</f>
        <v>44.453</v>
      </c>
      <c r="S32" s="226" t="n">
        <f aca="false">Q32+R32</f>
        <v>76.028</v>
      </c>
      <c r="T32" s="225" t="n">
        <v>74.98</v>
      </c>
      <c r="U32" s="260" t="n">
        <f aca="false">S32-T32</f>
        <v>1.04799999999999</v>
      </c>
      <c r="V32" s="164" t="n">
        <f aca="false">Q32+Q33+R32+R33</f>
        <v>149.16</v>
      </c>
      <c r="W32" s="226" t="n">
        <v>57.436</v>
      </c>
      <c r="X32" s="224" t="n">
        <f aca="false">25.454+14.599+32.927+7.883-17.529</f>
        <v>63.334</v>
      </c>
      <c r="Y32" s="226" t="n">
        <f aca="false">W32+X32</f>
        <v>120.77</v>
      </c>
      <c r="Z32" s="225" t="n">
        <v>132.99</v>
      </c>
      <c r="AA32" s="260" t="n">
        <f aca="false">Y32-Z32</f>
        <v>-12.22</v>
      </c>
      <c r="AB32" s="164" t="n">
        <f aca="false">W32+W33+X32+X33</f>
        <v>211.867</v>
      </c>
      <c r="AC32" s="226" t="n">
        <v>97.28</v>
      </c>
      <c r="AD32" s="224" t="n">
        <f aca="false">43.112+24.727+55.769+13.351+7.529</f>
        <v>144.488</v>
      </c>
      <c r="AE32" s="226" t="n">
        <f aca="false">AC32+AD32</f>
        <v>241.768</v>
      </c>
      <c r="AF32" s="226" t="n">
        <v>233.312</v>
      </c>
      <c r="AG32" s="310" t="n">
        <f aca="false">AE32-AF32</f>
        <v>8.45599999999999</v>
      </c>
      <c r="AH32" s="164" t="n">
        <f aca="false">AC32+AC33+AD32+AD33</f>
        <v>373.775</v>
      </c>
      <c r="AI32" s="226" t="n">
        <v>81.994</v>
      </c>
      <c r="AJ32" s="224" t="n">
        <f aca="false">36.315+20.829+46.977+11.246</f>
        <v>115.367</v>
      </c>
      <c r="AK32" s="226" t="n">
        <f aca="false">AI32+AJ32</f>
        <v>197.361</v>
      </c>
      <c r="AL32" s="225" t="n">
        <v>196.628</v>
      </c>
      <c r="AM32" s="259" t="n">
        <f aca="false">AK32-AL32</f>
        <v>0.733000000000004</v>
      </c>
      <c r="AN32" s="178" t="n">
        <f aca="false">AI32+AI33+AJ32+AJ33</f>
        <v>293.8</v>
      </c>
      <c r="AO32" s="226" t="n">
        <v>79.989</v>
      </c>
      <c r="AP32" s="224" t="n">
        <f aca="false">35.449+20.332+45.856+10.978</f>
        <v>112.615</v>
      </c>
      <c r="AQ32" s="226" t="n">
        <f aca="false">AO32+AP32</f>
        <v>192.604</v>
      </c>
      <c r="AR32" s="225" t="n">
        <v>190.931</v>
      </c>
      <c r="AS32" s="259" t="n">
        <f aca="false">AQ32-AR32</f>
        <v>1.67299999999997</v>
      </c>
      <c r="AT32" s="164" t="n">
        <f aca="false">AO32+AO33+AP32+AP33</f>
        <v>291.442</v>
      </c>
      <c r="AU32" s="261" t="n">
        <f aca="false">E32+K32+Q32+W32+AC32+AI32+AO32</f>
        <v>349.176</v>
      </c>
      <c r="AV32" s="262" t="n">
        <f aca="false">F32+L32+R32+X32+AD32+AJ32+AP32</f>
        <v>481.527</v>
      </c>
      <c r="AW32" s="286" t="n">
        <f aca="false">-0.0348</f>
        <v>-0.0348</v>
      </c>
      <c r="AX32" s="258" t="n">
        <f aca="false">AU32+AV32+AW32</f>
        <v>830.6682</v>
      </c>
      <c r="AY32" s="263" t="n">
        <f aca="false">H32+N32+T32+Z32+AF32+AL32+AR32</f>
        <v>828.841</v>
      </c>
      <c r="AZ32" s="259" t="n">
        <f aca="false">AX32-AY32</f>
        <v>1.82719999999983</v>
      </c>
      <c r="BA32" s="264" t="n">
        <f aca="false">AY32/AX32</f>
        <v>0.997800325087683</v>
      </c>
      <c r="BB32" s="149" t="n">
        <f aca="false">AU32+AU33+AV32+AV33+AW32+AW33</f>
        <v>1324.1672</v>
      </c>
      <c r="BC32" s="265" t="n">
        <f aca="false">AY32+AY33</f>
        <v>1309.204</v>
      </c>
      <c r="BD32" s="266" t="n">
        <f aca="false">BB32-BC32</f>
        <v>14.9631999999999</v>
      </c>
      <c r="BE32" s="267" t="n">
        <f aca="false">BC32/BB32</f>
        <v>0.988699916445597</v>
      </c>
    </row>
    <row r="33" customFormat="false" ht="14.4" hidden="false" customHeight="false" outlineLevel="0" collapsed="false">
      <c r="A33" s="252"/>
      <c r="B33" s="253"/>
      <c r="C33" s="268" t="n">
        <v>41883</v>
      </c>
      <c r="D33" s="269" t="n">
        <v>42004</v>
      </c>
      <c r="E33" s="270" t="n">
        <v>0.301</v>
      </c>
      <c r="F33" s="130" t="n">
        <f aca="false">0.133+0.076+0.172+0.041</f>
        <v>0.422</v>
      </c>
      <c r="G33" s="88" t="n">
        <f aca="false">E33+F33+I32</f>
        <v>2.172</v>
      </c>
      <c r="H33" s="315"/>
      <c r="I33" s="272" t="n">
        <f aca="false">G33-H33</f>
        <v>2.172</v>
      </c>
      <c r="J33" s="169"/>
      <c r="K33" s="308" t="n">
        <v>0.301</v>
      </c>
      <c r="L33" s="275" t="n">
        <f aca="false">0.133+0.076+0.712+0.041</f>
        <v>0.962</v>
      </c>
      <c r="M33" s="227" t="n">
        <f aca="false">K33+L33+O32</f>
        <v>1.986</v>
      </c>
      <c r="N33" s="227"/>
      <c r="O33" s="274" t="n">
        <f aca="false">M33-N33</f>
        <v>1.986</v>
      </c>
      <c r="P33" s="164"/>
      <c r="Q33" s="308" t="n">
        <v>30.372</v>
      </c>
      <c r="R33" s="275" t="n">
        <f aca="false">13.46+7.72+17.412+4.168</f>
        <v>42.76</v>
      </c>
      <c r="S33" s="227" t="n">
        <f aca="false">Q33+R33+U32</f>
        <v>74.18</v>
      </c>
      <c r="T33" s="161" t="n">
        <v>72.669</v>
      </c>
      <c r="U33" s="276" t="n">
        <f aca="false">S33-T33</f>
        <v>1.511</v>
      </c>
      <c r="V33" s="164"/>
      <c r="W33" s="308" t="n">
        <v>33.68</v>
      </c>
      <c r="X33" s="275" t="n">
        <f aca="false">14.926+8.561+19.308+4.622+10</f>
        <v>57.417</v>
      </c>
      <c r="Y33" s="227" t="n">
        <f aca="false">W33+X33+AA32</f>
        <v>78.877</v>
      </c>
      <c r="Z33" s="161" t="n">
        <v>78.839</v>
      </c>
      <c r="AA33" s="276" t="n">
        <f aca="false">Y33-Z33</f>
        <v>0.0379999999999825</v>
      </c>
      <c r="AB33" s="164"/>
      <c r="AC33" s="308" t="n">
        <v>50.67</v>
      </c>
      <c r="AD33" s="275" t="n">
        <f aca="false">22.455+12.88+29.048+6.954+10</f>
        <v>81.337</v>
      </c>
      <c r="AE33" s="227" t="n">
        <f aca="false">AC33+AD33+AG32</f>
        <v>140.463</v>
      </c>
      <c r="AF33" s="227" t="n">
        <v>137.606</v>
      </c>
      <c r="AG33" s="274" t="n">
        <f aca="false">AE33-AF33</f>
        <v>2.857</v>
      </c>
      <c r="AH33" s="164"/>
      <c r="AI33" s="308" t="n">
        <v>44.204</v>
      </c>
      <c r="AJ33" s="275" t="n">
        <f aca="false">19.59+11.236+25.342+6.067-10</f>
        <v>52.235</v>
      </c>
      <c r="AK33" s="274" t="n">
        <f aca="false">AI33+AJ33+AM32</f>
        <v>97.172</v>
      </c>
      <c r="AL33" s="161" t="n">
        <v>95.687</v>
      </c>
      <c r="AM33" s="274" t="n">
        <f aca="false">AK33-AL33</f>
        <v>1.485</v>
      </c>
      <c r="AN33" s="178"/>
      <c r="AO33" s="308" t="n">
        <v>41.047</v>
      </c>
      <c r="AP33" s="275" t="n">
        <f aca="false">18.191+10.434+23.532+5.634</f>
        <v>57.791</v>
      </c>
      <c r="AQ33" s="227" t="n">
        <f aca="false">AO33+AP33+AS32</f>
        <v>100.511</v>
      </c>
      <c r="AR33" s="161" t="n">
        <v>95.562</v>
      </c>
      <c r="AS33" s="274" t="n">
        <f aca="false">AQ33-AR33</f>
        <v>4.94899999999997</v>
      </c>
      <c r="AT33" s="164"/>
      <c r="AU33" s="277" t="n">
        <f aca="false">E33+K33+Q33+W33+AC33+AI33+AO33</f>
        <v>200.575</v>
      </c>
      <c r="AV33" s="278" t="n">
        <f aca="false">F33+L33+R33+X33+AD33+AJ33+AP33</f>
        <v>292.924</v>
      </c>
      <c r="AW33" s="278"/>
      <c r="AX33" s="272" t="n">
        <f aca="false">AU33+AV33+AZ32+AW33</f>
        <v>495.3262</v>
      </c>
      <c r="AY33" s="280" t="n">
        <f aca="false">H33+N33+T33+Z33+AF33+AL33+AR33</f>
        <v>480.363</v>
      </c>
      <c r="AZ33" s="274" t="n">
        <f aca="false">AX33-AY33</f>
        <v>14.9631999999998</v>
      </c>
      <c r="BA33" s="281" t="n">
        <f aca="false">AY33/AX33</f>
        <v>0.969791220411923</v>
      </c>
      <c r="BB33" s="149"/>
      <c r="BC33" s="265"/>
      <c r="BD33" s="266"/>
      <c r="BE33" s="267"/>
    </row>
    <row r="34" customFormat="false" ht="14.4" hidden="false" customHeight="true" outlineLevel="0" collapsed="false">
      <c r="A34" s="252"/>
      <c r="B34" s="253" t="s">
        <v>164</v>
      </c>
      <c r="C34" s="254" t="n">
        <v>41640</v>
      </c>
      <c r="D34" s="255" t="n">
        <v>41882</v>
      </c>
      <c r="E34" s="256" t="n">
        <v>0.147</v>
      </c>
      <c r="F34" s="89"/>
      <c r="G34" s="89" t="n">
        <f aca="false">E34+F34</f>
        <v>0.147</v>
      </c>
      <c r="H34" s="257"/>
      <c r="I34" s="258" t="n">
        <f aca="false">G34-H34</f>
        <v>0.147</v>
      </c>
      <c r="J34" s="169" t="n">
        <f aca="false">E34+E35+F34+F35</f>
        <v>0.22</v>
      </c>
      <c r="K34" s="226" t="n">
        <v>0.073</v>
      </c>
      <c r="L34" s="326" t="n">
        <f aca="false">-4.216</f>
        <v>-4.216</v>
      </c>
      <c r="M34" s="327" t="n">
        <f aca="false">K34+L34</f>
        <v>-4.143</v>
      </c>
      <c r="N34" s="327"/>
      <c r="O34" s="328" t="n">
        <f aca="false">M34-N34</f>
        <v>-4.143</v>
      </c>
      <c r="P34" s="329" t="n">
        <f aca="false">K34+K35+L34+L35</f>
        <v>0.145999999999999</v>
      </c>
      <c r="Q34" s="327" t="n">
        <v>7.698</v>
      </c>
      <c r="R34" s="326" t="n">
        <f aca="false">-6.817</f>
        <v>-6.817</v>
      </c>
      <c r="S34" s="327" t="n">
        <f aca="false">Q34+R34</f>
        <v>0.881</v>
      </c>
      <c r="T34" s="330" t="n">
        <v>3.665</v>
      </c>
      <c r="U34" s="331" t="n">
        <f aca="false">S34-T34</f>
        <v>-2.784</v>
      </c>
      <c r="V34" s="329" t="n">
        <f aca="false">Q34+Q35+R34+R35</f>
        <v>38.286</v>
      </c>
      <c r="W34" s="327" t="n">
        <v>14.003</v>
      </c>
      <c r="X34" s="332" t="n">
        <f aca="false">17.529</f>
        <v>17.529</v>
      </c>
      <c r="Y34" s="327" t="n">
        <f aca="false">W34+X34</f>
        <v>31.532</v>
      </c>
      <c r="Z34" s="330" t="n">
        <v>25.802</v>
      </c>
      <c r="AA34" s="331" t="n">
        <f aca="false">Y34-Z34</f>
        <v>5.73</v>
      </c>
      <c r="AB34" s="329" t="n">
        <f aca="false">W34+W35+X34+X35</f>
        <v>39.743</v>
      </c>
      <c r="AC34" s="327" t="n">
        <v>23.717</v>
      </c>
      <c r="AD34" s="326" t="n">
        <f aca="false">-0.8-7.529</f>
        <v>-8.329</v>
      </c>
      <c r="AE34" s="327" t="n">
        <f aca="false">AC34+AD34</f>
        <v>15.388</v>
      </c>
      <c r="AF34" s="327" t="n">
        <v>14.889</v>
      </c>
      <c r="AG34" s="328" t="n">
        <f aca="false">AE34-AF34</f>
        <v>0.498999999999999</v>
      </c>
      <c r="AH34" s="329" t="n">
        <f aca="false">AC34+AC35+AD34+AD35</f>
        <v>17.741</v>
      </c>
      <c r="AI34" s="327" t="n">
        <v>19.978</v>
      </c>
      <c r="AJ34" s="326" t="n">
        <f aca="false">-19.978</f>
        <v>-19.978</v>
      </c>
      <c r="AK34" s="327" t="n">
        <f aca="false">AI34+AJ34</f>
        <v>0</v>
      </c>
      <c r="AL34" s="327"/>
      <c r="AM34" s="328" t="n">
        <f aca="false">AK34-AL34</f>
        <v>0</v>
      </c>
      <c r="AN34" s="333" t="n">
        <f aca="false">AI34+AI35+AJ34+AJ35</f>
        <v>2.653</v>
      </c>
      <c r="AO34" s="327" t="n">
        <v>19.501</v>
      </c>
      <c r="AP34" s="326" t="n">
        <f aca="false">-19.502</f>
        <v>-19.502</v>
      </c>
      <c r="AQ34" s="327" t="n">
        <f aca="false">AO34+AP34</f>
        <v>-0.000999999999997669</v>
      </c>
      <c r="AR34" s="327"/>
      <c r="AS34" s="328" t="n">
        <f aca="false">AQ34-AR34</f>
        <v>-0.000999999999997669</v>
      </c>
      <c r="AT34" s="329" t="n">
        <f aca="false">AO34+AO35+AP34+AP35</f>
        <v>1.962</v>
      </c>
      <c r="AU34" s="334" t="n">
        <f aca="false">E34+K34+Q34+W34+AC34+AI34+AO34</f>
        <v>85.117</v>
      </c>
      <c r="AV34" s="335" t="n">
        <f aca="false">F34+L34+R34+X34+AD34+AJ34+AP34</f>
        <v>-41.313</v>
      </c>
      <c r="AW34" s="97"/>
      <c r="AX34" s="336" t="n">
        <f aca="false">AU34+AV34+AW34</f>
        <v>43.804</v>
      </c>
      <c r="AY34" s="337" t="n">
        <f aca="false">H34+N34+T34+Z34+AF34+AL34+AR34</f>
        <v>44.356</v>
      </c>
      <c r="AZ34" s="328" t="n">
        <f aca="false">AX34-AY34</f>
        <v>-0.551999999999993</v>
      </c>
      <c r="BA34" s="338" t="n">
        <f aca="false">AY34/AX34</f>
        <v>1.01260158889599</v>
      </c>
      <c r="BB34" s="339" t="n">
        <f aca="false">AU34+AU35+AV34+AV35+AW34+AW35</f>
        <v>100.751</v>
      </c>
      <c r="BC34" s="340" t="n">
        <f aca="false">AY34+AY35</f>
        <v>50.579</v>
      </c>
      <c r="BD34" s="341" t="n">
        <f aca="false">BB34-BC34</f>
        <v>50.172</v>
      </c>
      <c r="BE34" s="342" t="n">
        <f aca="false">BC34/BB34</f>
        <v>0.502019831068674</v>
      </c>
    </row>
    <row r="35" customFormat="false" ht="14.4" hidden="false" customHeight="false" outlineLevel="0" collapsed="false">
      <c r="A35" s="252"/>
      <c r="B35" s="253"/>
      <c r="C35" s="268" t="n">
        <v>41883</v>
      </c>
      <c r="D35" s="269" t="n">
        <v>42004</v>
      </c>
      <c r="E35" s="270" t="n">
        <v>0.073</v>
      </c>
      <c r="F35" s="88"/>
      <c r="G35" s="88" t="n">
        <f aca="false">E35+F35+I34</f>
        <v>0.22</v>
      </c>
      <c r="H35" s="271"/>
      <c r="I35" s="272" t="n">
        <f aca="false">G35-H35</f>
        <v>0.22</v>
      </c>
      <c r="J35" s="169"/>
      <c r="K35" s="308" t="n">
        <v>0.073</v>
      </c>
      <c r="L35" s="343" t="n">
        <f aca="false">-1.488+5.704</f>
        <v>4.216</v>
      </c>
      <c r="M35" s="308" t="n">
        <f aca="false">K35+L35+O34</f>
        <v>0.146</v>
      </c>
      <c r="N35" s="308"/>
      <c r="O35" s="344" t="n">
        <f aca="false">M35-N35</f>
        <v>0.146</v>
      </c>
      <c r="P35" s="329"/>
      <c r="Q35" s="308" t="n">
        <v>7.405</v>
      </c>
      <c r="R35" s="343" t="n">
        <f aca="false">30</f>
        <v>30</v>
      </c>
      <c r="S35" s="308" t="n">
        <f aca="false">Q35+R35+U34</f>
        <v>34.621</v>
      </c>
      <c r="T35" s="345" t="n">
        <v>6.223</v>
      </c>
      <c r="U35" s="346" t="n">
        <f aca="false">S35-T35</f>
        <v>28.398</v>
      </c>
      <c r="V35" s="329"/>
      <c r="W35" s="308" t="n">
        <v>8.211</v>
      </c>
      <c r="X35" s="308"/>
      <c r="Y35" s="347" t="n">
        <f aca="false">W35+X35+AA34</f>
        <v>13.941</v>
      </c>
      <c r="Z35" s="345"/>
      <c r="AA35" s="346" t="n">
        <f aca="false">Y35-Z35</f>
        <v>13.941</v>
      </c>
      <c r="AB35" s="329"/>
      <c r="AC35" s="308" t="n">
        <v>12.353</v>
      </c>
      <c r="AD35" s="348" t="n">
        <f aca="false">-10</f>
        <v>-10</v>
      </c>
      <c r="AE35" s="308" t="n">
        <f aca="false">AC35+AD35+AG34</f>
        <v>2.852</v>
      </c>
      <c r="AF35" s="308"/>
      <c r="AG35" s="344" t="n">
        <f aca="false">AE35-AF35</f>
        <v>2.852</v>
      </c>
      <c r="AH35" s="329"/>
      <c r="AI35" s="308" t="n">
        <v>10.777</v>
      </c>
      <c r="AJ35" s="348" t="n">
        <f aca="false">-8.124</f>
        <v>-8.124</v>
      </c>
      <c r="AK35" s="308" t="n">
        <f aca="false">AI35+AJ35+AM34</f>
        <v>2.653</v>
      </c>
      <c r="AL35" s="308"/>
      <c r="AM35" s="344" t="n">
        <f aca="false">AK35-AL35</f>
        <v>2.653</v>
      </c>
      <c r="AN35" s="333"/>
      <c r="AO35" s="308" t="n">
        <v>10.007</v>
      </c>
      <c r="AP35" s="348" t="n">
        <f aca="false">-8.044</f>
        <v>-8.044</v>
      </c>
      <c r="AQ35" s="308" t="n">
        <f aca="false">AO35+AP35+AS34</f>
        <v>1.962</v>
      </c>
      <c r="AR35" s="308"/>
      <c r="AS35" s="344" t="n">
        <f aca="false">AQ35-AR35</f>
        <v>1.962</v>
      </c>
      <c r="AT35" s="329"/>
      <c r="AU35" s="349" t="n">
        <f aca="false">E35+K35+Q35+W35+AC35+AI35+AO35</f>
        <v>48.899</v>
      </c>
      <c r="AV35" s="350" t="n">
        <f aca="false">F35+L35+R35+X35+AD35+AJ35+AP35</f>
        <v>8.048</v>
      </c>
      <c r="AW35" s="351"/>
      <c r="AX35" s="351" t="n">
        <f aca="false">AU35+AV35+AZ34+AW35</f>
        <v>56.395</v>
      </c>
      <c r="AY35" s="352" t="n">
        <f aca="false">H35+N35+T35+Z35+AF35+AL35+AR35</f>
        <v>6.223</v>
      </c>
      <c r="AZ35" s="344" t="n">
        <f aca="false">AX35-AY35</f>
        <v>50.172</v>
      </c>
      <c r="BA35" s="353" t="n">
        <f aca="false">AY35/AX35</f>
        <v>0.110346661938115</v>
      </c>
      <c r="BB35" s="339"/>
      <c r="BC35" s="340"/>
      <c r="BD35" s="341"/>
      <c r="BE35" s="342"/>
    </row>
    <row r="36" customFormat="false" ht="14.4" hidden="false" customHeight="true" outlineLevel="0" collapsed="false">
      <c r="A36" s="252"/>
      <c r="B36" s="253" t="s">
        <v>165</v>
      </c>
      <c r="C36" s="254" t="n">
        <v>41640</v>
      </c>
      <c r="D36" s="255" t="n">
        <v>41882</v>
      </c>
      <c r="E36" s="256" t="n">
        <v>0.174</v>
      </c>
      <c r="F36" s="56" t="n">
        <f aca="false">-0.173</f>
        <v>-0.173</v>
      </c>
      <c r="G36" s="89" t="n">
        <f aca="false">E36+F36</f>
        <v>0.001</v>
      </c>
      <c r="H36" s="257"/>
      <c r="I36" s="258" t="n">
        <f aca="false">G36-H36</f>
        <v>0.001</v>
      </c>
      <c r="J36" s="169" t="n">
        <f aca="false">E36+E37+F36+F37</f>
        <v>0.00100000000000003</v>
      </c>
      <c r="K36" s="226" t="n">
        <v>0.087</v>
      </c>
      <c r="L36" s="283" t="n">
        <f aca="false">-0.087</f>
        <v>-0.087</v>
      </c>
      <c r="M36" s="226" t="n">
        <f aca="false">K36+L36</f>
        <v>0</v>
      </c>
      <c r="N36" s="226"/>
      <c r="O36" s="259" t="n">
        <f aca="false">M36-N36</f>
        <v>0</v>
      </c>
      <c r="P36" s="164" t="n">
        <f aca="false">K36+K37+L36+L37</f>
        <v>0</v>
      </c>
      <c r="Q36" s="226" t="n">
        <v>9.119</v>
      </c>
      <c r="R36" s="283" t="n">
        <f aca="false">-9.119</f>
        <v>-9.119</v>
      </c>
      <c r="S36" s="226" t="n">
        <f aca="false">Q36+R36</f>
        <v>0</v>
      </c>
      <c r="T36" s="225"/>
      <c r="U36" s="260" t="n">
        <f aca="false">S36-T36</f>
        <v>0</v>
      </c>
      <c r="V36" s="164" t="n">
        <f aca="false">Q36+Q37+R36+R37</f>
        <v>0</v>
      </c>
      <c r="W36" s="226" t="n">
        <v>16.588</v>
      </c>
      <c r="X36" s="283" t="n">
        <f aca="false">-16.588</f>
        <v>-16.588</v>
      </c>
      <c r="Y36" s="226" t="n">
        <f aca="false">W36+X36</f>
        <v>0</v>
      </c>
      <c r="Z36" s="226"/>
      <c r="AA36" s="260" t="n">
        <f aca="false">Y36-Z36</f>
        <v>0</v>
      </c>
      <c r="AB36" s="164" t="n">
        <f aca="false">W36+W37+X36+X37</f>
        <v>0</v>
      </c>
      <c r="AC36" s="226" t="n">
        <v>28.096</v>
      </c>
      <c r="AD36" s="283" t="n">
        <f aca="false">-28.096</f>
        <v>-28.096</v>
      </c>
      <c r="AE36" s="226" t="n">
        <f aca="false">AC36+AD36</f>
        <v>0</v>
      </c>
      <c r="AF36" s="226"/>
      <c r="AG36" s="259" t="n">
        <f aca="false">AE36-AF36</f>
        <v>0</v>
      </c>
      <c r="AH36" s="164" t="n">
        <f aca="false">AC36+AC37+AD36+AD37</f>
        <v>0</v>
      </c>
      <c r="AI36" s="226" t="n">
        <v>23.667</v>
      </c>
      <c r="AJ36" s="283" t="n">
        <f aca="false">-23.667</f>
        <v>-23.667</v>
      </c>
      <c r="AK36" s="226" t="n">
        <f aca="false">AI36+AJ36</f>
        <v>0</v>
      </c>
      <c r="AL36" s="226"/>
      <c r="AM36" s="259" t="n">
        <f aca="false">AK36-AL36</f>
        <v>0</v>
      </c>
      <c r="AN36" s="178" t="n">
        <f aca="false">AI36+AI37+AJ36+AJ37</f>
        <v>0</v>
      </c>
      <c r="AO36" s="226" t="n">
        <v>23.102</v>
      </c>
      <c r="AP36" s="283" t="n">
        <f aca="false">-23.102</f>
        <v>-23.102</v>
      </c>
      <c r="AQ36" s="226" t="n">
        <f aca="false">AO36+AP36</f>
        <v>0</v>
      </c>
      <c r="AR36" s="226"/>
      <c r="AS36" s="259" t="n">
        <f aca="false">AQ36-AR36</f>
        <v>0</v>
      </c>
      <c r="AT36" s="354" t="n">
        <f aca="false">AO36+AO37+AP36+AP37</f>
        <v>0</v>
      </c>
      <c r="AU36" s="226" t="n">
        <f aca="false">E36+K36+Q36+W36+AC36+AI36+AO36</f>
        <v>100.833</v>
      </c>
      <c r="AV36" s="285" t="n">
        <f aca="false">F36+L36+R36+X36+AD36+AJ36+AP36</f>
        <v>-100.832</v>
      </c>
      <c r="AW36" s="258"/>
      <c r="AX36" s="258" t="n">
        <f aca="false">AU36+AV36+AW36</f>
        <v>0.000999999999990564</v>
      </c>
      <c r="AY36" s="263" t="n">
        <f aca="false">H36+N36+T36+Z36+AF36+AL36+AR36</f>
        <v>0</v>
      </c>
      <c r="AZ36" s="259" t="n">
        <f aca="false">AX36-AY36</f>
        <v>0.000999999999990564</v>
      </c>
      <c r="BA36" s="264" t="n">
        <f aca="false">AY36/AX36</f>
        <v>0</v>
      </c>
      <c r="BB36" s="149" t="n">
        <f aca="false">AU36+AU37+AV36+AV37+AW36+AW37</f>
        <v>0.000999999999990564</v>
      </c>
      <c r="BC36" s="265" t="n">
        <f aca="false">AY36+AY37</f>
        <v>0.031</v>
      </c>
      <c r="BD36" s="266" t="n">
        <f aca="false">BB36-BC36</f>
        <v>-0.0300000000000094</v>
      </c>
      <c r="BE36" s="307" t="n">
        <f aca="false">BC36/BB36</f>
        <v>31.0000000002925</v>
      </c>
    </row>
    <row r="37" customFormat="false" ht="14.4" hidden="false" customHeight="false" outlineLevel="0" collapsed="false">
      <c r="A37" s="252"/>
      <c r="B37" s="253"/>
      <c r="C37" s="268" t="n">
        <v>41883</v>
      </c>
      <c r="D37" s="269" t="n">
        <v>42004</v>
      </c>
      <c r="E37" s="270" t="n">
        <v>0.087</v>
      </c>
      <c r="F37" s="63" t="n">
        <f aca="false">-0.087</f>
        <v>-0.087</v>
      </c>
      <c r="G37" s="88" t="n">
        <f aca="false">E37+F37+I36</f>
        <v>0.001</v>
      </c>
      <c r="H37" s="271"/>
      <c r="I37" s="272" t="n">
        <f aca="false">G37-H37</f>
        <v>0.001</v>
      </c>
      <c r="J37" s="169"/>
      <c r="K37" s="308" t="n">
        <v>0.087</v>
      </c>
      <c r="L37" s="273" t="n">
        <f aca="false">-0.087</f>
        <v>-0.087</v>
      </c>
      <c r="M37" s="227" t="n">
        <f aca="false">K37+L37+O36</f>
        <v>0</v>
      </c>
      <c r="N37" s="227"/>
      <c r="O37" s="274" t="n">
        <f aca="false">M37-N37</f>
        <v>0</v>
      </c>
      <c r="P37" s="164"/>
      <c r="Q37" s="308" t="n">
        <v>8.772</v>
      </c>
      <c r="R37" s="273" t="n">
        <f aca="false">-8.772</f>
        <v>-8.772</v>
      </c>
      <c r="S37" s="227" t="n">
        <f aca="false">Q37+R37+U36</f>
        <v>0</v>
      </c>
      <c r="T37" s="161"/>
      <c r="U37" s="276" t="n">
        <f aca="false">S37-T37</f>
        <v>0</v>
      </c>
      <c r="V37" s="164"/>
      <c r="W37" s="308" t="n">
        <v>9.727</v>
      </c>
      <c r="X37" s="273" t="n">
        <f aca="false">-9.727</f>
        <v>-9.727</v>
      </c>
      <c r="Y37" s="227" t="n">
        <f aca="false">W37+X37+AA36</f>
        <v>0</v>
      </c>
      <c r="Z37" s="227"/>
      <c r="AA37" s="276" t="n">
        <f aca="false">Y37-Z37</f>
        <v>0</v>
      </c>
      <c r="AB37" s="164"/>
      <c r="AC37" s="308" t="n">
        <v>14.634</v>
      </c>
      <c r="AD37" s="273" t="n">
        <f aca="false">-14.634</f>
        <v>-14.634</v>
      </c>
      <c r="AE37" s="227" t="n">
        <f aca="false">AC37+AD37+AG36</f>
        <v>0</v>
      </c>
      <c r="AF37" s="227"/>
      <c r="AG37" s="274" t="n">
        <f aca="false">AE37-AF37</f>
        <v>0</v>
      </c>
      <c r="AH37" s="164"/>
      <c r="AI37" s="308" t="n">
        <v>12.767</v>
      </c>
      <c r="AJ37" s="273" t="n">
        <f aca="false">-12.767</f>
        <v>-12.767</v>
      </c>
      <c r="AK37" s="227" t="n">
        <f aca="false">AI37+AJ37+AM36</f>
        <v>0</v>
      </c>
      <c r="AL37" s="227"/>
      <c r="AM37" s="274" t="n">
        <f aca="false">AK37-AL37</f>
        <v>0</v>
      </c>
      <c r="AN37" s="178"/>
      <c r="AO37" s="308" t="n">
        <v>11.855</v>
      </c>
      <c r="AP37" s="273" t="n">
        <f aca="false">-11.855</f>
        <v>-11.855</v>
      </c>
      <c r="AQ37" s="227" t="n">
        <f aca="false">AO37+AP37+AS36</f>
        <v>0</v>
      </c>
      <c r="AR37" s="161" t="n">
        <v>0.031</v>
      </c>
      <c r="AS37" s="274" t="n">
        <f aca="false">AQ37-AR37</f>
        <v>-0.031</v>
      </c>
      <c r="AT37" s="354"/>
      <c r="AU37" s="227" t="n">
        <f aca="false">E37+K37+Q37+W37+AC37+AI37+AO37</f>
        <v>57.929</v>
      </c>
      <c r="AV37" s="309" t="n">
        <f aca="false">F37+L37+R37+X37+AD37+AJ37+AP37</f>
        <v>-57.929</v>
      </c>
      <c r="AW37" s="272"/>
      <c r="AX37" s="272" t="n">
        <f aca="false">AU37+AV37+AZ36+AW37</f>
        <v>0.000999999999990564</v>
      </c>
      <c r="AY37" s="280" t="n">
        <f aca="false">H37+N37+T37+Z37+AF37+AL37+AR37</f>
        <v>0.031</v>
      </c>
      <c r="AZ37" s="274" t="n">
        <f aca="false">AX37-AY37</f>
        <v>-0.0300000000000094</v>
      </c>
      <c r="BA37" s="281" t="n">
        <f aca="false">AY37/AX37</f>
        <v>31.0000000002925</v>
      </c>
      <c r="BB37" s="149"/>
      <c r="BC37" s="265"/>
      <c r="BD37" s="266"/>
      <c r="BE37" s="307"/>
    </row>
    <row r="38" customFormat="false" ht="14.4" hidden="false" customHeight="true" outlineLevel="0" collapsed="false">
      <c r="A38" s="252"/>
      <c r="B38" s="355" t="s">
        <v>166</v>
      </c>
      <c r="C38" s="254" t="n">
        <v>41640</v>
      </c>
      <c r="D38" s="255" t="n">
        <v>41882</v>
      </c>
      <c r="E38" s="89" t="n">
        <v>0</v>
      </c>
      <c r="F38" s="89"/>
      <c r="G38" s="89" t="n">
        <f aca="false">E38+F38</f>
        <v>0</v>
      </c>
      <c r="H38" s="185"/>
      <c r="I38" s="336" t="n">
        <f aca="false">G38-H38</f>
        <v>0</v>
      </c>
      <c r="J38" s="169" t="n">
        <f aca="false">E38+E39+F38+F39</f>
        <v>0</v>
      </c>
      <c r="K38" s="336" t="n">
        <v>0</v>
      </c>
      <c r="L38" s="327"/>
      <c r="M38" s="327" t="n">
        <f aca="false">K38+L38</f>
        <v>0</v>
      </c>
      <c r="N38" s="327"/>
      <c r="O38" s="327" t="n">
        <f aca="false">M38-N38</f>
        <v>0</v>
      </c>
      <c r="P38" s="329" t="n">
        <f aca="false">K38+K39+L38+L39</f>
        <v>0</v>
      </c>
      <c r="Q38" s="336" t="n">
        <v>0</v>
      </c>
      <c r="R38" s="327"/>
      <c r="S38" s="327" t="n">
        <f aca="false">Q38+R38</f>
        <v>0</v>
      </c>
      <c r="T38" s="327"/>
      <c r="U38" s="327" t="n">
        <f aca="false">S38-T38</f>
        <v>0</v>
      </c>
      <c r="V38" s="329" t="n">
        <f aca="false">Q38+Q39+R38+R39</f>
        <v>0</v>
      </c>
      <c r="W38" s="336" t="n">
        <v>0</v>
      </c>
      <c r="X38" s="327"/>
      <c r="Y38" s="327" t="n">
        <f aca="false">W38+X38</f>
        <v>0</v>
      </c>
      <c r="Z38" s="327"/>
      <c r="AA38" s="327" t="n">
        <f aca="false">Y38-Z38</f>
        <v>0</v>
      </c>
      <c r="AB38" s="329" t="n">
        <f aca="false">W38+W39+X38+X39</f>
        <v>0</v>
      </c>
      <c r="AC38" s="327" t="n">
        <v>0</v>
      </c>
      <c r="AD38" s="327"/>
      <c r="AE38" s="327" t="n">
        <f aca="false">AC38+AD38</f>
        <v>0</v>
      </c>
      <c r="AF38" s="327"/>
      <c r="AG38" s="327" t="n">
        <f aca="false">AE38-AF38</f>
        <v>0</v>
      </c>
      <c r="AH38" s="329" t="n">
        <f aca="false">AC38+AC39+AD38+AD39</f>
        <v>0</v>
      </c>
      <c r="AI38" s="327" t="n">
        <v>0</v>
      </c>
      <c r="AJ38" s="327"/>
      <c r="AK38" s="327" t="n">
        <f aca="false">AI38+AJ38</f>
        <v>0</v>
      </c>
      <c r="AL38" s="327"/>
      <c r="AM38" s="327" t="n">
        <f aca="false">AK38-AL38</f>
        <v>0</v>
      </c>
      <c r="AN38" s="333" t="n">
        <f aca="false">AI38+AI39+AJ38+AJ39</f>
        <v>0</v>
      </c>
      <c r="AO38" s="327" t="n">
        <v>0</v>
      </c>
      <c r="AP38" s="327"/>
      <c r="AQ38" s="327" t="n">
        <f aca="false">AO38+AP38</f>
        <v>0</v>
      </c>
      <c r="AR38" s="327"/>
      <c r="AS38" s="327" t="n">
        <f aca="false">AQ38-AR38</f>
        <v>0</v>
      </c>
      <c r="AT38" s="356" t="n">
        <f aca="false">AO38+AO39+AP38+AP39</f>
        <v>0</v>
      </c>
      <c r="AU38" s="327" t="n">
        <f aca="false">E38+K38+Q38+W38+AC38+AI38+AO38</f>
        <v>0</v>
      </c>
      <c r="AV38" s="336" t="n">
        <f aca="false">F38+L38+R38+X38+AD38+AJ38+AP38</f>
        <v>0</v>
      </c>
      <c r="AW38" s="85" t="n">
        <f aca="false">0.7652</f>
        <v>0.7652</v>
      </c>
      <c r="AX38" s="336" t="n">
        <f aca="false">AU38+AV38+AW38</f>
        <v>0.7652</v>
      </c>
      <c r="AY38" s="337" t="n">
        <f aca="false">H38+N38+T38+Z38+AF38+AL38+AR38</f>
        <v>0</v>
      </c>
      <c r="AZ38" s="328" t="n">
        <f aca="false">AX38-AY38</f>
        <v>0.7652</v>
      </c>
      <c r="BA38" s="338" t="n">
        <f aca="false">AY38/AX38</f>
        <v>0</v>
      </c>
      <c r="BB38" s="329" t="n">
        <f aca="false">AU38+AU39+AV38+AV39+AW38+AW39</f>
        <v>0.7652</v>
      </c>
      <c r="BC38" s="329" t="n">
        <f aca="false">AY38+AY39</f>
        <v>0</v>
      </c>
      <c r="BD38" s="329" t="n">
        <f aca="false">BB38-BC38</f>
        <v>0.7652</v>
      </c>
      <c r="BE38" s="342" t="n">
        <f aca="false">BC38/BB38</f>
        <v>0</v>
      </c>
    </row>
    <row r="39" customFormat="false" ht="14.4" hidden="false" customHeight="false" outlineLevel="0" collapsed="false">
      <c r="A39" s="252"/>
      <c r="B39" s="355"/>
      <c r="C39" s="268" t="n">
        <v>41883</v>
      </c>
      <c r="D39" s="269" t="n">
        <v>42004</v>
      </c>
      <c r="E39" s="88" t="n">
        <v>0</v>
      </c>
      <c r="F39" s="88"/>
      <c r="G39" s="88" t="n">
        <f aca="false">E39+F39+I38</f>
        <v>0</v>
      </c>
      <c r="H39" s="187"/>
      <c r="I39" s="351" t="n">
        <f aca="false">G39-H39</f>
        <v>0</v>
      </c>
      <c r="J39" s="169"/>
      <c r="K39" s="351" t="n">
        <v>0</v>
      </c>
      <c r="L39" s="308"/>
      <c r="M39" s="308" t="n">
        <f aca="false">K39+L39+O38</f>
        <v>0</v>
      </c>
      <c r="N39" s="308"/>
      <c r="O39" s="308" t="n">
        <f aca="false">M39-N39</f>
        <v>0</v>
      </c>
      <c r="P39" s="329"/>
      <c r="Q39" s="351" t="n">
        <v>0</v>
      </c>
      <c r="R39" s="308"/>
      <c r="S39" s="308" t="n">
        <f aca="false">Q39+R39+U38</f>
        <v>0</v>
      </c>
      <c r="T39" s="308"/>
      <c r="U39" s="308" t="n">
        <f aca="false">S39-T39</f>
        <v>0</v>
      </c>
      <c r="V39" s="329"/>
      <c r="W39" s="351" t="n">
        <v>0</v>
      </c>
      <c r="X39" s="308"/>
      <c r="Y39" s="308" t="n">
        <f aca="false">W39+X39+AA38</f>
        <v>0</v>
      </c>
      <c r="Z39" s="308"/>
      <c r="AA39" s="308" t="n">
        <f aca="false">Y39-Z39</f>
        <v>0</v>
      </c>
      <c r="AB39" s="329"/>
      <c r="AC39" s="308" t="n">
        <v>0</v>
      </c>
      <c r="AD39" s="308"/>
      <c r="AE39" s="308" t="n">
        <f aca="false">AC39+AD39+AG38</f>
        <v>0</v>
      </c>
      <c r="AF39" s="308"/>
      <c r="AG39" s="308" t="n">
        <f aca="false">AE39-AF39</f>
        <v>0</v>
      </c>
      <c r="AH39" s="329"/>
      <c r="AI39" s="308" t="n">
        <v>0</v>
      </c>
      <c r="AJ39" s="308"/>
      <c r="AK39" s="308" t="n">
        <f aca="false">AI39+AJ39+AM38</f>
        <v>0</v>
      </c>
      <c r="AL39" s="308"/>
      <c r="AM39" s="308" t="n">
        <f aca="false">AK39-AL39</f>
        <v>0</v>
      </c>
      <c r="AN39" s="333"/>
      <c r="AO39" s="308" t="n">
        <v>0</v>
      </c>
      <c r="AP39" s="308"/>
      <c r="AQ39" s="308" t="n">
        <f aca="false">AO39+AP39+AS38</f>
        <v>0</v>
      </c>
      <c r="AR39" s="308"/>
      <c r="AS39" s="308" t="n">
        <f aca="false">AQ39-AR39</f>
        <v>0</v>
      </c>
      <c r="AT39" s="356"/>
      <c r="AU39" s="308" t="n">
        <f aca="false">E39+K39+Q39+W39+AC39+AI39+AO39</f>
        <v>0</v>
      </c>
      <c r="AV39" s="351" t="n">
        <f aca="false">F39+L39+R39+X39+AD39+AJ39+AP39</f>
        <v>0</v>
      </c>
      <c r="AW39" s="351"/>
      <c r="AX39" s="351" t="n">
        <f aca="false">AU39+AV39+AZ38+AW39</f>
        <v>0.7652</v>
      </c>
      <c r="AY39" s="352" t="n">
        <f aca="false">H39+N39+T39+Z39+AF39+AL39+AR39</f>
        <v>0</v>
      </c>
      <c r="AZ39" s="344" t="n">
        <f aca="false">AX39-AY39</f>
        <v>0.7652</v>
      </c>
      <c r="BA39" s="353" t="n">
        <f aca="false">AY39/AX39</f>
        <v>0</v>
      </c>
      <c r="BB39" s="329"/>
      <c r="BC39" s="329"/>
      <c r="BD39" s="329"/>
      <c r="BE39" s="342"/>
    </row>
    <row r="40" customFormat="false" ht="14.4" hidden="false" customHeight="true" outlineLevel="0" collapsed="false">
      <c r="A40" s="252"/>
      <c r="B40" s="357" t="s">
        <v>167</v>
      </c>
      <c r="C40" s="254" t="n">
        <v>41640</v>
      </c>
      <c r="D40" s="255" t="n">
        <v>41882</v>
      </c>
      <c r="E40" s="89" t="n">
        <v>0</v>
      </c>
      <c r="F40" s="89"/>
      <c r="G40" s="89" t="n">
        <f aca="false">E40+F40</f>
        <v>0</v>
      </c>
      <c r="H40" s="185"/>
      <c r="I40" s="336" t="n">
        <f aca="false">G40-H40</f>
        <v>0</v>
      </c>
      <c r="J40" s="169" t="n">
        <f aca="false">E40+E41+F40+F41</f>
        <v>0</v>
      </c>
      <c r="K40" s="336" t="n">
        <v>0</v>
      </c>
      <c r="L40" s="327"/>
      <c r="M40" s="327" t="n">
        <f aca="false">K40+L40</f>
        <v>0</v>
      </c>
      <c r="N40" s="327"/>
      <c r="O40" s="327" t="n">
        <f aca="false">M40-N40</f>
        <v>0</v>
      </c>
      <c r="P40" s="329" t="n">
        <f aca="false">K40+K41+L40+L41</f>
        <v>0</v>
      </c>
      <c r="Q40" s="336" t="n">
        <v>0</v>
      </c>
      <c r="R40" s="327"/>
      <c r="S40" s="327" t="n">
        <f aca="false">Q40+R40</f>
        <v>0</v>
      </c>
      <c r="T40" s="327"/>
      <c r="U40" s="327" t="n">
        <f aca="false">S40-T40</f>
        <v>0</v>
      </c>
      <c r="V40" s="329" t="n">
        <f aca="false">Q40+Q41+R40+R41</f>
        <v>0</v>
      </c>
      <c r="W40" s="336" t="n">
        <v>0</v>
      </c>
      <c r="X40" s="327"/>
      <c r="Y40" s="327" t="n">
        <f aca="false">W40+X40</f>
        <v>0</v>
      </c>
      <c r="Z40" s="327"/>
      <c r="AA40" s="327" t="n">
        <f aca="false">Y40-Z40</f>
        <v>0</v>
      </c>
      <c r="AB40" s="329" t="n">
        <f aca="false">W40+W41+X40+X41</f>
        <v>0</v>
      </c>
      <c r="AC40" s="327" t="n">
        <v>0</v>
      </c>
      <c r="AD40" s="327"/>
      <c r="AE40" s="327" t="n">
        <f aca="false">AC40+AD40</f>
        <v>0</v>
      </c>
      <c r="AF40" s="327"/>
      <c r="AG40" s="327" t="n">
        <f aca="false">AE40-AF40</f>
        <v>0</v>
      </c>
      <c r="AH40" s="329" t="n">
        <f aca="false">AC40+AC41+AD40+AD41</f>
        <v>0</v>
      </c>
      <c r="AI40" s="327" t="n">
        <v>0</v>
      </c>
      <c r="AJ40" s="327"/>
      <c r="AK40" s="327" t="n">
        <f aca="false">AI40+AJ40</f>
        <v>0</v>
      </c>
      <c r="AL40" s="327"/>
      <c r="AM40" s="327" t="n">
        <f aca="false">AK40-AL40</f>
        <v>0</v>
      </c>
      <c r="AN40" s="333" t="n">
        <f aca="false">AI40+AI41+AJ40+AJ41</f>
        <v>0</v>
      </c>
      <c r="AO40" s="327" t="n">
        <v>0</v>
      </c>
      <c r="AP40" s="327"/>
      <c r="AQ40" s="327" t="n">
        <f aca="false">AO40+AP40</f>
        <v>0</v>
      </c>
      <c r="AR40" s="327"/>
      <c r="AS40" s="327" t="n">
        <f aca="false">AQ40-AR40</f>
        <v>0</v>
      </c>
      <c r="AT40" s="356" t="n">
        <f aca="false">AO40+AO41+AP40+AP41</f>
        <v>0</v>
      </c>
      <c r="AU40" s="327" t="n">
        <f aca="false">E40+K40+Q40+W40+AC40+AI40+AO40</f>
        <v>0</v>
      </c>
      <c r="AV40" s="336" t="n">
        <f aca="false">F40+L40+R40+X40+AD40+AJ40+AP40</f>
        <v>0</v>
      </c>
      <c r="AW40" s="85" t="n">
        <f aca="false">0.0348</f>
        <v>0.0348</v>
      </c>
      <c r="AX40" s="336" t="n">
        <f aca="false">AU40+AV40+AW40</f>
        <v>0.0348</v>
      </c>
      <c r="AY40" s="337" t="n">
        <f aca="false">H40+N40+T40+Z40+AF40+AL40+AR40</f>
        <v>0</v>
      </c>
      <c r="AZ40" s="328" t="n">
        <f aca="false">AX40-AY40</f>
        <v>0.0348</v>
      </c>
      <c r="BA40" s="338" t="n">
        <f aca="false">AY40/AX40</f>
        <v>0</v>
      </c>
      <c r="BB40" s="329" t="n">
        <f aca="false">AU40+AU41+AV40+AV41+AW40+AW41</f>
        <v>0.0348</v>
      </c>
      <c r="BC40" s="329" t="n">
        <f aca="false">AY40+AY41</f>
        <v>0</v>
      </c>
      <c r="BD40" s="329" t="n">
        <f aca="false">BB40-BC40</f>
        <v>0.0348</v>
      </c>
      <c r="BE40" s="342" t="n">
        <f aca="false">BC40/BB40</f>
        <v>0</v>
      </c>
    </row>
    <row r="41" customFormat="false" ht="14.4" hidden="false" customHeight="false" outlineLevel="0" collapsed="false">
      <c r="A41" s="252"/>
      <c r="B41" s="357"/>
      <c r="C41" s="268" t="n">
        <v>41883</v>
      </c>
      <c r="D41" s="269" t="n">
        <v>42004</v>
      </c>
      <c r="E41" s="88" t="n">
        <v>0</v>
      </c>
      <c r="F41" s="88"/>
      <c r="G41" s="88" t="n">
        <f aca="false">E41+F41+I40</f>
        <v>0</v>
      </c>
      <c r="H41" s="187"/>
      <c r="I41" s="351" t="n">
        <f aca="false">G41-H41</f>
        <v>0</v>
      </c>
      <c r="J41" s="169"/>
      <c r="K41" s="351" t="n">
        <v>0</v>
      </c>
      <c r="L41" s="308"/>
      <c r="M41" s="308" t="n">
        <f aca="false">K41+L41+O40</f>
        <v>0</v>
      </c>
      <c r="N41" s="308"/>
      <c r="O41" s="308" t="n">
        <f aca="false">M41-N41</f>
        <v>0</v>
      </c>
      <c r="P41" s="329"/>
      <c r="Q41" s="351" t="n">
        <v>0</v>
      </c>
      <c r="R41" s="308"/>
      <c r="S41" s="308" t="n">
        <f aca="false">Q41+R41+U40</f>
        <v>0</v>
      </c>
      <c r="T41" s="308"/>
      <c r="U41" s="308" t="n">
        <f aca="false">S41-T41</f>
        <v>0</v>
      </c>
      <c r="V41" s="329"/>
      <c r="W41" s="351" t="n">
        <v>0</v>
      </c>
      <c r="X41" s="308"/>
      <c r="Y41" s="308" t="n">
        <f aca="false">W41+X41+AA40</f>
        <v>0</v>
      </c>
      <c r="Z41" s="308"/>
      <c r="AA41" s="308" t="n">
        <f aca="false">Y41-Z41</f>
        <v>0</v>
      </c>
      <c r="AB41" s="329"/>
      <c r="AC41" s="308" t="n">
        <v>0</v>
      </c>
      <c r="AD41" s="308"/>
      <c r="AE41" s="308" t="n">
        <f aca="false">AC41+AD41+AG40</f>
        <v>0</v>
      </c>
      <c r="AF41" s="308"/>
      <c r="AG41" s="308" t="n">
        <f aca="false">AE41-AF41</f>
        <v>0</v>
      </c>
      <c r="AH41" s="329"/>
      <c r="AI41" s="308" t="n">
        <v>0</v>
      </c>
      <c r="AJ41" s="308"/>
      <c r="AK41" s="308" t="n">
        <f aca="false">AI41+AJ41+AM40</f>
        <v>0</v>
      </c>
      <c r="AL41" s="308"/>
      <c r="AM41" s="308" t="n">
        <f aca="false">AK41-AL41</f>
        <v>0</v>
      </c>
      <c r="AN41" s="333"/>
      <c r="AO41" s="308" t="n">
        <v>0</v>
      </c>
      <c r="AP41" s="308"/>
      <c r="AQ41" s="308" t="n">
        <f aca="false">AO41+AP41+AS40</f>
        <v>0</v>
      </c>
      <c r="AR41" s="308"/>
      <c r="AS41" s="308" t="n">
        <f aca="false">AQ41-AR41</f>
        <v>0</v>
      </c>
      <c r="AT41" s="356"/>
      <c r="AU41" s="308" t="n">
        <f aca="false">E41+K41+Q41+W41+AC41+AI41+AO41</f>
        <v>0</v>
      </c>
      <c r="AV41" s="351" t="n">
        <f aca="false">F41+L41+R41+X41+AD41+AJ41+AP41</f>
        <v>0</v>
      </c>
      <c r="AW41" s="351"/>
      <c r="AX41" s="351" t="n">
        <f aca="false">AU41+AV41+AZ40+AW41</f>
        <v>0.0348</v>
      </c>
      <c r="AY41" s="352" t="n">
        <f aca="false">H41+N41+T41+Z41+AF41+AL41+AR41</f>
        <v>0</v>
      </c>
      <c r="AZ41" s="344" t="n">
        <f aca="false">AX41-AY41</f>
        <v>0.0348</v>
      </c>
      <c r="BA41" s="353" t="n">
        <f aca="false">AY41/AX41</f>
        <v>0</v>
      </c>
      <c r="BB41" s="329"/>
      <c r="BC41" s="329"/>
      <c r="BD41" s="329"/>
      <c r="BE41" s="342"/>
    </row>
    <row r="42" customFormat="false" ht="14.4" hidden="false" customHeight="true" outlineLevel="0" collapsed="false">
      <c r="A42" s="252"/>
      <c r="B42" s="358" t="s">
        <v>168</v>
      </c>
      <c r="C42" s="254" t="n">
        <v>41640</v>
      </c>
      <c r="D42" s="255" t="n">
        <v>41882</v>
      </c>
      <c r="E42" s="89" t="n">
        <v>0</v>
      </c>
      <c r="F42" s="89"/>
      <c r="G42" s="89" t="n">
        <f aca="false">E42+F42</f>
        <v>0</v>
      </c>
      <c r="H42" s="185"/>
      <c r="I42" s="336" t="n">
        <f aca="false">G42-H42</f>
        <v>0</v>
      </c>
      <c r="J42" s="169" t="n">
        <f aca="false">E42+E43+F42+F43</f>
        <v>0</v>
      </c>
      <c r="K42" s="336" t="n">
        <v>0</v>
      </c>
      <c r="L42" s="327"/>
      <c r="M42" s="327" t="n">
        <f aca="false">K42+L42</f>
        <v>0</v>
      </c>
      <c r="N42" s="327"/>
      <c r="O42" s="327" t="n">
        <f aca="false">M42-N42</f>
        <v>0</v>
      </c>
      <c r="P42" s="329" t="n">
        <f aca="false">K42+K43+L42+L43</f>
        <v>0</v>
      </c>
      <c r="Q42" s="336" t="n">
        <v>0</v>
      </c>
      <c r="R42" s="327"/>
      <c r="S42" s="327" t="n">
        <f aca="false">Q42+R42</f>
        <v>0</v>
      </c>
      <c r="T42" s="327"/>
      <c r="U42" s="327" t="n">
        <f aca="false">S42-T42</f>
        <v>0</v>
      </c>
      <c r="V42" s="329" t="n">
        <f aca="false">Q42+Q43+R42+R43</f>
        <v>0</v>
      </c>
      <c r="W42" s="336" t="n">
        <v>0</v>
      </c>
      <c r="X42" s="327"/>
      <c r="Y42" s="327" t="n">
        <f aca="false">W42+X42</f>
        <v>0</v>
      </c>
      <c r="Z42" s="327"/>
      <c r="AA42" s="327" t="n">
        <f aca="false">Y42-Z42</f>
        <v>0</v>
      </c>
      <c r="AB42" s="329" t="n">
        <f aca="false">W42+W43+X42+X43</f>
        <v>0</v>
      </c>
      <c r="AC42" s="327" t="n">
        <v>0</v>
      </c>
      <c r="AD42" s="327"/>
      <c r="AE42" s="327" t="n">
        <f aca="false">AC42+AD42</f>
        <v>0</v>
      </c>
      <c r="AF42" s="327"/>
      <c r="AG42" s="327" t="n">
        <f aca="false">AE42-AF42</f>
        <v>0</v>
      </c>
      <c r="AH42" s="329" t="n">
        <f aca="false">AC42+AC43+AD42+AD43</f>
        <v>0</v>
      </c>
      <c r="AI42" s="327" t="n">
        <v>0</v>
      </c>
      <c r="AJ42" s="327"/>
      <c r="AK42" s="327" t="n">
        <f aca="false">AI42+AJ42</f>
        <v>0</v>
      </c>
      <c r="AL42" s="327"/>
      <c r="AM42" s="327" t="n">
        <f aca="false">AK42-AL42</f>
        <v>0</v>
      </c>
      <c r="AN42" s="333" t="n">
        <f aca="false">AI42+AI43+AJ42+AJ43</f>
        <v>0</v>
      </c>
      <c r="AO42" s="327" t="n">
        <v>0</v>
      </c>
      <c r="AP42" s="327"/>
      <c r="AQ42" s="327" t="n">
        <f aca="false">AO42+AP42</f>
        <v>0</v>
      </c>
      <c r="AR42" s="327"/>
      <c r="AS42" s="327" t="n">
        <f aca="false">AQ42-AR42</f>
        <v>0</v>
      </c>
      <c r="AT42" s="356" t="n">
        <f aca="false">AO42+AO43+AP42+AP43</f>
        <v>0</v>
      </c>
      <c r="AU42" s="327" t="n">
        <f aca="false">E42+K42+Q42+W42+AC42+AI42+AO42</f>
        <v>0</v>
      </c>
      <c r="AV42" s="336" t="n">
        <f aca="false">F42+L42+R42+X42+AD42+AJ42+AP42</f>
        <v>0</v>
      </c>
      <c r="AW42" s="85" t="n">
        <f aca="false">0.03478</f>
        <v>0.03478</v>
      </c>
      <c r="AX42" s="336" t="n">
        <f aca="false">AU42+AV42+AW42</f>
        <v>0.03478</v>
      </c>
      <c r="AY42" s="337" t="n">
        <f aca="false">H42+N42+T42+Z42+AF42+AL42+AR42</f>
        <v>0</v>
      </c>
      <c r="AZ42" s="328" t="n">
        <f aca="false">AX42-AY42</f>
        <v>0.03478</v>
      </c>
      <c r="BA42" s="338" t="n">
        <f aca="false">AY42/AX42</f>
        <v>0</v>
      </c>
      <c r="BB42" s="329" t="n">
        <f aca="false">AU42+AU43+AV42+AV43+AW42+AW43</f>
        <v>0.03478</v>
      </c>
      <c r="BC42" s="329" t="n">
        <f aca="false">AY42+AY43</f>
        <v>0</v>
      </c>
      <c r="BD42" s="329" t="n">
        <f aca="false">BB42-BC42</f>
        <v>0.03478</v>
      </c>
      <c r="BE42" s="342" t="n">
        <f aca="false">BC42/BB42</f>
        <v>0</v>
      </c>
    </row>
    <row r="43" customFormat="false" ht="14.4" hidden="false" customHeight="false" outlineLevel="0" collapsed="false">
      <c r="A43" s="252"/>
      <c r="B43" s="358"/>
      <c r="C43" s="268" t="n">
        <v>41883</v>
      </c>
      <c r="D43" s="269" t="n">
        <v>42004</v>
      </c>
      <c r="E43" s="88" t="n">
        <v>0</v>
      </c>
      <c r="F43" s="88"/>
      <c r="G43" s="88" t="n">
        <f aca="false">E43+F43+I42</f>
        <v>0</v>
      </c>
      <c r="H43" s="187"/>
      <c r="I43" s="351" t="n">
        <f aca="false">G43-H43</f>
        <v>0</v>
      </c>
      <c r="J43" s="169"/>
      <c r="K43" s="351" t="n">
        <v>0</v>
      </c>
      <c r="L43" s="308"/>
      <c r="M43" s="308" t="n">
        <f aca="false">K43+L43+O42</f>
        <v>0</v>
      </c>
      <c r="N43" s="308"/>
      <c r="O43" s="308" t="n">
        <f aca="false">M43-N43</f>
        <v>0</v>
      </c>
      <c r="P43" s="329"/>
      <c r="Q43" s="351" t="n">
        <v>0</v>
      </c>
      <c r="R43" s="308"/>
      <c r="S43" s="308" t="n">
        <f aca="false">Q43+R43+U42</f>
        <v>0</v>
      </c>
      <c r="T43" s="308"/>
      <c r="U43" s="308" t="n">
        <f aca="false">S43-T43</f>
        <v>0</v>
      </c>
      <c r="V43" s="329"/>
      <c r="W43" s="351" t="n">
        <v>0</v>
      </c>
      <c r="X43" s="308"/>
      <c r="Y43" s="308" t="n">
        <f aca="false">W43+X43+AA42</f>
        <v>0</v>
      </c>
      <c r="Z43" s="308"/>
      <c r="AA43" s="308" t="n">
        <f aca="false">Y43-Z43</f>
        <v>0</v>
      </c>
      <c r="AB43" s="329"/>
      <c r="AC43" s="308" t="n">
        <v>0</v>
      </c>
      <c r="AD43" s="308"/>
      <c r="AE43" s="308" t="n">
        <f aca="false">AC43+AD43+AG42</f>
        <v>0</v>
      </c>
      <c r="AF43" s="308"/>
      <c r="AG43" s="308" t="n">
        <f aca="false">AE43-AF43</f>
        <v>0</v>
      </c>
      <c r="AH43" s="329"/>
      <c r="AI43" s="308" t="n">
        <v>0</v>
      </c>
      <c r="AJ43" s="308"/>
      <c r="AK43" s="308" t="n">
        <f aca="false">AI43+AJ43+AM42</f>
        <v>0</v>
      </c>
      <c r="AL43" s="308"/>
      <c r="AM43" s="308" t="n">
        <f aca="false">AK43-AL43</f>
        <v>0</v>
      </c>
      <c r="AN43" s="333"/>
      <c r="AO43" s="308" t="n">
        <v>0</v>
      </c>
      <c r="AP43" s="308"/>
      <c r="AQ43" s="308" t="n">
        <f aca="false">AO43+AP43+AS42</f>
        <v>0</v>
      </c>
      <c r="AR43" s="308"/>
      <c r="AS43" s="308" t="n">
        <f aca="false">AQ43-AR43</f>
        <v>0</v>
      </c>
      <c r="AT43" s="356"/>
      <c r="AU43" s="308" t="n">
        <f aca="false">E43+K43+Q43+W43+AC43+AI43+AO43</f>
        <v>0</v>
      </c>
      <c r="AV43" s="351" t="n">
        <f aca="false">F43+L43+R43+X43+AD43+AJ43+AP43</f>
        <v>0</v>
      </c>
      <c r="AW43" s="351"/>
      <c r="AX43" s="351" t="n">
        <f aca="false">AU43+AV43+AZ42+AW43</f>
        <v>0.03478</v>
      </c>
      <c r="AY43" s="352" t="n">
        <f aca="false">H43+N43+T43+Z43+AF43+AL43+AR43</f>
        <v>0</v>
      </c>
      <c r="AZ43" s="344" t="n">
        <f aca="false">AX43-AY43</f>
        <v>0.03478</v>
      </c>
      <c r="BA43" s="353" t="n">
        <f aca="false">AY43/AX43</f>
        <v>0</v>
      </c>
      <c r="BB43" s="329"/>
      <c r="BC43" s="329"/>
      <c r="BD43" s="329"/>
      <c r="BE43" s="342"/>
    </row>
    <row r="44" customFormat="false" ht="14.4" hidden="false" customHeight="true" outlineLevel="0" collapsed="false">
      <c r="A44" s="252"/>
      <c r="B44" s="358" t="s">
        <v>169</v>
      </c>
      <c r="C44" s="254" t="n">
        <v>41640</v>
      </c>
      <c r="D44" s="255" t="n">
        <v>41882</v>
      </c>
      <c r="E44" s="89" t="n">
        <v>0</v>
      </c>
      <c r="F44" s="89"/>
      <c r="G44" s="89" t="n">
        <f aca="false">E44+F44</f>
        <v>0</v>
      </c>
      <c r="H44" s="185"/>
      <c r="I44" s="336" t="n">
        <f aca="false">G44-H44</f>
        <v>0</v>
      </c>
      <c r="J44" s="169" t="n">
        <f aca="false">E44+E45+F44+F45</f>
        <v>0</v>
      </c>
      <c r="K44" s="336" t="n">
        <v>0</v>
      </c>
      <c r="L44" s="327"/>
      <c r="M44" s="327" t="n">
        <f aca="false">K44+L44</f>
        <v>0</v>
      </c>
      <c r="N44" s="327"/>
      <c r="O44" s="327" t="n">
        <f aca="false">M44-N44</f>
        <v>0</v>
      </c>
      <c r="P44" s="329" t="n">
        <f aca="false">K44+K45+L44+L45</f>
        <v>0</v>
      </c>
      <c r="Q44" s="336" t="n">
        <v>0</v>
      </c>
      <c r="R44" s="327"/>
      <c r="S44" s="327" t="n">
        <f aca="false">Q44+R44</f>
        <v>0</v>
      </c>
      <c r="T44" s="327"/>
      <c r="U44" s="327" t="n">
        <f aca="false">S44-T44</f>
        <v>0</v>
      </c>
      <c r="V44" s="329" t="n">
        <f aca="false">Q44+Q45+R44+R45</f>
        <v>0</v>
      </c>
      <c r="W44" s="336" t="n">
        <v>0</v>
      </c>
      <c r="X44" s="327"/>
      <c r="Y44" s="327" t="n">
        <f aca="false">W44+X44</f>
        <v>0</v>
      </c>
      <c r="Z44" s="327"/>
      <c r="AA44" s="327" t="n">
        <f aca="false">Y44-Z44</f>
        <v>0</v>
      </c>
      <c r="AB44" s="329" t="n">
        <f aca="false">W44+W45+X44+X45</f>
        <v>0</v>
      </c>
      <c r="AC44" s="327" t="n">
        <v>0</v>
      </c>
      <c r="AD44" s="327"/>
      <c r="AE44" s="327" t="n">
        <f aca="false">AC44+AD44</f>
        <v>0</v>
      </c>
      <c r="AF44" s="327"/>
      <c r="AG44" s="327" t="n">
        <f aca="false">AE44-AF44</f>
        <v>0</v>
      </c>
      <c r="AH44" s="329" t="n">
        <f aca="false">AC44+AC45+AD44+AD45</f>
        <v>0</v>
      </c>
      <c r="AI44" s="327" t="n">
        <v>0</v>
      </c>
      <c r="AJ44" s="327"/>
      <c r="AK44" s="327" t="n">
        <f aca="false">AI44+AJ44</f>
        <v>0</v>
      </c>
      <c r="AL44" s="327"/>
      <c r="AM44" s="327" t="n">
        <f aca="false">AK44-AL44</f>
        <v>0</v>
      </c>
      <c r="AN44" s="333" t="n">
        <f aca="false">AI44+AI45+AJ44+AJ45</f>
        <v>0</v>
      </c>
      <c r="AO44" s="327" t="n">
        <v>0</v>
      </c>
      <c r="AP44" s="327"/>
      <c r="AQ44" s="327" t="n">
        <f aca="false">AO44+AP44</f>
        <v>0</v>
      </c>
      <c r="AR44" s="327"/>
      <c r="AS44" s="327" t="n">
        <f aca="false">AQ44-AR44</f>
        <v>0</v>
      </c>
      <c r="AT44" s="356" t="n">
        <f aca="false">AO44+AO45+AP44+AP45</f>
        <v>0</v>
      </c>
      <c r="AU44" s="327" t="n">
        <f aca="false">E44+K44+Q44+W44+AC44+AI44+AO44</f>
        <v>0</v>
      </c>
      <c r="AV44" s="336" t="n">
        <f aca="false">F44+L44+R44+X44+AD44+AJ44+AP44</f>
        <v>0</v>
      </c>
      <c r="AW44" s="85" t="n">
        <f aca="false">0.06964</f>
        <v>0.06964</v>
      </c>
      <c r="AX44" s="336" t="n">
        <f aca="false">AU44+AV44+AW44</f>
        <v>0.06964</v>
      </c>
      <c r="AY44" s="337" t="n">
        <f aca="false">H44+N44+T44+Z44+AF44+AL44+AR44</f>
        <v>0</v>
      </c>
      <c r="AZ44" s="328" t="n">
        <f aca="false">AX44-AY44</f>
        <v>0.06964</v>
      </c>
      <c r="BA44" s="338" t="n">
        <f aca="false">AY44/AX44</f>
        <v>0</v>
      </c>
      <c r="BB44" s="329" t="n">
        <f aca="false">AU44+AU45+AV44+AV45+AW44+AW45</f>
        <v>0.06964</v>
      </c>
      <c r="BC44" s="329" t="n">
        <f aca="false">AY44+AY45</f>
        <v>0</v>
      </c>
      <c r="BD44" s="329" t="n">
        <f aca="false">BB44-BC44</f>
        <v>0.06964</v>
      </c>
      <c r="BE44" s="342" t="n">
        <f aca="false">BC44/BB44</f>
        <v>0</v>
      </c>
    </row>
    <row r="45" customFormat="false" ht="14.4" hidden="false" customHeight="false" outlineLevel="0" collapsed="false">
      <c r="A45" s="252"/>
      <c r="B45" s="358"/>
      <c r="C45" s="268" t="n">
        <v>41883</v>
      </c>
      <c r="D45" s="269" t="n">
        <v>42004</v>
      </c>
      <c r="E45" s="88" t="n">
        <v>0</v>
      </c>
      <c r="F45" s="88"/>
      <c r="G45" s="88" t="n">
        <f aca="false">E45+F45+I44</f>
        <v>0</v>
      </c>
      <c r="H45" s="187"/>
      <c r="I45" s="351" t="n">
        <f aca="false">G45-H45</f>
        <v>0</v>
      </c>
      <c r="J45" s="169"/>
      <c r="K45" s="351" t="n">
        <v>0</v>
      </c>
      <c r="L45" s="308"/>
      <c r="M45" s="308" t="n">
        <f aca="false">K45+L45+O44</f>
        <v>0</v>
      </c>
      <c r="N45" s="308"/>
      <c r="O45" s="308" t="n">
        <f aca="false">M45-N45</f>
        <v>0</v>
      </c>
      <c r="P45" s="329"/>
      <c r="Q45" s="351" t="n">
        <v>0</v>
      </c>
      <c r="R45" s="308"/>
      <c r="S45" s="308" t="n">
        <f aca="false">Q45+R45+U44</f>
        <v>0</v>
      </c>
      <c r="T45" s="308"/>
      <c r="U45" s="308" t="n">
        <f aca="false">S45-T45</f>
        <v>0</v>
      </c>
      <c r="V45" s="329"/>
      <c r="W45" s="351" t="n">
        <v>0</v>
      </c>
      <c r="X45" s="308"/>
      <c r="Y45" s="308" t="n">
        <f aca="false">W45+X45+AA44</f>
        <v>0</v>
      </c>
      <c r="Z45" s="308"/>
      <c r="AA45" s="308" t="n">
        <f aca="false">Y45-Z45</f>
        <v>0</v>
      </c>
      <c r="AB45" s="329"/>
      <c r="AC45" s="308" t="n">
        <v>0</v>
      </c>
      <c r="AD45" s="308"/>
      <c r="AE45" s="308" t="n">
        <f aca="false">AC45+AD45+AG44</f>
        <v>0</v>
      </c>
      <c r="AF45" s="308"/>
      <c r="AG45" s="308" t="n">
        <f aca="false">AE45-AF45</f>
        <v>0</v>
      </c>
      <c r="AH45" s="329"/>
      <c r="AI45" s="308" t="n">
        <v>0</v>
      </c>
      <c r="AJ45" s="308"/>
      <c r="AK45" s="308" t="n">
        <f aca="false">AI45+AJ45+AM44</f>
        <v>0</v>
      </c>
      <c r="AL45" s="308"/>
      <c r="AM45" s="308" t="n">
        <f aca="false">AK45-AL45</f>
        <v>0</v>
      </c>
      <c r="AN45" s="333"/>
      <c r="AO45" s="308" t="n">
        <v>0</v>
      </c>
      <c r="AP45" s="308"/>
      <c r="AQ45" s="308" t="n">
        <f aca="false">AO45+AP45+AS44</f>
        <v>0</v>
      </c>
      <c r="AR45" s="308"/>
      <c r="AS45" s="308" t="n">
        <f aca="false">AQ45-AR45</f>
        <v>0</v>
      </c>
      <c r="AT45" s="356"/>
      <c r="AU45" s="308" t="n">
        <f aca="false">E45+K45+Q45+W45+AC45+AI45+AO45</f>
        <v>0</v>
      </c>
      <c r="AV45" s="351" t="n">
        <f aca="false">F45+L45+R45+X45+AD45+AJ45+AP45</f>
        <v>0</v>
      </c>
      <c r="AW45" s="351"/>
      <c r="AX45" s="351" t="n">
        <f aca="false">AU45+AV45+AZ44+AW45</f>
        <v>0.06964</v>
      </c>
      <c r="AY45" s="352" t="n">
        <f aca="false">H45+N45+T45+Z45+AF45+AL45+AR45</f>
        <v>0</v>
      </c>
      <c r="AZ45" s="344" t="n">
        <f aca="false">AX45-AY45</f>
        <v>0.06964</v>
      </c>
      <c r="BA45" s="353" t="n">
        <f aca="false">AY45/AX45</f>
        <v>0</v>
      </c>
      <c r="BB45" s="329"/>
      <c r="BC45" s="329"/>
      <c r="BD45" s="329"/>
      <c r="BE45" s="342"/>
    </row>
    <row r="46" customFormat="false" ht="14.4" hidden="false" customHeight="true" outlineLevel="0" collapsed="false">
      <c r="A46" s="252"/>
      <c r="B46" s="358" t="s">
        <v>170</v>
      </c>
      <c r="C46" s="254" t="n">
        <v>41640</v>
      </c>
      <c r="D46" s="255" t="n">
        <v>41882</v>
      </c>
      <c r="E46" s="89" t="n">
        <v>0</v>
      </c>
      <c r="F46" s="89"/>
      <c r="G46" s="89" t="n">
        <f aca="false">E46+F46</f>
        <v>0</v>
      </c>
      <c r="H46" s="185"/>
      <c r="I46" s="336" t="n">
        <f aca="false">G46-H46</f>
        <v>0</v>
      </c>
      <c r="J46" s="169" t="n">
        <f aca="false">E46+E47+F46+F47</f>
        <v>0</v>
      </c>
      <c r="K46" s="336" t="n">
        <v>0</v>
      </c>
      <c r="L46" s="327"/>
      <c r="M46" s="327" t="n">
        <f aca="false">K46+L46</f>
        <v>0</v>
      </c>
      <c r="N46" s="327"/>
      <c r="O46" s="327" t="n">
        <f aca="false">M46-N46</f>
        <v>0</v>
      </c>
      <c r="P46" s="329" t="n">
        <f aca="false">K46+K47+L46+L47</f>
        <v>0</v>
      </c>
      <c r="Q46" s="336" t="n">
        <v>0</v>
      </c>
      <c r="R46" s="327"/>
      <c r="S46" s="327" t="n">
        <f aca="false">Q46+R46</f>
        <v>0</v>
      </c>
      <c r="T46" s="327"/>
      <c r="U46" s="327" t="n">
        <f aca="false">S46-T46</f>
        <v>0</v>
      </c>
      <c r="V46" s="329" t="n">
        <f aca="false">Q46+Q47+R46+R47</f>
        <v>0</v>
      </c>
      <c r="W46" s="336" t="n">
        <v>0</v>
      </c>
      <c r="X46" s="327"/>
      <c r="Y46" s="327" t="n">
        <f aca="false">W46+X46</f>
        <v>0</v>
      </c>
      <c r="Z46" s="327"/>
      <c r="AA46" s="327" t="n">
        <f aca="false">Y46-Z46</f>
        <v>0</v>
      </c>
      <c r="AB46" s="329" t="n">
        <f aca="false">W46+W47+X46+X47</f>
        <v>0</v>
      </c>
      <c r="AC46" s="327" t="n">
        <v>0</v>
      </c>
      <c r="AD46" s="327"/>
      <c r="AE46" s="327" t="n">
        <f aca="false">AC46+AD46</f>
        <v>0</v>
      </c>
      <c r="AF46" s="327"/>
      <c r="AG46" s="327" t="n">
        <f aca="false">AE46-AF46</f>
        <v>0</v>
      </c>
      <c r="AH46" s="329" t="n">
        <f aca="false">AC46+AC47+AD46+AD47</f>
        <v>0</v>
      </c>
      <c r="AI46" s="327" t="n">
        <v>0</v>
      </c>
      <c r="AJ46" s="327"/>
      <c r="AK46" s="327" t="n">
        <f aca="false">AI46+AJ46</f>
        <v>0</v>
      </c>
      <c r="AL46" s="327"/>
      <c r="AM46" s="327" t="n">
        <f aca="false">AK46-AL46</f>
        <v>0</v>
      </c>
      <c r="AN46" s="333" t="n">
        <f aca="false">AI46+AI47+AJ46+AJ47</f>
        <v>0</v>
      </c>
      <c r="AO46" s="327" t="n">
        <v>0</v>
      </c>
      <c r="AP46" s="327"/>
      <c r="AQ46" s="327" t="n">
        <f aca="false">AO46+AP46</f>
        <v>0</v>
      </c>
      <c r="AR46" s="327"/>
      <c r="AS46" s="327" t="n">
        <f aca="false">AQ46-AR46</f>
        <v>0</v>
      </c>
      <c r="AT46" s="356" t="n">
        <f aca="false">AO46+AO47+AP46+AP47</f>
        <v>0</v>
      </c>
      <c r="AU46" s="327" t="n">
        <f aca="false">E46+K46+Q46+W46+AC46+AI46+AO46</f>
        <v>0</v>
      </c>
      <c r="AV46" s="336" t="n">
        <f aca="false">F46+L46+R46+X46+AD46+AJ46+AP46</f>
        <v>0</v>
      </c>
      <c r="AW46" s="85" t="n">
        <f aca="false">0.06964</f>
        <v>0.06964</v>
      </c>
      <c r="AX46" s="336" t="n">
        <f aca="false">AU46+AV46+AW46</f>
        <v>0.06964</v>
      </c>
      <c r="AY46" s="337" t="n">
        <f aca="false">H46+N46+T46+Z46+AF46+AL46+AR46</f>
        <v>0</v>
      </c>
      <c r="AZ46" s="328" t="n">
        <f aca="false">AX46-AY46</f>
        <v>0.06964</v>
      </c>
      <c r="BA46" s="338" t="n">
        <f aca="false">AY46/AX46</f>
        <v>0</v>
      </c>
      <c r="BB46" s="329" t="n">
        <f aca="false">AU46+AU47+AV46+AV47+AW46+AW47</f>
        <v>0.06964</v>
      </c>
      <c r="BC46" s="329" t="n">
        <f aca="false">AY46+AY47</f>
        <v>0</v>
      </c>
      <c r="BD46" s="329" t="n">
        <f aca="false">BB46-BC46</f>
        <v>0.06964</v>
      </c>
      <c r="BE46" s="342" t="n">
        <f aca="false">BC46/BB46</f>
        <v>0</v>
      </c>
    </row>
    <row r="47" customFormat="false" ht="14.4" hidden="false" customHeight="false" outlineLevel="0" collapsed="false">
      <c r="A47" s="252"/>
      <c r="B47" s="358"/>
      <c r="C47" s="268" t="n">
        <v>41883</v>
      </c>
      <c r="D47" s="269" t="n">
        <v>42004</v>
      </c>
      <c r="E47" s="88" t="n">
        <v>0</v>
      </c>
      <c r="F47" s="88"/>
      <c r="G47" s="88" t="n">
        <f aca="false">E47+F47+I46</f>
        <v>0</v>
      </c>
      <c r="H47" s="187"/>
      <c r="I47" s="351" t="n">
        <f aca="false">G47-H47</f>
        <v>0</v>
      </c>
      <c r="J47" s="169"/>
      <c r="K47" s="351" t="n">
        <v>0</v>
      </c>
      <c r="L47" s="308"/>
      <c r="M47" s="308" t="n">
        <f aca="false">K47+L47+O46</f>
        <v>0</v>
      </c>
      <c r="N47" s="308"/>
      <c r="O47" s="308" t="n">
        <f aca="false">M47-N47</f>
        <v>0</v>
      </c>
      <c r="P47" s="329"/>
      <c r="Q47" s="351" t="n">
        <v>0</v>
      </c>
      <c r="R47" s="308"/>
      <c r="S47" s="308" t="n">
        <f aca="false">Q47+R47+U46</f>
        <v>0</v>
      </c>
      <c r="T47" s="308"/>
      <c r="U47" s="308" t="n">
        <f aca="false">S47-T47</f>
        <v>0</v>
      </c>
      <c r="V47" s="329"/>
      <c r="W47" s="351" t="n">
        <v>0</v>
      </c>
      <c r="X47" s="308"/>
      <c r="Y47" s="308" t="n">
        <f aca="false">W47+X47+AA46</f>
        <v>0</v>
      </c>
      <c r="Z47" s="308"/>
      <c r="AA47" s="308" t="n">
        <f aca="false">Y47-Z47</f>
        <v>0</v>
      </c>
      <c r="AB47" s="329"/>
      <c r="AC47" s="308" t="n">
        <v>0</v>
      </c>
      <c r="AD47" s="308"/>
      <c r="AE47" s="308" t="n">
        <f aca="false">AC47+AD47+AG46</f>
        <v>0</v>
      </c>
      <c r="AF47" s="308"/>
      <c r="AG47" s="308" t="n">
        <f aca="false">AE47-AF47</f>
        <v>0</v>
      </c>
      <c r="AH47" s="329"/>
      <c r="AI47" s="308" t="n">
        <v>0</v>
      </c>
      <c r="AJ47" s="308"/>
      <c r="AK47" s="308" t="n">
        <f aca="false">AI47+AJ47+AM46</f>
        <v>0</v>
      </c>
      <c r="AL47" s="308"/>
      <c r="AM47" s="308" t="n">
        <f aca="false">AK47-AL47</f>
        <v>0</v>
      </c>
      <c r="AN47" s="333"/>
      <c r="AO47" s="308" t="n">
        <v>0</v>
      </c>
      <c r="AP47" s="308"/>
      <c r="AQ47" s="308" t="n">
        <f aca="false">AO47+AP47+AS46</f>
        <v>0</v>
      </c>
      <c r="AR47" s="308"/>
      <c r="AS47" s="308" t="n">
        <f aca="false">AQ47-AR47</f>
        <v>0</v>
      </c>
      <c r="AT47" s="356"/>
      <c r="AU47" s="308" t="n">
        <f aca="false">E47+K47+Q47+W47+AC47+AI47+AO47</f>
        <v>0</v>
      </c>
      <c r="AV47" s="351" t="n">
        <f aca="false">F47+L47+R47+X47+AD47+AJ47+AP47</f>
        <v>0</v>
      </c>
      <c r="AW47" s="351"/>
      <c r="AX47" s="351" t="n">
        <f aca="false">AU47+AV47+AZ46+AW47</f>
        <v>0.06964</v>
      </c>
      <c r="AY47" s="352" t="n">
        <f aca="false">H47+N47+T47+Z47+AF47+AL47+AR47</f>
        <v>0</v>
      </c>
      <c r="AZ47" s="344" t="n">
        <f aca="false">AX47-AY47</f>
        <v>0.06964</v>
      </c>
      <c r="BA47" s="353" t="n">
        <f aca="false">AY47/AX47</f>
        <v>0</v>
      </c>
      <c r="BB47" s="329"/>
      <c r="BC47" s="329"/>
      <c r="BD47" s="329"/>
      <c r="BE47" s="342"/>
    </row>
    <row r="48" customFormat="false" ht="14.4" hidden="false" customHeight="true" outlineLevel="0" collapsed="false">
      <c r="A48" s="252"/>
      <c r="B48" s="359" t="s">
        <v>171</v>
      </c>
      <c r="C48" s="254" t="n">
        <v>41640</v>
      </c>
      <c r="D48" s="255" t="n">
        <v>41882</v>
      </c>
      <c r="E48" s="89" t="n">
        <v>0</v>
      </c>
      <c r="F48" s="89"/>
      <c r="G48" s="89" t="n">
        <f aca="false">E48+F48</f>
        <v>0</v>
      </c>
      <c r="H48" s="185"/>
      <c r="I48" s="336" t="n">
        <f aca="false">G48-H48</f>
        <v>0</v>
      </c>
      <c r="J48" s="169" t="n">
        <f aca="false">E48+E49+F48+F49</f>
        <v>0</v>
      </c>
      <c r="K48" s="336" t="n">
        <v>0</v>
      </c>
      <c r="L48" s="327"/>
      <c r="M48" s="327" t="n">
        <f aca="false">K48+L48</f>
        <v>0</v>
      </c>
      <c r="N48" s="327"/>
      <c r="O48" s="327" t="n">
        <f aca="false">M48-N48</f>
        <v>0</v>
      </c>
      <c r="P48" s="329" t="n">
        <f aca="false">K48+K49+L48+L49</f>
        <v>0</v>
      </c>
      <c r="Q48" s="336" t="n">
        <v>0</v>
      </c>
      <c r="R48" s="327"/>
      <c r="S48" s="327" t="n">
        <f aca="false">Q48+R48</f>
        <v>0</v>
      </c>
      <c r="T48" s="327"/>
      <c r="U48" s="327" t="n">
        <f aca="false">S48-T48</f>
        <v>0</v>
      </c>
      <c r="V48" s="329" t="n">
        <f aca="false">Q48+Q49+R48+R49</f>
        <v>0</v>
      </c>
      <c r="W48" s="336" t="n">
        <v>0</v>
      </c>
      <c r="X48" s="327"/>
      <c r="Y48" s="327" t="n">
        <f aca="false">W48+X48</f>
        <v>0</v>
      </c>
      <c r="Z48" s="327"/>
      <c r="AA48" s="327" t="n">
        <f aca="false">Y48-Z48</f>
        <v>0</v>
      </c>
      <c r="AB48" s="329" t="n">
        <f aca="false">W48+W49+X48+X49</f>
        <v>0</v>
      </c>
      <c r="AC48" s="327" t="n">
        <v>0</v>
      </c>
      <c r="AD48" s="327"/>
      <c r="AE48" s="327" t="n">
        <f aca="false">AC48+AD48</f>
        <v>0</v>
      </c>
      <c r="AF48" s="327"/>
      <c r="AG48" s="327" t="n">
        <f aca="false">AE48-AF48</f>
        <v>0</v>
      </c>
      <c r="AH48" s="329" t="n">
        <f aca="false">AC48+AC49+AD48+AD49</f>
        <v>0</v>
      </c>
      <c r="AI48" s="327" t="n">
        <v>0</v>
      </c>
      <c r="AJ48" s="327"/>
      <c r="AK48" s="327" t="n">
        <f aca="false">AI48+AJ48</f>
        <v>0</v>
      </c>
      <c r="AL48" s="327"/>
      <c r="AM48" s="327" t="n">
        <f aca="false">AK48-AL48</f>
        <v>0</v>
      </c>
      <c r="AN48" s="333" t="n">
        <f aca="false">AI48+AI49+AJ48+AJ49</f>
        <v>0</v>
      </c>
      <c r="AO48" s="327" t="n">
        <v>0</v>
      </c>
      <c r="AP48" s="327"/>
      <c r="AQ48" s="327" t="n">
        <f aca="false">AO48+AP48</f>
        <v>0</v>
      </c>
      <c r="AR48" s="327"/>
      <c r="AS48" s="327" t="n">
        <f aca="false">AQ48-AR48</f>
        <v>0</v>
      </c>
      <c r="AT48" s="356" t="n">
        <f aca="false">AO48+AO49+AP48+AP49</f>
        <v>0</v>
      </c>
      <c r="AU48" s="327" t="n">
        <f aca="false">E48+K48+Q48+W48+AC48+AI48+AO48</f>
        <v>0</v>
      </c>
      <c r="AV48" s="336" t="n">
        <f aca="false">F48+L48+R48+X48+AD48+AJ48+AP48</f>
        <v>0</v>
      </c>
      <c r="AW48" s="85" t="n">
        <f aca="false">0.06964</f>
        <v>0.06964</v>
      </c>
      <c r="AX48" s="336" t="n">
        <f aca="false">AU48+AV48+AW48</f>
        <v>0.06964</v>
      </c>
      <c r="AY48" s="337" t="n">
        <f aca="false">H48+N48+T48+Z48+AF48+AL48+AR48</f>
        <v>0</v>
      </c>
      <c r="AZ48" s="328" t="n">
        <f aca="false">AX48-AY48</f>
        <v>0.06964</v>
      </c>
      <c r="BA48" s="338" t="n">
        <f aca="false">AY48/AX48</f>
        <v>0</v>
      </c>
      <c r="BB48" s="329" t="n">
        <f aca="false">AU48+AU49+AV48+AV49+AW48+AW49</f>
        <v>0.06964</v>
      </c>
      <c r="BC48" s="329" t="n">
        <f aca="false">AY48+AY49</f>
        <v>0</v>
      </c>
      <c r="BD48" s="329" t="n">
        <f aca="false">BB48-BC48</f>
        <v>0.06964</v>
      </c>
      <c r="BE48" s="342" t="n">
        <f aca="false">BC48/BB48</f>
        <v>0</v>
      </c>
    </row>
    <row r="49" customFormat="false" ht="14.4" hidden="false" customHeight="false" outlineLevel="0" collapsed="false">
      <c r="A49" s="252"/>
      <c r="B49" s="359"/>
      <c r="C49" s="268" t="n">
        <v>41883</v>
      </c>
      <c r="D49" s="269" t="n">
        <v>42004</v>
      </c>
      <c r="E49" s="88" t="n">
        <v>0</v>
      </c>
      <c r="F49" s="88"/>
      <c r="G49" s="88" t="n">
        <f aca="false">E49+F49+I48</f>
        <v>0</v>
      </c>
      <c r="H49" s="187"/>
      <c r="I49" s="351" t="n">
        <f aca="false">G49-H49</f>
        <v>0</v>
      </c>
      <c r="J49" s="169"/>
      <c r="K49" s="351" t="n">
        <v>0</v>
      </c>
      <c r="L49" s="308"/>
      <c r="M49" s="308" t="n">
        <f aca="false">K49+L49+O48</f>
        <v>0</v>
      </c>
      <c r="N49" s="308"/>
      <c r="O49" s="308" t="n">
        <f aca="false">M49-N49</f>
        <v>0</v>
      </c>
      <c r="P49" s="329"/>
      <c r="Q49" s="351" t="n">
        <v>0</v>
      </c>
      <c r="R49" s="308"/>
      <c r="S49" s="308" t="n">
        <f aca="false">Q49+R49+U48</f>
        <v>0</v>
      </c>
      <c r="T49" s="308"/>
      <c r="U49" s="308" t="n">
        <f aca="false">S49-T49</f>
        <v>0</v>
      </c>
      <c r="V49" s="329"/>
      <c r="W49" s="351" t="n">
        <v>0</v>
      </c>
      <c r="X49" s="308"/>
      <c r="Y49" s="308" t="n">
        <f aca="false">W49+X49+AA48</f>
        <v>0</v>
      </c>
      <c r="Z49" s="308"/>
      <c r="AA49" s="308" t="n">
        <f aca="false">Y49-Z49</f>
        <v>0</v>
      </c>
      <c r="AB49" s="329"/>
      <c r="AC49" s="308" t="n">
        <v>0</v>
      </c>
      <c r="AD49" s="308"/>
      <c r="AE49" s="308" t="n">
        <f aca="false">AC49+AD49+AG48</f>
        <v>0</v>
      </c>
      <c r="AF49" s="308"/>
      <c r="AG49" s="308" t="n">
        <f aca="false">AE49-AF49</f>
        <v>0</v>
      </c>
      <c r="AH49" s="329"/>
      <c r="AI49" s="308" t="n">
        <v>0</v>
      </c>
      <c r="AJ49" s="308"/>
      <c r="AK49" s="308" t="n">
        <f aca="false">AI49+AJ49+AM48</f>
        <v>0</v>
      </c>
      <c r="AL49" s="308"/>
      <c r="AM49" s="308" t="n">
        <f aca="false">AK49-AL49</f>
        <v>0</v>
      </c>
      <c r="AN49" s="333"/>
      <c r="AO49" s="308" t="n">
        <v>0</v>
      </c>
      <c r="AP49" s="308"/>
      <c r="AQ49" s="308" t="n">
        <f aca="false">AO49+AP49+AS48</f>
        <v>0</v>
      </c>
      <c r="AR49" s="308"/>
      <c r="AS49" s="308" t="n">
        <f aca="false">AQ49-AR49</f>
        <v>0</v>
      </c>
      <c r="AT49" s="356"/>
      <c r="AU49" s="308" t="n">
        <f aca="false">E49+K49+Q49+W49+AC49+AI49+AO49</f>
        <v>0</v>
      </c>
      <c r="AV49" s="351" t="n">
        <f aca="false">F49+L49+R49+X49+AD49+AJ49+AP49</f>
        <v>0</v>
      </c>
      <c r="AW49" s="351"/>
      <c r="AX49" s="351" t="n">
        <f aca="false">AU49+AV49+AZ48+AW49</f>
        <v>0.06964</v>
      </c>
      <c r="AY49" s="352" t="n">
        <f aca="false">H49+N49+T49+Z49+AF49+AL49+AR49</f>
        <v>0</v>
      </c>
      <c r="AZ49" s="344" t="n">
        <f aca="false">AX49-AY49</f>
        <v>0.06964</v>
      </c>
      <c r="BA49" s="353" t="n">
        <f aca="false">AY49/AX49</f>
        <v>0</v>
      </c>
      <c r="BB49" s="329"/>
      <c r="BC49" s="329"/>
      <c r="BD49" s="329"/>
      <c r="BE49" s="342"/>
    </row>
    <row r="50" customFormat="false" ht="14.4" hidden="false" customHeight="false" outlineLevel="0" collapsed="false">
      <c r="A50" s="360"/>
      <c r="B50" s="361"/>
      <c r="C50" s="362"/>
      <c r="D50" s="362"/>
      <c r="E50" s="292"/>
      <c r="F50" s="293"/>
      <c r="G50" s="293"/>
      <c r="H50" s="190"/>
      <c r="I50" s="363"/>
      <c r="J50" s="364"/>
      <c r="K50" s="296"/>
      <c r="L50" s="296"/>
      <c r="M50" s="296"/>
      <c r="N50" s="296"/>
      <c r="O50" s="296"/>
      <c r="P50" s="365"/>
      <c r="Q50" s="296"/>
      <c r="R50" s="296"/>
      <c r="S50" s="296"/>
      <c r="T50" s="296"/>
      <c r="U50" s="296"/>
      <c r="V50" s="365"/>
      <c r="W50" s="296"/>
      <c r="X50" s="296"/>
      <c r="Y50" s="296"/>
      <c r="Z50" s="296"/>
      <c r="AA50" s="296"/>
      <c r="AB50" s="365"/>
      <c r="AC50" s="296"/>
      <c r="AD50" s="296"/>
      <c r="AE50" s="296"/>
      <c r="AF50" s="296"/>
      <c r="AG50" s="296"/>
      <c r="AH50" s="365"/>
      <c r="AI50" s="296"/>
      <c r="AJ50" s="296"/>
      <c r="AK50" s="296"/>
      <c r="AL50" s="296"/>
      <c r="AM50" s="296"/>
      <c r="AN50" s="364"/>
      <c r="AO50" s="296"/>
      <c r="AP50" s="296"/>
      <c r="AQ50" s="296"/>
      <c r="AR50" s="296"/>
      <c r="AS50" s="296"/>
      <c r="AT50" s="365"/>
      <c r="AU50" s="296"/>
      <c r="AV50" s="363"/>
      <c r="AW50" s="363"/>
      <c r="AX50" s="363"/>
      <c r="AY50" s="366"/>
      <c r="AZ50" s="363"/>
      <c r="BA50" s="367"/>
      <c r="BB50" s="365"/>
      <c r="BC50" s="365"/>
      <c r="BD50" s="365"/>
      <c r="BE50" s="368"/>
    </row>
    <row r="51" customFormat="false" ht="14.4" hidden="false" customHeight="false" outlineLevel="0" collapsed="false">
      <c r="A51" s="360"/>
      <c r="B51" s="361"/>
      <c r="C51" s="362"/>
      <c r="D51" s="362"/>
      <c r="E51" s="292"/>
      <c r="F51" s="293"/>
      <c r="G51" s="293"/>
      <c r="H51" s="190"/>
      <c r="I51" s="363"/>
      <c r="J51" s="364"/>
      <c r="K51" s="296"/>
      <c r="L51" s="296"/>
      <c r="M51" s="296"/>
      <c r="N51" s="296"/>
      <c r="O51" s="296"/>
      <c r="P51" s="365"/>
      <c r="Q51" s="296"/>
      <c r="R51" s="296"/>
      <c r="S51" s="296"/>
      <c r="T51" s="296"/>
      <c r="U51" s="296"/>
      <c r="V51" s="365"/>
      <c r="W51" s="296"/>
      <c r="X51" s="296"/>
      <c r="Y51" s="296"/>
      <c r="Z51" s="296"/>
      <c r="AA51" s="296"/>
      <c r="AB51" s="365"/>
      <c r="AC51" s="296"/>
      <c r="AD51" s="296"/>
      <c r="AE51" s="296"/>
      <c r="AF51" s="296"/>
      <c r="AG51" s="296"/>
      <c r="AH51" s="365"/>
      <c r="AI51" s="296"/>
      <c r="AJ51" s="296"/>
      <c r="AK51" s="296"/>
      <c r="AL51" s="296"/>
      <c r="AM51" s="296"/>
      <c r="AN51" s="364"/>
      <c r="AO51" s="296"/>
      <c r="AP51" s="296"/>
      <c r="AQ51" s="296"/>
      <c r="AR51" s="296"/>
      <c r="AS51" s="296"/>
      <c r="AT51" s="365"/>
      <c r="AU51" s="296"/>
      <c r="AV51" s="363"/>
      <c r="AW51" s="363"/>
      <c r="AX51" s="363"/>
      <c r="AY51" s="366"/>
      <c r="AZ51" s="363"/>
      <c r="BA51" s="367"/>
      <c r="BB51" s="365"/>
      <c r="BC51" s="365"/>
      <c r="BD51" s="365"/>
      <c r="BE51" s="368"/>
    </row>
    <row r="52" customFormat="false" ht="14.4" hidden="false" customHeight="false" outlineLevel="0" collapsed="false">
      <c r="A52" s="6"/>
      <c r="B52" s="6"/>
      <c r="C52" s="292"/>
      <c r="D52" s="93"/>
      <c r="E52" s="292"/>
      <c r="F52" s="292"/>
      <c r="G52" s="292"/>
      <c r="H52" s="369"/>
    </row>
    <row r="53" customFormat="false" ht="15.6" hidden="false" customHeight="false" outlineLevel="0" collapsed="false">
      <c r="A53" s="6"/>
      <c r="B53" s="6"/>
      <c r="C53" s="370" t="s">
        <v>42</v>
      </c>
      <c r="D53" s="370"/>
      <c r="E53" s="233" t="s">
        <v>132</v>
      </c>
      <c r="F53" s="233"/>
      <c r="G53" s="233"/>
      <c r="H53" s="233" t="s">
        <v>172</v>
      </c>
      <c r="I53" s="233"/>
      <c r="J53" s="371"/>
      <c r="K53" s="233" t="s">
        <v>134</v>
      </c>
      <c r="L53" s="233"/>
      <c r="M53" s="233"/>
      <c r="N53" s="233" t="s">
        <v>135</v>
      </c>
      <c r="O53" s="233"/>
      <c r="Q53" s="372" t="s">
        <v>173</v>
      </c>
      <c r="R53" s="372"/>
      <c r="S53" s="372"/>
      <c r="T53" s="372"/>
      <c r="U53" s="373" t="s">
        <v>174</v>
      </c>
      <c r="V53" s="373"/>
      <c r="W53" s="373"/>
      <c r="X53" s="374" t="s">
        <v>175</v>
      </c>
      <c r="Y53" s="374"/>
      <c r="Z53" s="374"/>
      <c r="AA53" s="374"/>
    </row>
    <row r="54" customFormat="false" ht="54.75" hidden="false" customHeight="true" outlineLevel="0" collapsed="false">
      <c r="A54" s="6"/>
      <c r="B54" s="48" t="s">
        <v>176</v>
      </c>
      <c r="C54" s="49" t="s">
        <v>48</v>
      </c>
      <c r="D54" s="49" t="s">
        <v>49</v>
      </c>
      <c r="E54" s="50" t="s">
        <v>50</v>
      </c>
      <c r="F54" s="50" t="s">
        <v>51</v>
      </c>
      <c r="G54" s="50" t="s">
        <v>52</v>
      </c>
      <c r="H54" s="51" t="s">
        <v>53</v>
      </c>
      <c r="I54" s="51" t="s">
        <v>54</v>
      </c>
      <c r="J54" s="51" t="s">
        <v>148</v>
      </c>
      <c r="K54" s="50" t="s">
        <v>50</v>
      </c>
      <c r="L54" s="50" t="s">
        <v>51</v>
      </c>
      <c r="M54" s="50" t="s">
        <v>52</v>
      </c>
      <c r="N54" s="51" t="s">
        <v>53</v>
      </c>
      <c r="O54" s="51" t="s">
        <v>54</v>
      </c>
      <c r="P54" s="51" t="s">
        <v>148</v>
      </c>
      <c r="Q54" s="375" t="s">
        <v>177</v>
      </c>
      <c r="R54" s="375" t="s">
        <v>150</v>
      </c>
      <c r="S54" s="375" t="s">
        <v>178</v>
      </c>
      <c r="T54" s="375" t="s">
        <v>52</v>
      </c>
      <c r="U54" s="376" t="s">
        <v>179</v>
      </c>
      <c r="V54" s="376" t="s">
        <v>54</v>
      </c>
      <c r="W54" s="376" t="s">
        <v>55</v>
      </c>
      <c r="X54" s="376" t="s">
        <v>148</v>
      </c>
      <c r="Y54" s="376" t="s">
        <v>53</v>
      </c>
      <c r="Z54" s="376" t="s">
        <v>54</v>
      </c>
      <c r="AA54" s="376" t="s">
        <v>55</v>
      </c>
    </row>
    <row r="55" customFormat="false" ht="14.4" hidden="false" customHeight="true" outlineLevel="0" collapsed="false">
      <c r="A55" s="377" t="s">
        <v>180</v>
      </c>
      <c r="B55" s="378" t="s">
        <v>181</v>
      </c>
      <c r="C55" s="254" t="n">
        <v>41730</v>
      </c>
      <c r="D55" s="255" t="n">
        <v>41820</v>
      </c>
      <c r="E55" s="256" t="n">
        <v>53.197</v>
      </c>
      <c r="F55" s="89"/>
      <c r="G55" s="89" t="n">
        <f aca="false">E55+F55</f>
        <v>53.197</v>
      </c>
      <c r="H55" s="379"/>
      <c r="I55" s="258" t="n">
        <f aca="false">G55-H55</f>
        <v>53.197</v>
      </c>
      <c r="J55" s="149" t="n">
        <f aca="false">E55+E56+E57+F55+F56+F57</f>
        <v>106.394</v>
      </c>
      <c r="K55" s="226" t="n">
        <v>181.104</v>
      </c>
      <c r="L55" s="226"/>
      <c r="M55" s="226" t="n">
        <f aca="false">K55+L55</f>
        <v>181.104</v>
      </c>
      <c r="N55" s="225" t="n">
        <v>245.909</v>
      </c>
      <c r="O55" s="285" t="n">
        <f aca="false">M55-N55</f>
        <v>-64.805</v>
      </c>
      <c r="P55" s="164" t="n">
        <f aca="false">K55+K56+K57+L55+L56+L57</f>
        <v>369.20332</v>
      </c>
      <c r="Q55" s="261" t="n">
        <f aca="false">E55+K55</f>
        <v>234.301</v>
      </c>
      <c r="R55" s="287" t="n">
        <f aca="false">F55+L55</f>
        <v>0</v>
      </c>
      <c r="S55" s="226"/>
      <c r="T55" s="258" t="n">
        <f aca="false">Q55+R55+S55</f>
        <v>234.301</v>
      </c>
      <c r="U55" s="263" t="n">
        <f aca="false">H55+N55</f>
        <v>245.909</v>
      </c>
      <c r="V55" s="285" t="n">
        <f aca="false">T55-U55</f>
        <v>-11.608</v>
      </c>
      <c r="W55" s="380" t="n">
        <f aca="false">U55/T55</f>
        <v>1.04954310907764</v>
      </c>
      <c r="X55" s="381" t="n">
        <f aca="false">Q55+Q56+Q57+R55+R56+R57+S55+S56+S57</f>
        <v>475.59732</v>
      </c>
      <c r="Y55" s="382" t="n">
        <f aca="false">U55+U56+U57</f>
        <v>468.79</v>
      </c>
      <c r="Z55" s="149" t="n">
        <f aca="false">X55-Y55</f>
        <v>6.80732000000006</v>
      </c>
      <c r="AA55" s="267" t="n">
        <f aca="false">Y55/X55</f>
        <v>0.98568679907616</v>
      </c>
    </row>
    <row r="56" customFormat="false" ht="14.4" hidden="false" customHeight="false" outlineLevel="0" collapsed="false">
      <c r="A56" s="377"/>
      <c r="B56" s="378"/>
      <c r="C56" s="290" t="n">
        <v>41821</v>
      </c>
      <c r="D56" s="291" t="n">
        <v>41912</v>
      </c>
      <c r="E56" s="292" t="n">
        <v>32.075</v>
      </c>
      <c r="F56" s="293"/>
      <c r="G56" s="293" t="n">
        <f aca="false">E56+F56+I55</f>
        <v>85.272</v>
      </c>
      <c r="H56" s="383" t="n">
        <v>21.629</v>
      </c>
      <c r="I56" s="295" t="n">
        <f aca="false">G56-H56</f>
        <v>63.643</v>
      </c>
      <c r="J56" s="149"/>
      <c r="K56" s="298" t="n">
        <v>108.74</v>
      </c>
      <c r="L56" s="298"/>
      <c r="M56" s="298" t="n">
        <f aca="false">K56+L56+O55</f>
        <v>43.935</v>
      </c>
      <c r="N56" s="300" t="n">
        <v>116.208</v>
      </c>
      <c r="O56" s="303" t="n">
        <f aca="false">M56-N56</f>
        <v>-72.273</v>
      </c>
      <c r="P56" s="164"/>
      <c r="Q56" s="302" t="n">
        <f aca="false">E56+K56</f>
        <v>140.815</v>
      </c>
      <c r="R56" s="151" t="n">
        <f aca="false">F56+L56</f>
        <v>0</v>
      </c>
      <c r="S56" s="298"/>
      <c r="T56" s="295" t="n">
        <f aca="false">Q56+R56+V55+S56</f>
        <v>129.207</v>
      </c>
      <c r="U56" s="305" t="n">
        <f aca="false">H56+N56</f>
        <v>137.837</v>
      </c>
      <c r="V56" s="303" t="n">
        <f aca="false">T56-U56</f>
        <v>-8.62999999999997</v>
      </c>
      <c r="W56" s="380" t="n">
        <f aca="false">U56/T56</f>
        <v>1.06679204687053</v>
      </c>
      <c r="X56" s="381"/>
      <c r="Y56" s="382"/>
      <c r="Z56" s="149"/>
      <c r="AA56" s="267"/>
    </row>
    <row r="57" customFormat="false" ht="14.4" hidden="false" customHeight="false" outlineLevel="0" collapsed="false">
      <c r="A57" s="377"/>
      <c r="B57" s="378"/>
      <c r="C57" s="268" t="n">
        <v>41913</v>
      </c>
      <c r="D57" s="269" t="n">
        <v>42004</v>
      </c>
      <c r="E57" s="270" t="n">
        <v>21.122</v>
      </c>
      <c r="F57" s="88"/>
      <c r="G57" s="88" t="n">
        <f aca="false">E57+F57+I56</f>
        <v>84.765</v>
      </c>
      <c r="H57" s="384" t="n">
        <v>85.044</v>
      </c>
      <c r="I57" s="309" t="n">
        <f aca="false">G57-H57</f>
        <v>-0.278999999999996</v>
      </c>
      <c r="J57" s="149"/>
      <c r="K57" s="227" t="n">
        <v>72.363</v>
      </c>
      <c r="L57" s="279" t="n">
        <f aca="false">6.99632</f>
        <v>6.99632</v>
      </c>
      <c r="M57" s="385" t="n">
        <f aca="false">K57+L57+O56</f>
        <v>7.08632000000002</v>
      </c>
      <c r="N57" s="161" t="n">
        <v>0</v>
      </c>
      <c r="O57" s="386" t="n">
        <f aca="false">M57-N57</f>
        <v>7.08632000000002</v>
      </c>
      <c r="P57" s="164"/>
      <c r="Q57" s="277" t="n">
        <f aca="false">E57+K57</f>
        <v>93.485</v>
      </c>
      <c r="R57" s="223" t="n">
        <f aca="false">F57+L57</f>
        <v>6.99632</v>
      </c>
      <c r="S57" s="227"/>
      <c r="T57" s="272" t="n">
        <f aca="false">Q57+R57+V56+S57</f>
        <v>91.85132</v>
      </c>
      <c r="U57" s="280" t="n">
        <f aca="false">H57+N57</f>
        <v>85.044</v>
      </c>
      <c r="V57" s="272" t="n">
        <f aca="false">T57-U57</f>
        <v>6.80732000000003</v>
      </c>
      <c r="W57" s="387" t="n">
        <f aca="false">U57/T57</f>
        <v>0.925887619252505</v>
      </c>
      <c r="X57" s="381"/>
      <c r="Y57" s="382"/>
      <c r="Z57" s="149"/>
      <c r="AA57" s="267"/>
    </row>
    <row r="58" customFormat="false" ht="14.4" hidden="false" customHeight="true" outlineLevel="0" collapsed="false">
      <c r="A58" s="377"/>
      <c r="B58" s="378" t="s">
        <v>155</v>
      </c>
      <c r="C58" s="254" t="n">
        <v>41730</v>
      </c>
      <c r="D58" s="255" t="n">
        <v>41820</v>
      </c>
      <c r="E58" s="256" t="n">
        <v>3.838</v>
      </c>
      <c r="F58" s="56" t="n">
        <f aca="false">-3.838</f>
        <v>-3.838</v>
      </c>
      <c r="G58" s="89" t="n">
        <f aca="false">E58+F58</f>
        <v>0</v>
      </c>
      <c r="H58" s="379"/>
      <c r="I58" s="258" t="n">
        <f aca="false">G58-H58</f>
        <v>0</v>
      </c>
      <c r="J58" s="149" t="n">
        <f aca="false">E58+E59+E60+F58+F59+F60</f>
        <v>0</v>
      </c>
      <c r="K58" s="327" t="n">
        <v>13.065</v>
      </c>
      <c r="L58" s="283" t="n">
        <f aca="false">-13.065</f>
        <v>-13.065</v>
      </c>
      <c r="M58" s="226" t="n">
        <f aca="false">K58+L58</f>
        <v>0</v>
      </c>
      <c r="N58" s="226"/>
      <c r="O58" s="258" t="n">
        <f aca="false">M58-N58</f>
        <v>0</v>
      </c>
      <c r="P58" s="164" t="n">
        <f aca="false">K58+K59+K60+L58+L59+L60</f>
        <v>0</v>
      </c>
      <c r="Q58" s="261" t="n">
        <f aca="false">E58+K58</f>
        <v>16.903</v>
      </c>
      <c r="R58" s="286" t="n">
        <f aca="false">F58+L58</f>
        <v>-16.903</v>
      </c>
      <c r="S58" s="226"/>
      <c r="T58" s="258" t="n">
        <f aca="false">Q58+R58+S58</f>
        <v>0</v>
      </c>
      <c r="U58" s="263" t="n">
        <f aca="false">H58+N58</f>
        <v>0</v>
      </c>
      <c r="V58" s="258" t="n">
        <f aca="false">T58-U58</f>
        <v>0</v>
      </c>
      <c r="W58" s="380" t="e">
        <f aca="false">U58/T58</f>
        <v>#DIV/0!</v>
      </c>
      <c r="X58" s="381" t="n">
        <f aca="false">Q58+Q59+Q60+R58+R59+R60+S58+S59+S60</f>
        <v>0</v>
      </c>
      <c r="Y58" s="382" t="n">
        <f aca="false">U58+U59+U60</f>
        <v>0</v>
      </c>
      <c r="Z58" s="149" t="n">
        <f aca="false">X58-Y58</f>
        <v>0</v>
      </c>
      <c r="AA58" s="307" t="e">
        <f aca="false">Y58/X58</f>
        <v>#DIV/0!</v>
      </c>
    </row>
    <row r="59" customFormat="false" ht="14.4" hidden="false" customHeight="false" outlineLevel="0" collapsed="false">
      <c r="A59" s="377"/>
      <c r="B59" s="378"/>
      <c r="C59" s="290" t="n">
        <v>41821</v>
      </c>
      <c r="D59" s="291" t="n">
        <v>41912</v>
      </c>
      <c r="E59" s="292" t="n">
        <v>2.314</v>
      </c>
      <c r="F59" s="95" t="n">
        <f aca="false">-2.314</f>
        <v>-2.314</v>
      </c>
      <c r="G59" s="293" t="n">
        <f aca="false">E59+F59+I58</f>
        <v>0</v>
      </c>
      <c r="H59" s="383"/>
      <c r="I59" s="295" t="n">
        <f aca="false">G59-H59</f>
        <v>0</v>
      </c>
      <c r="J59" s="149"/>
      <c r="K59" s="296" t="n">
        <v>7.845</v>
      </c>
      <c r="L59" s="297" t="n">
        <f aca="false">-7.845</f>
        <v>-7.845</v>
      </c>
      <c r="M59" s="298" t="n">
        <f aca="false">K59+L59+O58</f>
        <v>0</v>
      </c>
      <c r="N59" s="298"/>
      <c r="O59" s="295" t="n">
        <f aca="false">M59-N59</f>
        <v>0</v>
      </c>
      <c r="P59" s="164"/>
      <c r="Q59" s="302" t="n">
        <f aca="false">E59+K59</f>
        <v>10.159</v>
      </c>
      <c r="R59" s="304" t="n">
        <f aca="false">F59+L59</f>
        <v>-10.159</v>
      </c>
      <c r="S59" s="298"/>
      <c r="T59" s="295" t="n">
        <f aca="false">Q59+R59+V58+S59</f>
        <v>0</v>
      </c>
      <c r="U59" s="305" t="n">
        <f aca="false">H59+N59</f>
        <v>0</v>
      </c>
      <c r="V59" s="295" t="n">
        <f aca="false">T59-U59</f>
        <v>0</v>
      </c>
      <c r="W59" s="380" t="e">
        <f aca="false">U59/T59</f>
        <v>#DIV/0!</v>
      </c>
      <c r="X59" s="381"/>
      <c r="Y59" s="382"/>
      <c r="Z59" s="149"/>
      <c r="AA59" s="307"/>
    </row>
    <row r="60" customFormat="false" ht="14.4" hidden="false" customHeight="false" outlineLevel="0" collapsed="false">
      <c r="A60" s="377"/>
      <c r="B60" s="378"/>
      <c r="C60" s="268" t="n">
        <v>41913</v>
      </c>
      <c r="D60" s="269" t="n">
        <v>42004</v>
      </c>
      <c r="E60" s="270" t="n">
        <v>1.524</v>
      </c>
      <c r="F60" s="63" t="n">
        <f aca="false">-1.524</f>
        <v>-1.524</v>
      </c>
      <c r="G60" s="88" t="n">
        <f aca="false">E60+F60+I59</f>
        <v>0</v>
      </c>
      <c r="H60" s="384"/>
      <c r="I60" s="272" t="n">
        <f aca="false">G60-H60</f>
        <v>0</v>
      </c>
      <c r="J60" s="149"/>
      <c r="K60" s="308" t="n">
        <v>5.22</v>
      </c>
      <c r="L60" s="273" t="n">
        <f aca="false">-5.22</f>
        <v>-5.22</v>
      </c>
      <c r="M60" s="227" t="n">
        <f aca="false">K60+L60+O59</f>
        <v>0</v>
      </c>
      <c r="N60" s="227"/>
      <c r="O60" s="272" t="n">
        <f aca="false">M60-N60</f>
        <v>0</v>
      </c>
      <c r="P60" s="164"/>
      <c r="Q60" s="277" t="n">
        <f aca="false">E60+K60</f>
        <v>6.744</v>
      </c>
      <c r="R60" s="316" t="n">
        <f aca="false">F60+L60</f>
        <v>-6.744</v>
      </c>
      <c r="S60" s="227"/>
      <c r="T60" s="272" t="n">
        <f aca="false">Q60+R60+V59+S60</f>
        <v>0</v>
      </c>
      <c r="U60" s="280" t="n">
        <f aca="false">H60+N60</f>
        <v>0</v>
      </c>
      <c r="V60" s="272" t="n">
        <f aca="false">T60-U60</f>
        <v>0</v>
      </c>
      <c r="W60" s="387" t="e">
        <f aca="false">U60/T60</f>
        <v>#DIV/0!</v>
      </c>
      <c r="X60" s="381"/>
      <c r="Y60" s="382"/>
      <c r="Z60" s="149"/>
      <c r="AA60" s="307"/>
    </row>
    <row r="61" customFormat="false" ht="14.4" hidden="false" customHeight="true" outlineLevel="0" collapsed="false">
      <c r="A61" s="377"/>
      <c r="B61" s="378" t="s">
        <v>156</v>
      </c>
      <c r="C61" s="254" t="n">
        <v>41730</v>
      </c>
      <c r="D61" s="255" t="n">
        <v>41820</v>
      </c>
      <c r="E61" s="256" t="n">
        <v>55.396</v>
      </c>
      <c r="F61" s="89"/>
      <c r="G61" s="89" t="n">
        <f aca="false">E61+F61</f>
        <v>55.396</v>
      </c>
      <c r="H61" s="379" t="n">
        <v>18.76</v>
      </c>
      <c r="I61" s="258" t="n">
        <f aca="false">G61-H61</f>
        <v>36.636</v>
      </c>
      <c r="J61" s="149" t="n">
        <f aca="false">E61+E62+E63+F61+F62+F63</f>
        <v>110.793</v>
      </c>
      <c r="K61" s="327" t="n">
        <v>188.591</v>
      </c>
      <c r="L61" s="226"/>
      <c r="M61" s="226" t="n">
        <f aca="false">K61+L61</f>
        <v>188.591</v>
      </c>
      <c r="N61" s="225" t="n">
        <v>169.59</v>
      </c>
      <c r="O61" s="258" t="n">
        <f aca="false">M61-N61</f>
        <v>19.001</v>
      </c>
      <c r="P61" s="164" t="n">
        <f aca="false">K61+K62+K63+L61+L62+L63</f>
        <v>377.182</v>
      </c>
      <c r="Q61" s="261" t="n">
        <f aca="false">E61+K61</f>
        <v>243.987</v>
      </c>
      <c r="R61" s="287" t="n">
        <f aca="false">F61+L61</f>
        <v>0</v>
      </c>
      <c r="S61" s="283" t="n">
        <f aca="false">-1-0.755</f>
        <v>-1.755</v>
      </c>
      <c r="T61" s="258" t="n">
        <f aca="false">Q61+R61+S61</f>
        <v>242.232</v>
      </c>
      <c r="U61" s="263" t="n">
        <f aca="false">H61+N61</f>
        <v>188.35</v>
      </c>
      <c r="V61" s="258" t="n">
        <f aca="false">T61-U61</f>
        <v>53.882</v>
      </c>
      <c r="W61" s="380" t="n">
        <f aca="false">U61/T61</f>
        <v>0.777560355361802</v>
      </c>
      <c r="X61" s="381" t="n">
        <f aca="false">Q61+Q62+Q63+R61+R62+R63+S61+S62+S63</f>
        <v>486.22</v>
      </c>
      <c r="Y61" s="382" t="n">
        <f aca="false">U61+U62+U63</f>
        <v>394.369</v>
      </c>
      <c r="Z61" s="149" t="n">
        <f aca="false">X61-Y61</f>
        <v>91.8510000000001</v>
      </c>
      <c r="AA61" s="307" t="n">
        <f aca="false">Y61/X61</f>
        <v>0.811091686890708</v>
      </c>
    </row>
    <row r="62" customFormat="false" ht="14.4" hidden="false" customHeight="false" outlineLevel="0" collapsed="false">
      <c r="A62" s="377"/>
      <c r="B62" s="378"/>
      <c r="C62" s="290" t="n">
        <v>41821</v>
      </c>
      <c r="D62" s="291" t="n">
        <v>41912</v>
      </c>
      <c r="E62" s="292" t="n">
        <v>33.401</v>
      </c>
      <c r="F62" s="293"/>
      <c r="G62" s="293" t="n">
        <f aca="false">E62+F62+I61</f>
        <v>70.037</v>
      </c>
      <c r="H62" s="383" t="n">
        <v>18.643</v>
      </c>
      <c r="I62" s="295" t="n">
        <f aca="false">G62-H62</f>
        <v>51.394</v>
      </c>
      <c r="J62" s="149"/>
      <c r="K62" s="296" t="n">
        <v>113.236</v>
      </c>
      <c r="L62" s="298"/>
      <c r="M62" s="298" t="n">
        <f aca="false">K62+L62+O61</f>
        <v>132.237</v>
      </c>
      <c r="N62" s="300" t="n">
        <v>112.109</v>
      </c>
      <c r="O62" s="295" t="n">
        <f aca="false">M62-N62</f>
        <v>20.128</v>
      </c>
      <c r="P62" s="164"/>
      <c r="Q62" s="302" t="n">
        <f aca="false">E62+K62</f>
        <v>146.637</v>
      </c>
      <c r="R62" s="151" t="n">
        <f aca="false">F62+L62</f>
        <v>0</v>
      </c>
      <c r="S62" s="298"/>
      <c r="T62" s="295" t="n">
        <f aca="false">Q62+R62+V61+S62</f>
        <v>200.519</v>
      </c>
      <c r="U62" s="305" t="n">
        <f aca="false">H62+N62</f>
        <v>130.752</v>
      </c>
      <c r="V62" s="295" t="n">
        <f aca="false">T62-U62</f>
        <v>69.767</v>
      </c>
      <c r="W62" s="380" t="n">
        <f aca="false">U62/T62</f>
        <v>0.652067883841431</v>
      </c>
      <c r="X62" s="381"/>
      <c r="Y62" s="382"/>
      <c r="Z62" s="149"/>
      <c r="AA62" s="307"/>
    </row>
    <row r="63" customFormat="false" ht="14.4" hidden="false" customHeight="false" outlineLevel="0" collapsed="false">
      <c r="A63" s="377"/>
      <c r="B63" s="378"/>
      <c r="C63" s="268" t="n">
        <v>41913</v>
      </c>
      <c r="D63" s="269" t="n">
        <v>42004</v>
      </c>
      <c r="E63" s="270" t="n">
        <v>21.996</v>
      </c>
      <c r="F63" s="88"/>
      <c r="G63" s="88" t="n">
        <f aca="false">E63+F63+I62</f>
        <v>73.39</v>
      </c>
      <c r="H63" s="384"/>
      <c r="I63" s="272" t="n">
        <f aca="false">G63-H63</f>
        <v>73.39</v>
      </c>
      <c r="J63" s="149"/>
      <c r="K63" s="308" t="n">
        <v>75.355</v>
      </c>
      <c r="L63" s="227"/>
      <c r="M63" s="227" t="n">
        <f aca="false">K63+L63+O62</f>
        <v>95.483</v>
      </c>
      <c r="N63" s="161" t="n">
        <v>75.267</v>
      </c>
      <c r="O63" s="272" t="n">
        <f aca="false">M63-N63</f>
        <v>20.216</v>
      </c>
      <c r="P63" s="164"/>
      <c r="Q63" s="277" t="n">
        <f aca="false">E63+K63</f>
        <v>97.351</v>
      </c>
      <c r="R63" s="223" t="n">
        <f aca="false">F63+L63</f>
        <v>0</v>
      </c>
      <c r="S63" s="227"/>
      <c r="T63" s="272" t="n">
        <f aca="false">Q63+R63+V62+S63</f>
        <v>167.118</v>
      </c>
      <c r="U63" s="280" t="n">
        <f aca="false">H63+N63</f>
        <v>75.267</v>
      </c>
      <c r="V63" s="272" t="n">
        <f aca="false">T63-U63</f>
        <v>91.851</v>
      </c>
      <c r="W63" s="387" t="n">
        <f aca="false">U63/T63</f>
        <v>0.45038236455678</v>
      </c>
      <c r="X63" s="381"/>
      <c r="Y63" s="382"/>
      <c r="Z63" s="149"/>
      <c r="AA63" s="307"/>
    </row>
    <row r="64" customFormat="false" ht="15" hidden="false" customHeight="true" outlineLevel="0" collapsed="false">
      <c r="A64" s="377"/>
      <c r="B64" s="388" t="s">
        <v>182</v>
      </c>
      <c r="C64" s="254" t="n">
        <v>41730</v>
      </c>
      <c r="D64" s="255" t="n">
        <v>41820</v>
      </c>
      <c r="E64" s="256" t="n">
        <v>0.028</v>
      </c>
      <c r="F64" s="89"/>
      <c r="G64" s="89" t="n">
        <f aca="false">E64+F64</f>
        <v>0.028</v>
      </c>
      <c r="H64" s="379"/>
      <c r="I64" s="258" t="n">
        <f aca="false">G64-H64</f>
        <v>0.028</v>
      </c>
      <c r="J64" s="149" t="n">
        <f aca="false">E64+E65+E66+F64+F65+F66</f>
        <v>0.056</v>
      </c>
      <c r="K64" s="327" t="n">
        <v>0.094</v>
      </c>
      <c r="L64" s="226"/>
      <c r="M64" s="226" t="n">
        <f aca="false">K64+L64</f>
        <v>0.094</v>
      </c>
      <c r="N64" s="226"/>
      <c r="O64" s="258" t="n">
        <f aca="false">M64-N64</f>
        <v>0.094</v>
      </c>
      <c r="P64" s="164" t="n">
        <f aca="false">K64+K65+K66+L64+L65+L66</f>
        <v>0.189</v>
      </c>
      <c r="Q64" s="261" t="n">
        <f aca="false">E64+K64</f>
        <v>0.122</v>
      </c>
      <c r="R64" s="287" t="n">
        <f aca="false">F64+L64</f>
        <v>0</v>
      </c>
      <c r="S64" s="224" t="n">
        <f aca="false">1</f>
        <v>1</v>
      </c>
      <c r="T64" s="258" t="n">
        <f aca="false">Q64+R64+S64</f>
        <v>1.122</v>
      </c>
      <c r="U64" s="263" t="n">
        <f aca="false">H64+N64</f>
        <v>0</v>
      </c>
      <c r="V64" s="258" t="n">
        <f aca="false">T64-U64</f>
        <v>1.122</v>
      </c>
      <c r="W64" s="380" t="n">
        <f aca="false">U64/T64</f>
        <v>0</v>
      </c>
      <c r="X64" s="381" t="n">
        <f aca="false">Q64+Q65+Q66+R64+R65+R66+S64+S65+S66</f>
        <v>1.245</v>
      </c>
      <c r="Y64" s="382" t="n">
        <f aca="false">U64+U65+U66</f>
        <v>0</v>
      </c>
      <c r="Z64" s="149" t="n">
        <f aca="false">X64-Y64</f>
        <v>1.245</v>
      </c>
      <c r="AA64" s="307" t="n">
        <f aca="false">Y64/X64</f>
        <v>0</v>
      </c>
    </row>
    <row r="65" customFormat="false" ht="15" hidden="false" customHeight="true" outlineLevel="0" collapsed="false">
      <c r="A65" s="377"/>
      <c r="B65" s="388"/>
      <c r="C65" s="290" t="n">
        <v>41821</v>
      </c>
      <c r="D65" s="291" t="n">
        <v>41912</v>
      </c>
      <c r="E65" s="292" t="n">
        <v>0.017</v>
      </c>
      <c r="F65" s="293"/>
      <c r="G65" s="293" t="n">
        <f aca="false">E65+F65+I64</f>
        <v>0.045</v>
      </c>
      <c r="H65" s="383"/>
      <c r="I65" s="295" t="n">
        <f aca="false">G65-H65</f>
        <v>0.045</v>
      </c>
      <c r="J65" s="149"/>
      <c r="K65" s="296" t="n">
        <v>0.057</v>
      </c>
      <c r="L65" s="298"/>
      <c r="M65" s="298" t="n">
        <f aca="false">K65+L65+O64</f>
        <v>0.151</v>
      </c>
      <c r="N65" s="298"/>
      <c r="O65" s="295" t="n">
        <f aca="false">M65-N65</f>
        <v>0.151</v>
      </c>
      <c r="P65" s="164"/>
      <c r="Q65" s="302" t="n">
        <f aca="false">E65+K65</f>
        <v>0.074</v>
      </c>
      <c r="R65" s="151" t="n">
        <f aca="false">F65+L65</f>
        <v>0</v>
      </c>
      <c r="S65" s="298"/>
      <c r="T65" s="295" t="n">
        <f aca="false">Q65+R65+V64+S65</f>
        <v>1.196</v>
      </c>
      <c r="U65" s="305" t="n">
        <f aca="false">H65+N65</f>
        <v>0</v>
      </c>
      <c r="V65" s="295" t="n">
        <f aca="false">T65-U65</f>
        <v>1.196</v>
      </c>
      <c r="W65" s="380" t="n">
        <f aca="false">U65/T65</f>
        <v>0</v>
      </c>
      <c r="X65" s="381"/>
      <c r="Y65" s="382"/>
      <c r="Z65" s="149"/>
      <c r="AA65" s="307"/>
    </row>
    <row r="66" customFormat="false" ht="15" hidden="false" customHeight="true" outlineLevel="0" collapsed="false">
      <c r="A66" s="377"/>
      <c r="B66" s="388"/>
      <c r="C66" s="268" t="n">
        <v>41913</v>
      </c>
      <c r="D66" s="269" t="n">
        <v>42004</v>
      </c>
      <c r="E66" s="270" t="n">
        <v>0.011</v>
      </c>
      <c r="F66" s="88"/>
      <c r="G66" s="88" t="n">
        <f aca="false">E66+F66+I65</f>
        <v>0.056</v>
      </c>
      <c r="H66" s="384"/>
      <c r="I66" s="272" t="n">
        <f aca="false">G66-H66</f>
        <v>0.056</v>
      </c>
      <c r="J66" s="149"/>
      <c r="K66" s="308" t="n">
        <v>0.038</v>
      </c>
      <c r="L66" s="227"/>
      <c r="M66" s="227" t="n">
        <f aca="false">K66+L66+O65</f>
        <v>0.189</v>
      </c>
      <c r="N66" s="227"/>
      <c r="O66" s="272" t="n">
        <f aca="false">M66-N66</f>
        <v>0.189</v>
      </c>
      <c r="P66" s="164"/>
      <c r="Q66" s="277" t="n">
        <f aca="false">E66+K66</f>
        <v>0.049</v>
      </c>
      <c r="R66" s="223" t="n">
        <f aca="false">F66+L66</f>
        <v>0</v>
      </c>
      <c r="S66" s="227"/>
      <c r="T66" s="272" t="n">
        <f aca="false">Q66+R66+V65+S66</f>
        <v>1.245</v>
      </c>
      <c r="U66" s="280" t="n">
        <f aca="false">H66+N66</f>
        <v>0</v>
      </c>
      <c r="V66" s="272" t="n">
        <f aca="false">T66-U66</f>
        <v>1.245</v>
      </c>
      <c r="W66" s="387" t="n">
        <f aca="false">U66/T66</f>
        <v>0</v>
      </c>
      <c r="X66" s="381"/>
      <c r="Y66" s="382"/>
      <c r="Z66" s="149"/>
      <c r="AA66" s="307"/>
    </row>
    <row r="67" customFormat="false" ht="15" hidden="false" customHeight="true" outlineLevel="0" collapsed="false">
      <c r="A67" s="377"/>
      <c r="B67" s="378" t="s">
        <v>92</v>
      </c>
      <c r="C67" s="254" t="n">
        <v>41730</v>
      </c>
      <c r="D67" s="255" t="n">
        <v>41820</v>
      </c>
      <c r="E67" s="256" t="n">
        <v>7.019</v>
      </c>
      <c r="F67" s="100" t="n">
        <f aca="false">3.466</f>
        <v>3.466</v>
      </c>
      <c r="G67" s="89" t="n">
        <f aca="false">E67+F67</f>
        <v>10.485</v>
      </c>
      <c r="H67" s="379"/>
      <c r="I67" s="258" t="n">
        <f aca="false">G67-H67</f>
        <v>10.485</v>
      </c>
      <c r="J67" s="149" t="n">
        <f aca="false">E67+E68+E69+F67+F68+F69</f>
        <v>20.97</v>
      </c>
      <c r="K67" s="327" t="n">
        <v>23.897</v>
      </c>
      <c r="L67" s="224" t="n">
        <f aca="false">11.799</f>
        <v>11.799</v>
      </c>
      <c r="M67" s="226" t="n">
        <f aca="false">K67+L67</f>
        <v>35.696</v>
      </c>
      <c r="N67" s="226"/>
      <c r="O67" s="258" t="n">
        <f aca="false">M67-N67</f>
        <v>35.696</v>
      </c>
      <c r="P67" s="164" t="n">
        <f aca="false">K67+K68+K69+L67+L68+L69</f>
        <v>64.39568</v>
      </c>
      <c r="Q67" s="302" t="n">
        <f aca="false">E67+K67</f>
        <v>30.916</v>
      </c>
      <c r="R67" s="389" t="n">
        <f aca="false">F67+L67</f>
        <v>15.265</v>
      </c>
      <c r="T67" s="295" t="n">
        <f aca="false">Q67+R67+S67</f>
        <v>46.181</v>
      </c>
      <c r="U67" s="305" t="n">
        <f aca="false">H67+N67</f>
        <v>0</v>
      </c>
      <c r="V67" s="295" t="n">
        <f aca="false">T67-U67</f>
        <v>46.181</v>
      </c>
      <c r="W67" s="390" t="n">
        <f aca="false">U67/T67</f>
        <v>0</v>
      </c>
      <c r="X67" s="391" t="n">
        <f aca="false">Q67+Q68+Q69+R67+R68+R69+S67+S68+S69</f>
        <v>85.36568</v>
      </c>
      <c r="Y67" s="382" t="n">
        <f aca="false">U67+U68+U69</f>
        <v>63.589</v>
      </c>
      <c r="Z67" s="149" t="n">
        <f aca="false">X67-Y67</f>
        <v>21.77668</v>
      </c>
      <c r="AA67" s="307" t="n">
        <f aca="false">Y67/X67</f>
        <v>0.744901229627644</v>
      </c>
    </row>
    <row r="68" customFormat="false" ht="15" hidden="false" customHeight="true" outlineLevel="0" collapsed="false">
      <c r="A68" s="377"/>
      <c r="B68" s="378"/>
      <c r="C68" s="290" t="n">
        <v>41821</v>
      </c>
      <c r="D68" s="291" t="n">
        <v>41912</v>
      </c>
      <c r="E68" s="292" t="n">
        <v>4.232</v>
      </c>
      <c r="F68" s="94" t="n">
        <f aca="false">2.09</f>
        <v>2.09</v>
      </c>
      <c r="G68" s="293" t="n">
        <f aca="false">E68+F68+I67</f>
        <v>16.807</v>
      </c>
      <c r="H68" s="383"/>
      <c r="I68" s="295" t="n">
        <f aca="false">G68-H68</f>
        <v>16.807</v>
      </c>
      <c r="J68" s="149"/>
      <c r="K68" s="296" t="n">
        <v>14.348</v>
      </c>
      <c r="L68" s="313" t="n">
        <f aca="false">7.085</f>
        <v>7.085</v>
      </c>
      <c r="M68" s="298" t="n">
        <f aca="false">K68+L68+O67</f>
        <v>57.129</v>
      </c>
      <c r="N68" s="321" t="n">
        <v>56.733</v>
      </c>
      <c r="O68" s="295" t="n">
        <f aca="false">M68-N68</f>
        <v>0.396000000000001</v>
      </c>
      <c r="P68" s="164"/>
      <c r="Q68" s="302" t="n">
        <f aca="false">E68+K68</f>
        <v>18.58</v>
      </c>
      <c r="R68" s="389" t="n">
        <f aca="false">F68+L68</f>
        <v>9.175</v>
      </c>
      <c r="T68" s="295" t="n">
        <f aca="false">Q68+R68+V67+S68</f>
        <v>73.936</v>
      </c>
      <c r="U68" s="305" t="n">
        <f aca="false">H68+N68</f>
        <v>56.733</v>
      </c>
      <c r="V68" s="295" t="n">
        <f aca="false">T68-U68</f>
        <v>17.203</v>
      </c>
      <c r="W68" s="380" t="n">
        <f aca="false">U68/T68</f>
        <v>0.767325795282406</v>
      </c>
      <c r="X68" s="391"/>
      <c r="Y68" s="382"/>
      <c r="Z68" s="149"/>
      <c r="AA68" s="307"/>
    </row>
    <row r="69" customFormat="false" ht="15" hidden="false" customHeight="true" outlineLevel="0" collapsed="false">
      <c r="A69" s="377"/>
      <c r="B69" s="378"/>
      <c r="C69" s="268" t="n">
        <v>41913</v>
      </c>
      <c r="D69" s="269" t="n">
        <v>42004</v>
      </c>
      <c r="E69" s="270" t="n">
        <v>2.787</v>
      </c>
      <c r="F69" s="130" t="n">
        <f aca="false">1.376</f>
        <v>1.376</v>
      </c>
      <c r="G69" s="88" t="n">
        <f aca="false">E69+F69+I68</f>
        <v>20.97</v>
      </c>
      <c r="H69" s="384"/>
      <c r="I69" s="272" t="n">
        <f aca="false">G69-H69</f>
        <v>20.97</v>
      </c>
      <c r="J69" s="149"/>
      <c r="K69" s="308" t="n">
        <v>9.548</v>
      </c>
      <c r="L69" s="273" t="n">
        <f aca="false">4.715-6.99632</f>
        <v>-2.28132</v>
      </c>
      <c r="M69" s="227" t="n">
        <f aca="false">K69+L69+O68</f>
        <v>7.66268</v>
      </c>
      <c r="N69" s="392" t="n">
        <v>6.856</v>
      </c>
      <c r="O69" s="272" t="n">
        <f aca="false">M69-N69</f>
        <v>0.806680000000001</v>
      </c>
      <c r="P69" s="164"/>
      <c r="Q69" s="302" t="n">
        <f aca="false">E69+K69</f>
        <v>12.335</v>
      </c>
      <c r="R69" s="389" t="n">
        <f aca="false">F69+L69</f>
        <v>-0.90532</v>
      </c>
      <c r="T69" s="295" t="n">
        <f aca="false">Q69+R69+V68+S69</f>
        <v>28.63268</v>
      </c>
      <c r="U69" s="305" t="n">
        <f aca="false">H69+N69</f>
        <v>6.856</v>
      </c>
      <c r="V69" s="295" t="n">
        <f aca="false">T69-U69</f>
        <v>21.77668</v>
      </c>
      <c r="W69" s="380" t="n">
        <f aca="false">U69/T69</f>
        <v>0.239446674219807</v>
      </c>
      <c r="X69" s="391"/>
      <c r="Y69" s="382"/>
      <c r="Z69" s="149"/>
      <c r="AA69" s="307"/>
    </row>
    <row r="70" customFormat="false" ht="15.75" hidden="false" customHeight="true" outlineLevel="0" collapsed="false">
      <c r="A70" s="377"/>
      <c r="B70" s="378" t="s">
        <v>160</v>
      </c>
      <c r="C70" s="254" t="n">
        <v>41730</v>
      </c>
      <c r="D70" s="255" t="n">
        <v>41820</v>
      </c>
      <c r="E70" s="256" t="n">
        <v>0.954</v>
      </c>
      <c r="F70" s="56" t="n">
        <f aca="false">-0.954</f>
        <v>-0.954</v>
      </c>
      <c r="G70" s="89" t="n">
        <f aca="false">E70+F70</f>
        <v>0</v>
      </c>
      <c r="H70" s="379"/>
      <c r="I70" s="258" t="n">
        <f aca="false">G70-H70</f>
        <v>0</v>
      </c>
      <c r="J70" s="149" t="n">
        <f aca="false">E70+E71+E72+F70+F71+F72</f>
        <v>0</v>
      </c>
      <c r="K70" s="327" t="n">
        <v>3.248</v>
      </c>
      <c r="L70" s="283" t="n">
        <f aca="false">-3.248</f>
        <v>-3.248</v>
      </c>
      <c r="M70" s="226" t="n">
        <f aca="false">K70+L70</f>
        <v>0</v>
      </c>
      <c r="N70" s="226"/>
      <c r="O70" s="258" t="n">
        <f aca="false">M70-N70</f>
        <v>0</v>
      </c>
      <c r="P70" s="164" t="n">
        <f aca="false">K70+K71+K72+L70+L71+L72</f>
        <v>0</v>
      </c>
      <c r="Q70" s="261" t="n">
        <f aca="false">E70+K70</f>
        <v>4.202</v>
      </c>
      <c r="R70" s="286" t="n">
        <f aca="false">F70+L70</f>
        <v>-4.202</v>
      </c>
      <c r="S70" s="226"/>
      <c r="T70" s="258" t="n">
        <f aca="false">Q70+R70+S70</f>
        <v>0</v>
      </c>
      <c r="U70" s="263" t="n">
        <f aca="false">H70+N70</f>
        <v>0</v>
      </c>
      <c r="V70" s="258" t="n">
        <f aca="false">T70-U70</f>
        <v>0</v>
      </c>
      <c r="W70" s="380" t="e">
        <f aca="false">U70/T70</f>
        <v>#DIV/0!</v>
      </c>
      <c r="X70" s="381" t="n">
        <f aca="false">Q70+Q71+Q72+R70+R71+R72+S70+S71+S72</f>
        <v>0</v>
      </c>
      <c r="Y70" s="382" t="n">
        <f aca="false">U70+U71+U72</f>
        <v>0</v>
      </c>
      <c r="Z70" s="149" t="n">
        <f aca="false">X70-Y70</f>
        <v>0</v>
      </c>
      <c r="AA70" s="307" t="e">
        <f aca="false">Y70/X70</f>
        <v>#DIV/0!</v>
      </c>
    </row>
    <row r="71" customFormat="false" ht="14.4" hidden="false" customHeight="false" outlineLevel="0" collapsed="false">
      <c r="A71" s="377"/>
      <c r="B71" s="378"/>
      <c r="C71" s="290" t="n">
        <v>41821</v>
      </c>
      <c r="D71" s="291" t="n">
        <v>41912</v>
      </c>
      <c r="E71" s="292" t="n">
        <v>0.575</v>
      </c>
      <c r="F71" s="95" t="n">
        <f aca="false">-0.575</f>
        <v>-0.575</v>
      </c>
      <c r="G71" s="293" t="n">
        <f aca="false">E71+F71+I70</f>
        <v>0</v>
      </c>
      <c r="H71" s="383"/>
      <c r="I71" s="295" t="n">
        <f aca="false">G71-H71</f>
        <v>0</v>
      </c>
      <c r="J71" s="149"/>
      <c r="K71" s="296" t="n">
        <v>1.95</v>
      </c>
      <c r="L71" s="297" t="n">
        <f aca="false">-1.95</f>
        <v>-1.95</v>
      </c>
      <c r="M71" s="298" t="n">
        <f aca="false">K71+L71+O70</f>
        <v>0</v>
      </c>
      <c r="N71" s="298"/>
      <c r="O71" s="295" t="n">
        <f aca="false">M71-N71</f>
        <v>0</v>
      </c>
      <c r="P71" s="164"/>
      <c r="Q71" s="302" t="n">
        <f aca="false">E71+K71</f>
        <v>2.525</v>
      </c>
      <c r="R71" s="304" t="n">
        <f aca="false">F71+L71</f>
        <v>-2.525</v>
      </c>
      <c r="S71" s="298"/>
      <c r="T71" s="295" t="n">
        <f aca="false">Q71+R71+V70+S71</f>
        <v>0</v>
      </c>
      <c r="U71" s="305" t="n">
        <f aca="false">H71+N71</f>
        <v>0</v>
      </c>
      <c r="V71" s="295" t="n">
        <f aca="false">T71-U71</f>
        <v>0</v>
      </c>
      <c r="W71" s="380" t="e">
        <f aca="false">U71/T71</f>
        <v>#DIV/0!</v>
      </c>
      <c r="X71" s="381"/>
      <c r="Y71" s="382"/>
      <c r="Z71" s="149"/>
      <c r="AA71" s="307"/>
    </row>
    <row r="72" customFormat="false" ht="14.4" hidden="false" customHeight="false" outlineLevel="0" collapsed="false">
      <c r="A72" s="377"/>
      <c r="B72" s="378"/>
      <c r="C72" s="268" t="n">
        <v>41913</v>
      </c>
      <c r="D72" s="269" t="n">
        <v>42004</v>
      </c>
      <c r="E72" s="270" t="n">
        <v>0.379</v>
      </c>
      <c r="F72" s="63" t="n">
        <f aca="false">-0.379</f>
        <v>-0.379</v>
      </c>
      <c r="G72" s="88" t="n">
        <f aca="false">E72+F72+I71</f>
        <v>0</v>
      </c>
      <c r="H72" s="384"/>
      <c r="I72" s="272" t="n">
        <f aca="false">G72-H72</f>
        <v>0</v>
      </c>
      <c r="J72" s="149"/>
      <c r="K72" s="308" t="n">
        <v>1.298</v>
      </c>
      <c r="L72" s="273" t="n">
        <f aca="false">-1.298</f>
        <v>-1.298</v>
      </c>
      <c r="M72" s="227" t="n">
        <f aca="false">K72+L72+O71</f>
        <v>0</v>
      </c>
      <c r="N72" s="227"/>
      <c r="O72" s="272" t="n">
        <f aca="false">M72-N72</f>
        <v>0</v>
      </c>
      <c r="P72" s="164"/>
      <c r="Q72" s="277" t="n">
        <f aca="false">E72+K72</f>
        <v>1.677</v>
      </c>
      <c r="R72" s="316" t="n">
        <f aca="false">F72+L72</f>
        <v>-1.677</v>
      </c>
      <c r="S72" s="227"/>
      <c r="T72" s="272" t="n">
        <f aca="false">Q72+R72+V71+S72</f>
        <v>0</v>
      </c>
      <c r="U72" s="280" t="n">
        <f aca="false">H72+N72</f>
        <v>0</v>
      </c>
      <c r="V72" s="272" t="n">
        <f aca="false">T72-U72</f>
        <v>0</v>
      </c>
      <c r="W72" s="387" t="e">
        <f aca="false">U72/T72</f>
        <v>#DIV/0!</v>
      </c>
      <c r="X72" s="381"/>
      <c r="Y72" s="382"/>
      <c r="Z72" s="149"/>
      <c r="AA72" s="307"/>
    </row>
    <row r="73" customFormat="false" ht="14.4" hidden="false" customHeight="true" outlineLevel="0" collapsed="false">
      <c r="A73" s="377"/>
      <c r="B73" s="378" t="s">
        <v>183</v>
      </c>
      <c r="C73" s="254" t="n">
        <v>41730</v>
      </c>
      <c r="D73" s="255" t="n">
        <v>41820</v>
      </c>
      <c r="E73" s="256" t="n">
        <v>0.428</v>
      </c>
      <c r="F73" s="56" t="n">
        <f aca="false">-0.428</f>
        <v>-0.428</v>
      </c>
      <c r="G73" s="89" t="n">
        <f aca="false">E73+F73</f>
        <v>0</v>
      </c>
      <c r="H73" s="379"/>
      <c r="I73" s="258" t="n">
        <f aca="false">G73-H73</f>
        <v>0</v>
      </c>
      <c r="J73" s="149" t="n">
        <f aca="false">E73+E74+E75+F73+F74+F75</f>
        <v>0</v>
      </c>
      <c r="K73" s="327" t="n">
        <v>1.458</v>
      </c>
      <c r="L73" s="283" t="n">
        <f aca="false">-1.458</f>
        <v>-1.458</v>
      </c>
      <c r="M73" s="226" t="n">
        <f aca="false">K73+L73</f>
        <v>0</v>
      </c>
      <c r="N73" s="226"/>
      <c r="O73" s="258" t="n">
        <f aca="false">M73-N73</f>
        <v>0</v>
      </c>
      <c r="P73" s="164" t="n">
        <f aca="false">K73+K74+K75+L73+L74+L75</f>
        <v>0</v>
      </c>
      <c r="Q73" s="302" t="n">
        <f aca="false">E73+K73</f>
        <v>1.886</v>
      </c>
      <c r="R73" s="304" t="n">
        <f aca="false">F73+L73</f>
        <v>-1.886</v>
      </c>
      <c r="T73" s="295" t="n">
        <f aca="false">Q73+R73+S73</f>
        <v>0</v>
      </c>
      <c r="U73" s="305" t="n">
        <f aca="false">H73+N73</f>
        <v>0</v>
      </c>
      <c r="V73" s="295" t="n">
        <f aca="false">T73-U73</f>
        <v>0</v>
      </c>
      <c r="W73" s="390" t="e">
        <f aca="false">U73/T73</f>
        <v>#DIV/0!</v>
      </c>
      <c r="X73" s="391" t="n">
        <f aca="false">Q73+Q74+Q75+R73+R74+R75+S73+S74+S75</f>
        <v>0</v>
      </c>
      <c r="Y73" s="382" t="n">
        <f aca="false">U73+U74+U75</f>
        <v>0</v>
      </c>
      <c r="Z73" s="149" t="n">
        <f aca="false">X73-Y73</f>
        <v>0</v>
      </c>
      <c r="AA73" s="307" t="e">
        <f aca="false">Y73/X73</f>
        <v>#DIV/0!</v>
      </c>
    </row>
    <row r="74" customFormat="false" ht="14.4" hidden="false" customHeight="false" outlineLevel="0" collapsed="false">
      <c r="A74" s="377"/>
      <c r="B74" s="378"/>
      <c r="C74" s="290" t="n">
        <v>41821</v>
      </c>
      <c r="D74" s="291" t="n">
        <v>41912</v>
      </c>
      <c r="E74" s="292" t="n">
        <v>0.258</v>
      </c>
      <c r="F74" s="95" t="n">
        <f aca="false">-0.258</f>
        <v>-0.258</v>
      </c>
      <c r="G74" s="293" t="n">
        <f aca="false">E74+F74+I73</f>
        <v>0</v>
      </c>
      <c r="H74" s="383"/>
      <c r="I74" s="295" t="n">
        <f aca="false">G74-H74</f>
        <v>0</v>
      </c>
      <c r="J74" s="149"/>
      <c r="K74" s="296" t="n">
        <v>0.875</v>
      </c>
      <c r="L74" s="297" t="n">
        <f aca="false">-0.875</f>
        <v>-0.875</v>
      </c>
      <c r="M74" s="298" t="n">
        <f aca="false">K74+L74+O73</f>
        <v>0</v>
      </c>
      <c r="N74" s="298"/>
      <c r="O74" s="295" t="n">
        <f aca="false">M74-N74</f>
        <v>0</v>
      </c>
      <c r="P74" s="164"/>
      <c r="Q74" s="302" t="n">
        <f aca="false">E74+K74</f>
        <v>1.133</v>
      </c>
      <c r="R74" s="304" t="n">
        <f aca="false">F74+L74</f>
        <v>-1.133</v>
      </c>
      <c r="T74" s="295" t="n">
        <f aca="false">Q74+R74+V73+S74</f>
        <v>0</v>
      </c>
      <c r="U74" s="305" t="n">
        <f aca="false">H74+N74</f>
        <v>0</v>
      </c>
      <c r="V74" s="295" t="n">
        <f aca="false">T74-U74</f>
        <v>0</v>
      </c>
      <c r="W74" s="380" t="e">
        <f aca="false">U74/T74</f>
        <v>#DIV/0!</v>
      </c>
      <c r="X74" s="391"/>
      <c r="Y74" s="382"/>
      <c r="Z74" s="149"/>
      <c r="AA74" s="307"/>
    </row>
    <row r="75" customFormat="false" ht="14.4" hidden="false" customHeight="false" outlineLevel="0" collapsed="false">
      <c r="A75" s="377"/>
      <c r="B75" s="378"/>
      <c r="C75" s="268" t="n">
        <v>41913</v>
      </c>
      <c r="D75" s="269" t="n">
        <v>42004</v>
      </c>
      <c r="E75" s="270" t="n">
        <v>0.17</v>
      </c>
      <c r="F75" s="63" t="n">
        <f aca="false">-0.17</f>
        <v>-0.17</v>
      </c>
      <c r="G75" s="88" t="n">
        <f aca="false">E75+F75+I74</f>
        <v>0</v>
      </c>
      <c r="H75" s="384"/>
      <c r="I75" s="272" t="n">
        <f aca="false">G75-H75</f>
        <v>0</v>
      </c>
      <c r="J75" s="149"/>
      <c r="K75" s="308" t="n">
        <v>0.583</v>
      </c>
      <c r="L75" s="273" t="n">
        <f aca="false">-0.583</f>
        <v>-0.583</v>
      </c>
      <c r="M75" s="227" t="n">
        <f aca="false">K75+L75+O74</f>
        <v>0</v>
      </c>
      <c r="N75" s="227"/>
      <c r="O75" s="272" t="n">
        <f aca="false">M75-N75</f>
        <v>0</v>
      </c>
      <c r="P75" s="164"/>
      <c r="Q75" s="302" t="n">
        <f aca="false">E75+K75</f>
        <v>0.753</v>
      </c>
      <c r="R75" s="304" t="n">
        <f aca="false">F75+L75</f>
        <v>-0.753</v>
      </c>
      <c r="T75" s="295" t="n">
        <f aca="false">Q75+R75+V74+S75</f>
        <v>0</v>
      </c>
      <c r="U75" s="305" t="n">
        <f aca="false">H75+N75</f>
        <v>0</v>
      </c>
      <c r="V75" s="295" t="n">
        <f aca="false">T75-U75</f>
        <v>0</v>
      </c>
      <c r="W75" s="380" t="e">
        <f aca="false">U75/T75</f>
        <v>#DIV/0!</v>
      </c>
      <c r="X75" s="391"/>
      <c r="Y75" s="382"/>
      <c r="Z75" s="149"/>
      <c r="AA75" s="307"/>
    </row>
    <row r="76" customFormat="false" ht="14.4" hidden="false" customHeight="true" outlineLevel="0" collapsed="false">
      <c r="A76" s="377"/>
      <c r="B76" s="378" t="s">
        <v>184</v>
      </c>
      <c r="C76" s="254" t="n">
        <v>41730</v>
      </c>
      <c r="D76" s="255" t="n">
        <v>41820</v>
      </c>
      <c r="E76" s="256" t="n">
        <v>4.564</v>
      </c>
      <c r="F76" s="100" t="n">
        <f aca="false">3.838+0.954+0.428</f>
        <v>5.22</v>
      </c>
      <c r="G76" s="89" t="n">
        <f aca="false">E76+F76</f>
        <v>9.784</v>
      </c>
      <c r="H76" s="393"/>
      <c r="I76" s="258" t="n">
        <f aca="false">G76-H76</f>
        <v>9.784</v>
      </c>
      <c r="J76" s="149" t="n">
        <f aca="false">E76+E77+E78+F76+F77+F78</f>
        <v>19.568</v>
      </c>
      <c r="K76" s="327" t="n">
        <v>15.537</v>
      </c>
      <c r="L76" s="224" t="n">
        <f aca="false">13.065+3.248+1.458</f>
        <v>17.771</v>
      </c>
      <c r="M76" s="226" t="n">
        <f aca="false">K76+L76</f>
        <v>33.308</v>
      </c>
      <c r="N76" s="225" t="n">
        <v>26.954</v>
      </c>
      <c r="O76" s="258" t="n">
        <f aca="false">M76-N76</f>
        <v>6.354</v>
      </c>
      <c r="P76" s="164" t="n">
        <f aca="false">K76+K77+K78+L76+L77+L78</f>
        <v>66.616</v>
      </c>
      <c r="Q76" s="261" t="n">
        <f aca="false">E76+K76</f>
        <v>20.101</v>
      </c>
      <c r="R76" s="228" t="n">
        <f aca="false">F76+L76</f>
        <v>22.991</v>
      </c>
      <c r="S76" s="283" t="n">
        <f aca="false">-0.03-0.01198</f>
        <v>-0.04198</v>
      </c>
      <c r="T76" s="258" t="n">
        <f aca="false">Q76+R76+S76</f>
        <v>43.05002</v>
      </c>
      <c r="U76" s="263" t="n">
        <f aca="false">H76+N76</f>
        <v>26.954</v>
      </c>
      <c r="V76" s="258" t="n">
        <f aca="false">T76-U76</f>
        <v>16.09602</v>
      </c>
      <c r="W76" s="380" t="n">
        <f aca="false">U76/T76</f>
        <v>0.62610888450226</v>
      </c>
      <c r="X76" s="381" t="n">
        <f aca="false">Q76+Q77+Q78+R76+R77+R78+S76+S77+S78</f>
        <v>86.14202</v>
      </c>
      <c r="Y76" s="382" t="n">
        <f aca="false">U76+U77+U78</f>
        <v>39.115</v>
      </c>
      <c r="Z76" s="149" t="n">
        <f aca="false">X76-Y76</f>
        <v>47.02702</v>
      </c>
      <c r="AA76" s="307" t="n">
        <f aca="false">Y76/X76</f>
        <v>0.4540757228586</v>
      </c>
    </row>
    <row r="77" customFormat="false" ht="14.4" hidden="false" customHeight="false" outlineLevel="0" collapsed="false">
      <c r="A77" s="377"/>
      <c r="B77" s="378"/>
      <c r="C77" s="290" t="n">
        <v>41821</v>
      </c>
      <c r="D77" s="291" t="n">
        <v>41912</v>
      </c>
      <c r="E77" s="292" t="n">
        <v>2.752</v>
      </c>
      <c r="F77" s="94" t="n">
        <f aca="false">2.314+0.575+0.258</f>
        <v>3.147</v>
      </c>
      <c r="G77" s="293" t="n">
        <f aca="false">E77+F77+I76</f>
        <v>15.683</v>
      </c>
      <c r="H77" s="394"/>
      <c r="I77" s="295" t="n">
        <f aca="false">G77-H77</f>
        <v>15.683</v>
      </c>
      <c r="J77" s="149"/>
      <c r="K77" s="296" t="n">
        <v>9.329</v>
      </c>
      <c r="L77" s="313" t="n">
        <f aca="false">7.845+1.95+0.875</f>
        <v>10.67</v>
      </c>
      <c r="M77" s="298" t="n">
        <f aca="false">K77+L77+O76</f>
        <v>26.353</v>
      </c>
      <c r="N77" s="298"/>
      <c r="O77" s="295" t="n">
        <f aca="false">M77-N77</f>
        <v>26.353</v>
      </c>
      <c r="P77" s="164"/>
      <c r="Q77" s="302" t="n">
        <f aca="false">E77+K77</f>
        <v>12.081</v>
      </c>
      <c r="R77" s="389" t="n">
        <f aca="false">F77+L77</f>
        <v>13.817</v>
      </c>
      <c r="S77" s="298"/>
      <c r="T77" s="295" t="n">
        <f aca="false">Q77+R77+V76+S77</f>
        <v>41.99402</v>
      </c>
      <c r="U77" s="305" t="n">
        <f aca="false">H77+N77</f>
        <v>0</v>
      </c>
      <c r="V77" s="295" t="n">
        <f aca="false">T77-U77</f>
        <v>41.99402</v>
      </c>
      <c r="W77" s="380" t="n">
        <f aca="false">U77/T77</f>
        <v>0</v>
      </c>
      <c r="X77" s="381"/>
      <c r="Y77" s="382"/>
      <c r="Z77" s="149"/>
      <c r="AA77" s="307"/>
    </row>
    <row r="78" customFormat="false" ht="14.4" hidden="false" customHeight="false" outlineLevel="0" collapsed="false">
      <c r="A78" s="377"/>
      <c r="B78" s="378"/>
      <c r="C78" s="268" t="n">
        <v>41913</v>
      </c>
      <c r="D78" s="269" t="n">
        <v>42004</v>
      </c>
      <c r="E78" s="270" t="n">
        <v>1.812</v>
      </c>
      <c r="F78" s="130" t="n">
        <f aca="false">1.524+0.379+0.17</f>
        <v>2.073</v>
      </c>
      <c r="G78" s="88" t="n">
        <f aca="false">E78+F78+I77</f>
        <v>19.568</v>
      </c>
      <c r="H78" s="395"/>
      <c r="I78" s="272" t="n">
        <f aca="false">G78-H78</f>
        <v>19.568</v>
      </c>
      <c r="J78" s="149"/>
      <c r="K78" s="308" t="n">
        <v>6.208</v>
      </c>
      <c r="L78" s="275" t="n">
        <f aca="false">5.22+1.298+0.583</f>
        <v>7.101</v>
      </c>
      <c r="M78" s="227" t="n">
        <f aca="false">K78+L78+O77</f>
        <v>39.662</v>
      </c>
      <c r="N78" s="161" t="n">
        <v>12.161</v>
      </c>
      <c r="O78" s="272" t="n">
        <f aca="false">M78-N78</f>
        <v>27.501</v>
      </c>
      <c r="P78" s="164"/>
      <c r="Q78" s="277" t="n">
        <f aca="false">E78+K78</f>
        <v>8.02</v>
      </c>
      <c r="R78" s="279" t="n">
        <f aca="false">F78+L78</f>
        <v>9.174</v>
      </c>
      <c r="S78" s="227"/>
      <c r="T78" s="272" t="n">
        <f aca="false">Q78+R78+V77+S78</f>
        <v>59.18802</v>
      </c>
      <c r="U78" s="280" t="n">
        <f aca="false">H78+N78</f>
        <v>12.161</v>
      </c>
      <c r="V78" s="272" t="n">
        <f aca="false">T78-U78</f>
        <v>47.02702</v>
      </c>
      <c r="W78" s="387" t="n">
        <f aca="false">U78/T78</f>
        <v>0.205463875966792</v>
      </c>
      <c r="X78" s="381"/>
      <c r="Y78" s="382"/>
      <c r="Z78" s="149"/>
      <c r="AA78" s="307"/>
    </row>
    <row r="79" customFormat="false" ht="14.4" hidden="false" customHeight="true" outlineLevel="0" collapsed="false">
      <c r="A79" s="377"/>
      <c r="B79" s="396" t="s">
        <v>164</v>
      </c>
      <c r="C79" s="254" t="n">
        <v>41730</v>
      </c>
      <c r="D79" s="255" t="n">
        <v>41820</v>
      </c>
      <c r="E79" s="256" t="n">
        <v>7.11</v>
      </c>
      <c r="F79" s="56"/>
      <c r="G79" s="89" t="n">
        <f aca="false">E79+F79</f>
        <v>7.11</v>
      </c>
      <c r="H79" s="379"/>
      <c r="I79" s="258" t="n">
        <f aca="false">G79-H79</f>
        <v>7.11</v>
      </c>
      <c r="J79" s="149" t="n">
        <f aca="false">E79+E80+E81+F79+F80+F81</f>
        <v>14.22</v>
      </c>
      <c r="K79" s="327" t="n">
        <v>24.207</v>
      </c>
      <c r="L79" s="283"/>
      <c r="M79" s="226" t="n">
        <f aca="false">K79+L79</f>
        <v>24.207</v>
      </c>
      <c r="N79" s="226"/>
      <c r="O79" s="258" t="n">
        <f aca="false">M79-N79</f>
        <v>24.207</v>
      </c>
      <c r="P79" s="164" t="n">
        <f aca="false">K79+K80+K81+L79+L80+L81</f>
        <v>48.414</v>
      </c>
      <c r="Q79" s="302" t="n">
        <f aca="false">E79+K79</f>
        <v>31.317</v>
      </c>
      <c r="R79" s="397" t="n">
        <f aca="false">F79+L79</f>
        <v>0</v>
      </c>
      <c r="T79" s="295" t="n">
        <f aca="false">Q79+R79+S79</f>
        <v>31.317</v>
      </c>
      <c r="U79" s="305" t="n">
        <f aca="false">H79+N79</f>
        <v>0</v>
      </c>
      <c r="V79" s="295" t="n">
        <f aca="false">T79-U79</f>
        <v>31.317</v>
      </c>
      <c r="W79" s="390" t="n">
        <f aca="false">U79/T79</f>
        <v>0</v>
      </c>
      <c r="X79" s="391" t="n">
        <f aca="false">Q79+Q80+Q81+R79+R80+R81+S79+S80+S81</f>
        <v>62.634</v>
      </c>
      <c r="Y79" s="382" t="n">
        <f aca="false">U79+U80+U81</f>
        <v>59.149</v>
      </c>
      <c r="Z79" s="186" t="n">
        <f aca="false">X79-Y79</f>
        <v>3.485</v>
      </c>
      <c r="AA79" s="307" t="n">
        <f aca="false">Y79/X79</f>
        <v>0.944359293674362</v>
      </c>
    </row>
    <row r="80" customFormat="false" ht="14.4" hidden="false" customHeight="false" outlineLevel="0" collapsed="false">
      <c r="A80" s="377"/>
      <c r="B80" s="396"/>
      <c r="C80" s="290" t="n">
        <v>41821</v>
      </c>
      <c r="D80" s="291" t="n">
        <v>41912</v>
      </c>
      <c r="E80" s="292" t="n">
        <v>4.287</v>
      </c>
      <c r="F80" s="95"/>
      <c r="G80" s="293" t="n">
        <f aca="false">E80+F80+I79</f>
        <v>11.397</v>
      </c>
      <c r="H80" s="383"/>
      <c r="I80" s="295" t="n">
        <f aca="false">G80-H80</f>
        <v>11.397</v>
      </c>
      <c r="J80" s="149"/>
      <c r="K80" s="296" t="n">
        <v>14.535</v>
      </c>
      <c r="L80" s="297"/>
      <c r="M80" s="298" t="n">
        <f aca="false">K80+L80+O79</f>
        <v>38.742</v>
      </c>
      <c r="N80" s="298"/>
      <c r="O80" s="295" t="n">
        <f aca="false">M80-N80</f>
        <v>38.742</v>
      </c>
      <c r="P80" s="164"/>
      <c r="Q80" s="302" t="n">
        <f aca="false">E80+K80</f>
        <v>18.822</v>
      </c>
      <c r="R80" s="397" t="n">
        <f aca="false">F80+L80</f>
        <v>0</v>
      </c>
      <c r="T80" s="295" t="n">
        <f aca="false">Q80+R80+V79+S80</f>
        <v>50.139</v>
      </c>
      <c r="U80" s="305" t="n">
        <f aca="false">H80+N80</f>
        <v>0</v>
      </c>
      <c r="V80" s="295" t="n">
        <f aca="false">T80-U80</f>
        <v>50.139</v>
      </c>
      <c r="W80" s="380" t="n">
        <f aca="false">U80/T80</f>
        <v>0</v>
      </c>
      <c r="X80" s="391"/>
      <c r="Y80" s="382"/>
      <c r="Z80" s="186"/>
      <c r="AA80" s="307"/>
    </row>
    <row r="81" customFormat="false" ht="14.4" hidden="false" customHeight="false" outlineLevel="0" collapsed="false">
      <c r="A81" s="377"/>
      <c r="B81" s="396"/>
      <c r="C81" s="268" t="n">
        <v>41913</v>
      </c>
      <c r="D81" s="269" t="n">
        <v>42004</v>
      </c>
      <c r="E81" s="270" t="n">
        <v>2.823</v>
      </c>
      <c r="F81" s="63"/>
      <c r="G81" s="88" t="n">
        <f aca="false">E81+F81+I80</f>
        <v>14.22</v>
      </c>
      <c r="H81" s="384" t="n">
        <v>11.123</v>
      </c>
      <c r="I81" s="272" t="n">
        <f aca="false">G81-H81</f>
        <v>3.097</v>
      </c>
      <c r="J81" s="149"/>
      <c r="K81" s="308" t="n">
        <v>9.672</v>
      </c>
      <c r="L81" s="273"/>
      <c r="M81" s="227" t="n">
        <f aca="false">K81+L81+O80</f>
        <v>48.414</v>
      </c>
      <c r="N81" s="161" t="n">
        <v>48.026</v>
      </c>
      <c r="O81" s="386" t="n">
        <f aca="false">M81-N81</f>
        <v>0.387999999999998</v>
      </c>
      <c r="P81" s="164"/>
      <c r="Q81" s="302" t="n">
        <f aca="false">E81+K81</f>
        <v>12.495</v>
      </c>
      <c r="R81" s="397" t="n">
        <f aca="false">F81+L81</f>
        <v>0</v>
      </c>
      <c r="T81" s="295" t="n">
        <f aca="false">Q81+R81+V80+S81</f>
        <v>62.634</v>
      </c>
      <c r="U81" s="305" t="n">
        <f aca="false">H81+N81</f>
        <v>59.149</v>
      </c>
      <c r="V81" s="398" t="n">
        <f aca="false">T81-U81</f>
        <v>3.485</v>
      </c>
      <c r="W81" s="380" t="n">
        <f aca="false">U81/T81</f>
        <v>0.944359293674362</v>
      </c>
      <c r="X81" s="391"/>
      <c r="Y81" s="382"/>
      <c r="Z81" s="186"/>
      <c r="AA81" s="307"/>
    </row>
    <row r="82" customFormat="false" ht="14.4" hidden="false" customHeight="true" outlineLevel="0" collapsed="false">
      <c r="A82" s="377"/>
      <c r="B82" s="396" t="s">
        <v>165</v>
      </c>
      <c r="C82" s="254" t="n">
        <v>41730</v>
      </c>
      <c r="D82" s="255" t="n">
        <v>41820</v>
      </c>
      <c r="E82" s="256" t="n">
        <v>3.466</v>
      </c>
      <c r="F82" s="56" t="n">
        <f aca="false">-3.466</f>
        <v>-3.466</v>
      </c>
      <c r="G82" s="89" t="n">
        <f aca="false">E82+F82</f>
        <v>0</v>
      </c>
      <c r="H82" s="379"/>
      <c r="I82" s="258" t="n">
        <f aca="false">G82-H82</f>
        <v>0</v>
      </c>
      <c r="J82" s="149" t="n">
        <f aca="false">E82+E83+E84+F82+F83+F84</f>
        <v>0</v>
      </c>
      <c r="K82" s="327" t="n">
        <v>11.799</v>
      </c>
      <c r="L82" s="283" t="n">
        <f aca="false">-11.799</f>
        <v>-11.799</v>
      </c>
      <c r="M82" s="226" t="n">
        <f aca="false">K82+L82</f>
        <v>0</v>
      </c>
      <c r="N82" s="226"/>
      <c r="O82" s="258" t="n">
        <f aca="false">M82-N82</f>
        <v>0</v>
      </c>
      <c r="P82" s="164" t="n">
        <f aca="false">K82+K83+K84+L82+L83+L84</f>
        <v>0</v>
      </c>
      <c r="Q82" s="261" t="n">
        <f aca="false">E82+K82</f>
        <v>15.265</v>
      </c>
      <c r="R82" s="286" t="n">
        <f aca="false">F82+L82</f>
        <v>-15.265</v>
      </c>
      <c r="S82" s="226"/>
      <c r="T82" s="258" t="n">
        <f aca="false">Q82+R82+S82</f>
        <v>0</v>
      </c>
      <c r="U82" s="263" t="n">
        <f aca="false">H82+N82</f>
        <v>0</v>
      </c>
      <c r="V82" s="258" t="n">
        <f aca="false">T82-U82</f>
        <v>0</v>
      </c>
      <c r="W82" s="380" t="e">
        <f aca="false">U82/T82</f>
        <v>#DIV/0!</v>
      </c>
      <c r="X82" s="381" t="n">
        <f aca="false">Q82+Q83+Q84+R82+R83+R84+S82+S83+S84</f>
        <v>0</v>
      </c>
      <c r="Y82" s="382" t="n">
        <f aca="false">U82+U83+U84</f>
        <v>0</v>
      </c>
      <c r="Z82" s="149" t="n">
        <f aca="false">X82-Y82</f>
        <v>0</v>
      </c>
      <c r="AA82" s="307" t="e">
        <f aca="false">Y82/X82</f>
        <v>#DIV/0!</v>
      </c>
    </row>
    <row r="83" customFormat="false" ht="14.4" hidden="false" customHeight="false" outlineLevel="0" collapsed="false">
      <c r="A83" s="377"/>
      <c r="B83" s="396"/>
      <c r="C83" s="290" t="n">
        <v>41821</v>
      </c>
      <c r="D83" s="291" t="n">
        <v>41912</v>
      </c>
      <c r="E83" s="292" t="n">
        <v>2.09</v>
      </c>
      <c r="F83" s="95" t="n">
        <f aca="false">-2.09</f>
        <v>-2.09</v>
      </c>
      <c r="G83" s="293" t="n">
        <f aca="false">E83+F83+I82</f>
        <v>0</v>
      </c>
      <c r="H83" s="383"/>
      <c r="I83" s="295" t="n">
        <f aca="false">G83-H83</f>
        <v>0</v>
      </c>
      <c r="J83" s="149"/>
      <c r="K83" s="296" t="n">
        <v>7.085</v>
      </c>
      <c r="L83" s="297" t="n">
        <f aca="false">-7.085</f>
        <v>-7.085</v>
      </c>
      <c r="M83" s="298" t="n">
        <f aca="false">K83+L83+O82</f>
        <v>0</v>
      </c>
      <c r="N83" s="298"/>
      <c r="O83" s="295" t="n">
        <f aca="false">M83-N83</f>
        <v>0</v>
      </c>
      <c r="P83" s="164"/>
      <c r="Q83" s="302" t="n">
        <f aca="false">E83+K83</f>
        <v>9.175</v>
      </c>
      <c r="R83" s="304" t="n">
        <f aca="false">F83+L83</f>
        <v>-9.175</v>
      </c>
      <c r="S83" s="298"/>
      <c r="T83" s="295" t="n">
        <f aca="false">Q83+R83+V82+S83</f>
        <v>0</v>
      </c>
      <c r="U83" s="305" t="n">
        <f aca="false">H83+N83</f>
        <v>0</v>
      </c>
      <c r="V83" s="295" t="n">
        <f aca="false">T83-U83</f>
        <v>0</v>
      </c>
      <c r="W83" s="380" t="e">
        <f aca="false">U83/T83</f>
        <v>#DIV/0!</v>
      </c>
      <c r="X83" s="381"/>
      <c r="Y83" s="382"/>
      <c r="Z83" s="149"/>
      <c r="AA83" s="307"/>
    </row>
    <row r="84" customFormat="false" ht="14.4" hidden="false" customHeight="false" outlineLevel="0" collapsed="false">
      <c r="A84" s="377"/>
      <c r="B84" s="396"/>
      <c r="C84" s="268" t="n">
        <v>41913</v>
      </c>
      <c r="D84" s="269" t="n">
        <v>42004</v>
      </c>
      <c r="E84" s="270" t="n">
        <v>1.376</v>
      </c>
      <c r="F84" s="63" t="n">
        <f aca="false">-1.376</f>
        <v>-1.376</v>
      </c>
      <c r="G84" s="88" t="n">
        <f aca="false">E84+F84+I83</f>
        <v>0</v>
      </c>
      <c r="H84" s="384"/>
      <c r="I84" s="272" t="n">
        <f aca="false">G84-H84</f>
        <v>0</v>
      </c>
      <c r="J84" s="149"/>
      <c r="K84" s="308" t="n">
        <v>4.715</v>
      </c>
      <c r="L84" s="273" t="n">
        <f aca="false">-4.715</f>
        <v>-4.715</v>
      </c>
      <c r="M84" s="227" t="n">
        <f aca="false">K84+L84+O83</f>
        <v>0</v>
      </c>
      <c r="N84" s="227"/>
      <c r="O84" s="272" t="n">
        <f aca="false">M84-N84</f>
        <v>0</v>
      </c>
      <c r="P84" s="164"/>
      <c r="Q84" s="277" t="n">
        <f aca="false">E84+K84</f>
        <v>6.091</v>
      </c>
      <c r="R84" s="316" t="n">
        <f aca="false">F84+L84</f>
        <v>-6.091</v>
      </c>
      <c r="S84" s="227"/>
      <c r="T84" s="272" t="n">
        <f aca="false">Q84+R84+V83+S84</f>
        <v>0</v>
      </c>
      <c r="U84" s="280" t="n">
        <f aca="false">H84+N84</f>
        <v>0</v>
      </c>
      <c r="V84" s="272" t="n">
        <f aca="false">T84-U84</f>
        <v>0</v>
      </c>
      <c r="W84" s="387" t="e">
        <f aca="false">U84/T84</f>
        <v>#DIV/0!</v>
      </c>
      <c r="X84" s="381"/>
      <c r="Y84" s="382"/>
      <c r="Z84" s="149"/>
      <c r="AA84" s="307"/>
    </row>
    <row r="85" customFormat="false" ht="14.4" hidden="false" customHeight="true" outlineLevel="0" collapsed="false">
      <c r="A85" s="377"/>
      <c r="B85" s="396" t="s">
        <v>185</v>
      </c>
      <c r="C85" s="254" t="n">
        <v>41730</v>
      </c>
      <c r="D85" s="255" t="n">
        <v>41820</v>
      </c>
      <c r="E85" s="256" t="n">
        <v>0</v>
      </c>
      <c r="F85" s="89"/>
      <c r="G85" s="89" t="n">
        <f aca="false">E85+F85</f>
        <v>0</v>
      </c>
      <c r="H85" s="379"/>
      <c r="I85" s="258" t="n">
        <f aca="false">G85-H85</f>
        <v>0</v>
      </c>
      <c r="J85" s="149" t="n">
        <f aca="false">E85+E86+E87+F85+F86+F87</f>
        <v>0</v>
      </c>
      <c r="K85" s="327" t="n">
        <v>0</v>
      </c>
      <c r="L85" s="226"/>
      <c r="M85" s="226" t="n">
        <f aca="false">K85+L85</f>
        <v>0</v>
      </c>
      <c r="N85" s="226"/>
      <c r="O85" s="258" t="n">
        <f aca="false">M85-N85</f>
        <v>0</v>
      </c>
      <c r="P85" s="164" t="n">
        <f aca="false">K85+K86+K87+L85+L86+L87</f>
        <v>0</v>
      </c>
      <c r="Q85" s="261" t="n">
        <f aca="false">E85+K85</f>
        <v>0</v>
      </c>
      <c r="R85" s="287" t="n">
        <f aca="false">F85+L85</f>
        <v>0</v>
      </c>
      <c r="S85" s="224" t="n">
        <f aca="false">0.03</f>
        <v>0.03</v>
      </c>
      <c r="T85" s="258" t="n">
        <f aca="false">Q85+R85+S85</f>
        <v>0.03</v>
      </c>
      <c r="U85" s="263" t="n">
        <f aca="false">H85+N85</f>
        <v>0</v>
      </c>
      <c r="V85" s="258" t="n">
        <f aca="false">T85-U85</f>
        <v>0.03</v>
      </c>
      <c r="W85" s="380" t="n">
        <f aca="false">U85/T85</f>
        <v>0</v>
      </c>
      <c r="X85" s="381" t="n">
        <f aca="false">Q85+Q86+Q87+R85+R86+R87+S85+S86+S87</f>
        <v>0.03</v>
      </c>
      <c r="Y85" s="382" t="n">
        <f aca="false">U85+U86+U87</f>
        <v>0</v>
      </c>
      <c r="Z85" s="149" t="n">
        <f aca="false">X85-Y85</f>
        <v>0.03</v>
      </c>
      <c r="AA85" s="307" t="n">
        <f aca="false">Y85/X85</f>
        <v>0</v>
      </c>
    </row>
    <row r="86" customFormat="false" ht="14.4" hidden="false" customHeight="false" outlineLevel="0" collapsed="false">
      <c r="A86" s="377"/>
      <c r="B86" s="396"/>
      <c r="C86" s="290" t="n">
        <v>41821</v>
      </c>
      <c r="D86" s="291" t="n">
        <v>41912</v>
      </c>
      <c r="E86" s="292" t="n">
        <v>0</v>
      </c>
      <c r="F86" s="293"/>
      <c r="G86" s="293" t="n">
        <f aca="false">E86+F86+I85</f>
        <v>0</v>
      </c>
      <c r="H86" s="383"/>
      <c r="I86" s="295" t="n">
        <f aca="false">G86-H86</f>
        <v>0</v>
      </c>
      <c r="J86" s="149"/>
      <c r="K86" s="296" t="n">
        <v>0</v>
      </c>
      <c r="L86" s="298"/>
      <c r="M86" s="298" t="n">
        <f aca="false">K86+L86+O85</f>
        <v>0</v>
      </c>
      <c r="N86" s="298"/>
      <c r="O86" s="295" t="n">
        <f aca="false">M86-N86</f>
        <v>0</v>
      </c>
      <c r="P86" s="164"/>
      <c r="Q86" s="302" t="n">
        <f aca="false">E86+K86</f>
        <v>0</v>
      </c>
      <c r="R86" s="151" t="n">
        <f aca="false">F86+L86</f>
        <v>0</v>
      </c>
      <c r="S86" s="298"/>
      <c r="T86" s="295" t="n">
        <f aca="false">Q86+R86+V85+S86</f>
        <v>0.03</v>
      </c>
      <c r="U86" s="305" t="n">
        <f aca="false">H86+N86</f>
        <v>0</v>
      </c>
      <c r="V86" s="295" t="n">
        <f aca="false">T86-U86</f>
        <v>0.03</v>
      </c>
      <c r="W86" s="380" t="n">
        <f aca="false">U86/T86</f>
        <v>0</v>
      </c>
      <c r="X86" s="381"/>
      <c r="Y86" s="382"/>
      <c r="Z86" s="149"/>
      <c r="AA86" s="307"/>
    </row>
    <row r="87" customFormat="false" ht="14.4" hidden="false" customHeight="false" outlineLevel="0" collapsed="false">
      <c r="A87" s="377"/>
      <c r="B87" s="396"/>
      <c r="C87" s="268" t="n">
        <v>41913</v>
      </c>
      <c r="D87" s="269" t="n">
        <v>42004</v>
      </c>
      <c r="E87" s="270" t="n">
        <v>0</v>
      </c>
      <c r="F87" s="88"/>
      <c r="G87" s="88" t="n">
        <f aca="false">E87+F87+I86</f>
        <v>0</v>
      </c>
      <c r="H87" s="384"/>
      <c r="I87" s="272" t="n">
        <f aca="false">G87-H87</f>
        <v>0</v>
      </c>
      <c r="J87" s="149"/>
      <c r="K87" s="308" t="n">
        <v>0</v>
      </c>
      <c r="L87" s="227"/>
      <c r="M87" s="227" t="n">
        <f aca="false">K87+L87+O86</f>
        <v>0</v>
      </c>
      <c r="N87" s="227"/>
      <c r="O87" s="227" t="n">
        <f aca="false">M87-N87</f>
        <v>0</v>
      </c>
      <c r="P87" s="164"/>
      <c r="Q87" s="277" t="n">
        <f aca="false">E87+K87</f>
        <v>0</v>
      </c>
      <c r="R87" s="223" t="n">
        <f aca="false">F87+L87</f>
        <v>0</v>
      </c>
      <c r="S87" s="227"/>
      <c r="T87" s="272" t="n">
        <f aca="false">Q87+R87+V86+S87</f>
        <v>0.03</v>
      </c>
      <c r="U87" s="280" t="n">
        <f aca="false">H87+N87</f>
        <v>0</v>
      </c>
      <c r="V87" s="272" t="n">
        <f aca="false">T87-U87</f>
        <v>0.03</v>
      </c>
      <c r="W87" s="387" t="n">
        <f aca="false">U87/T87</f>
        <v>0</v>
      </c>
      <c r="X87" s="381"/>
      <c r="Y87" s="382"/>
      <c r="Z87" s="149"/>
      <c r="AA87" s="307"/>
    </row>
    <row r="88" customFormat="false" ht="14.4" hidden="false" customHeight="true" outlineLevel="0" collapsed="false">
      <c r="A88" s="377"/>
      <c r="B88" s="399" t="s">
        <v>166</v>
      </c>
      <c r="C88" s="254" t="n">
        <v>41730</v>
      </c>
      <c r="D88" s="255" t="n">
        <v>41820</v>
      </c>
      <c r="E88" s="256" t="n">
        <v>0</v>
      </c>
      <c r="F88" s="89"/>
      <c r="G88" s="89" t="n">
        <f aca="false">E88+F88</f>
        <v>0</v>
      </c>
      <c r="H88" s="379"/>
      <c r="I88" s="258" t="n">
        <f aca="false">G88-H88</f>
        <v>0</v>
      </c>
      <c r="J88" s="149" t="n">
        <f aca="false">E88+E89+E90+F88+F89+F90</f>
        <v>0</v>
      </c>
      <c r="K88" s="327" t="n">
        <v>0</v>
      </c>
      <c r="L88" s="226"/>
      <c r="M88" s="226" t="n">
        <f aca="false">K88+L88</f>
        <v>0</v>
      </c>
      <c r="N88" s="226"/>
      <c r="O88" s="226" t="n">
        <f aca="false">M88-N88</f>
        <v>0</v>
      </c>
      <c r="P88" s="164" t="n">
        <f aca="false">K88+K89+K90+L88+L89+L90</f>
        <v>0</v>
      </c>
      <c r="Q88" s="261" t="n">
        <f aca="false">E88+K88</f>
        <v>0</v>
      </c>
      <c r="R88" s="287" t="n">
        <f aca="false">F88+L88</f>
        <v>0</v>
      </c>
      <c r="S88" s="224" t="n">
        <f aca="false">0.755</f>
        <v>0.755</v>
      </c>
      <c r="T88" s="258" t="n">
        <f aca="false">Q88+R88+S88</f>
        <v>0.755</v>
      </c>
      <c r="U88" s="263" t="n">
        <f aca="false">H88+N88</f>
        <v>0</v>
      </c>
      <c r="V88" s="258" t="n">
        <f aca="false">T88-U88</f>
        <v>0.755</v>
      </c>
      <c r="W88" s="380" t="n">
        <f aca="false">U88/T88</f>
        <v>0</v>
      </c>
      <c r="X88" s="381" t="n">
        <f aca="false">Q88+Q89+Q90+R88+R89+R90+S88+S89+S90</f>
        <v>0.755</v>
      </c>
      <c r="Y88" s="382" t="n">
        <f aca="false">U88+U89+U90</f>
        <v>0</v>
      </c>
      <c r="Z88" s="149" t="n">
        <f aca="false">X88-Y88</f>
        <v>0.755</v>
      </c>
      <c r="AA88" s="307" t="n">
        <f aca="false">Y88/X88</f>
        <v>0</v>
      </c>
    </row>
    <row r="89" customFormat="false" ht="14.4" hidden="false" customHeight="false" outlineLevel="0" collapsed="false">
      <c r="A89" s="377"/>
      <c r="B89" s="399"/>
      <c r="C89" s="290" t="n">
        <v>41821</v>
      </c>
      <c r="D89" s="291" t="n">
        <v>41912</v>
      </c>
      <c r="E89" s="292" t="n">
        <v>0</v>
      </c>
      <c r="F89" s="293"/>
      <c r="G89" s="293" t="n">
        <f aca="false">E89+F89+I88</f>
        <v>0</v>
      </c>
      <c r="H89" s="383"/>
      <c r="I89" s="295" t="n">
        <f aca="false">G89-H89</f>
        <v>0</v>
      </c>
      <c r="J89" s="149"/>
      <c r="K89" s="296" t="n">
        <v>0</v>
      </c>
      <c r="L89" s="298"/>
      <c r="M89" s="298" t="n">
        <f aca="false">K89+L89+O88</f>
        <v>0</v>
      </c>
      <c r="N89" s="298"/>
      <c r="O89" s="298" t="n">
        <f aca="false">M89-N89</f>
        <v>0</v>
      </c>
      <c r="P89" s="164"/>
      <c r="Q89" s="302" t="n">
        <f aca="false">E89+K89</f>
        <v>0</v>
      </c>
      <c r="R89" s="151" t="n">
        <f aca="false">F89+L89</f>
        <v>0</v>
      </c>
      <c r="S89" s="298"/>
      <c r="T89" s="295" t="n">
        <f aca="false">Q89+R89+V88+S89</f>
        <v>0.755</v>
      </c>
      <c r="U89" s="305" t="n">
        <f aca="false">H89+N89</f>
        <v>0</v>
      </c>
      <c r="V89" s="295" t="n">
        <f aca="false">T89-U89</f>
        <v>0.755</v>
      </c>
      <c r="W89" s="380" t="n">
        <f aca="false">U89/T89</f>
        <v>0</v>
      </c>
      <c r="X89" s="381"/>
      <c r="Y89" s="382"/>
      <c r="Z89" s="149"/>
      <c r="AA89" s="307"/>
    </row>
    <row r="90" customFormat="false" ht="14.4" hidden="false" customHeight="false" outlineLevel="0" collapsed="false">
      <c r="A90" s="377"/>
      <c r="B90" s="399"/>
      <c r="C90" s="268" t="n">
        <v>41913</v>
      </c>
      <c r="D90" s="269" t="n">
        <v>42004</v>
      </c>
      <c r="E90" s="270" t="n">
        <v>0</v>
      </c>
      <c r="F90" s="88"/>
      <c r="G90" s="88" t="n">
        <f aca="false">E90+F90+I89</f>
        <v>0</v>
      </c>
      <c r="H90" s="384"/>
      <c r="I90" s="272" t="n">
        <f aca="false">G90-H90</f>
        <v>0</v>
      </c>
      <c r="J90" s="149"/>
      <c r="K90" s="308" t="n">
        <v>0</v>
      </c>
      <c r="L90" s="227"/>
      <c r="M90" s="227" t="n">
        <f aca="false">K90+L90+O89</f>
        <v>0</v>
      </c>
      <c r="N90" s="227"/>
      <c r="O90" s="227" t="n">
        <f aca="false">M90-N90</f>
        <v>0</v>
      </c>
      <c r="P90" s="164"/>
      <c r="Q90" s="277" t="n">
        <f aca="false">E90+K90</f>
        <v>0</v>
      </c>
      <c r="R90" s="223" t="n">
        <f aca="false">F90+L90</f>
        <v>0</v>
      </c>
      <c r="S90" s="227"/>
      <c r="T90" s="272" t="n">
        <f aca="false">Q90+R90+V89+S90</f>
        <v>0.755</v>
      </c>
      <c r="U90" s="280" t="n">
        <f aca="false">H90+N90</f>
        <v>0</v>
      </c>
      <c r="V90" s="272" t="n">
        <f aca="false">T90-U90</f>
        <v>0.755</v>
      </c>
      <c r="W90" s="387" t="n">
        <f aca="false">U90/T90</f>
        <v>0</v>
      </c>
      <c r="X90" s="381"/>
      <c r="Y90" s="382"/>
      <c r="Z90" s="149"/>
      <c r="AA90" s="307"/>
    </row>
    <row r="91" customFormat="false" ht="14.4" hidden="false" customHeight="true" outlineLevel="0" collapsed="false">
      <c r="A91" s="377"/>
      <c r="B91" s="399" t="s">
        <v>186</v>
      </c>
      <c r="C91" s="254" t="n">
        <v>41730</v>
      </c>
      <c r="D91" s="255" t="n">
        <v>41820</v>
      </c>
      <c r="E91" s="256" t="n">
        <v>0</v>
      </c>
      <c r="F91" s="89"/>
      <c r="G91" s="89" t="n">
        <f aca="false">E91+F91</f>
        <v>0</v>
      </c>
      <c r="H91" s="379"/>
      <c r="I91" s="258" t="n">
        <f aca="false">G91-H91</f>
        <v>0</v>
      </c>
      <c r="J91" s="149" t="n">
        <f aca="false">E91+E92+E93+F91+F92+F93</f>
        <v>0</v>
      </c>
      <c r="K91" s="327" t="n">
        <v>0</v>
      </c>
      <c r="L91" s="226"/>
      <c r="M91" s="226" t="n">
        <f aca="false">K91+L91</f>
        <v>0</v>
      </c>
      <c r="N91" s="226"/>
      <c r="O91" s="226" t="n">
        <f aca="false">M91-N91</f>
        <v>0</v>
      </c>
      <c r="P91" s="164" t="n">
        <f aca="false">K91+K92+K93+L91+L92+L93</f>
        <v>0</v>
      </c>
      <c r="Q91" s="261" t="n">
        <f aca="false">E91+K91</f>
        <v>0</v>
      </c>
      <c r="R91" s="287" t="n">
        <f aca="false">F91+L91</f>
        <v>0</v>
      </c>
      <c r="S91" s="224" t="n">
        <f aca="false">0.01198</f>
        <v>0.01198</v>
      </c>
      <c r="T91" s="258" t="n">
        <f aca="false">Q91+R91+S91</f>
        <v>0.01198</v>
      </c>
      <c r="U91" s="263" t="n">
        <f aca="false">H91+N91</f>
        <v>0</v>
      </c>
      <c r="V91" s="258" t="n">
        <f aca="false">T91-U91</f>
        <v>0.01198</v>
      </c>
      <c r="W91" s="380" t="n">
        <f aca="false">U91/T91</f>
        <v>0</v>
      </c>
      <c r="X91" s="381" t="n">
        <f aca="false">Q91+Q92+Q93+R91+R92+R93+S91+S92+S93</f>
        <v>0.01198</v>
      </c>
      <c r="Y91" s="382" t="n">
        <f aca="false">U91+U92+U93</f>
        <v>0</v>
      </c>
      <c r="Z91" s="149" t="n">
        <f aca="false">X91-Y91</f>
        <v>0.01198</v>
      </c>
      <c r="AA91" s="307" t="n">
        <f aca="false">Y91/X91</f>
        <v>0</v>
      </c>
      <c r="AB91" s="400"/>
      <c r="AC91" s="400"/>
      <c r="AD91" s="400"/>
      <c r="AE91" s="400"/>
      <c r="AF91" s="400"/>
      <c r="AG91" s="400"/>
      <c r="AH91" s="400"/>
      <c r="AI91" s="400"/>
      <c r="AJ91" s="400"/>
      <c r="AK91" s="400"/>
      <c r="AL91" s="400"/>
      <c r="AM91" s="400"/>
      <c r="AN91" s="400"/>
      <c r="AO91" s="400"/>
      <c r="AP91" s="400"/>
      <c r="AQ91" s="400"/>
      <c r="AR91" s="400"/>
      <c r="AS91" s="400"/>
      <c r="AT91" s="400"/>
      <c r="AU91" s="400"/>
      <c r="AV91" s="400"/>
      <c r="AW91" s="400"/>
      <c r="AX91" s="400"/>
      <c r="AY91" s="400"/>
      <c r="AZ91" s="400"/>
      <c r="BA91" s="400"/>
      <c r="BB91" s="400"/>
      <c r="BC91" s="400"/>
      <c r="BD91" s="400"/>
      <c r="BE91" s="400"/>
    </row>
    <row r="92" customFormat="false" ht="14.4" hidden="false" customHeight="false" outlineLevel="0" collapsed="false">
      <c r="A92" s="377"/>
      <c r="B92" s="399"/>
      <c r="C92" s="290" t="n">
        <v>41821</v>
      </c>
      <c r="D92" s="291" t="n">
        <v>41912</v>
      </c>
      <c r="E92" s="292" t="n">
        <v>0</v>
      </c>
      <c r="F92" s="293"/>
      <c r="G92" s="293" t="n">
        <f aca="false">E92+F92+I91</f>
        <v>0</v>
      </c>
      <c r="H92" s="383"/>
      <c r="I92" s="295" t="n">
        <f aca="false">G92-H92</f>
        <v>0</v>
      </c>
      <c r="J92" s="149"/>
      <c r="K92" s="296" t="n">
        <v>0</v>
      </c>
      <c r="L92" s="298"/>
      <c r="M92" s="298" t="n">
        <f aca="false">K92+L92+O91</f>
        <v>0</v>
      </c>
      <c r="N92" s="298"/>
      <c r="O92" s="298" t="n">
        <f aca="false">M92-N92</f>
        <v>0</v>
      </c>
      <c r="P92" s="164"/>
      <c r="Q92" s="302" t="n">
        <f aca="false">E92+K92</f>
        <v>0</v>
      </c>
      <c r="R92" s="151" t="n">
        <f aca="false">F92+L92</f>
        <v>0</v>
      </c>
      <c r="S92" s="298"/>
      <c r="T92" s="295" t="n">
        <f aca="false">Q92+R92+V91+S92</f>
        <v>0.01198</v>
      </c>
      <c r="U92" s="305" t="n">
        <f aca="false">H92+N92</f>
        <v>0</v>
      </c>
      <c r="V92" s="295" t="n">
        <f aca="false">T92-U92</f>
        <v>0.01198</v>
      </c>
      <c r="W92" s="380" t="n">
        <f aca="false">U92/T92</f>
        <v>0</v>
      </c>
      <c r="X92" s="381"/>
      <c r="Y92" s="382"/>
      <c r="Z92" s="149"/>
      <c r="AA92" s="307"/>
      <c r="AB92" s="400"/>
      <c r="AC92" s="400"/>
      <c r="AD92" s="400"/>
      <c r="AE92" s="400"/>
      <c r="AF92" s="400"/>
      <c r="AG92" s="400"/>
      <c r="AH92" s="400"/>
      <c r="AI92" s="400"/>
      <c r="AJ92" s="400"/>
      <c r="AK92" s="400"/>
      <c r="AL92" s="400"/>
      <c r="AM92" s="400"/>
      <c r="AN92" s="400"/>
      <c r="AO92" s="400"/>
      <c r="AP92" s="400"/>
      <c r="AQ92" s="400"/>
      <c r="AR92" s="400"/>
      <c r="AS92" s="400"/>
      <c r="AT92" s="400"/>
      <c r="AU92" s="400"/>
      <c r="AV92" s="400"/>
      <c r="AW92" s="400"/>
      <c r="AX92" s="400"/>
      <c r="AY92" s="400"/>
      <c r="AZ92" s="400"/>
      <c r="BA92" s="400"/>
      <c r="BB92" s="400"/>
      <c r="BC92" s="400"/>
      <c r="BD92" s="400"/>
      <c r="BE92" s="400"/>
    </row>
    <row r="93" customFormat="false" ht="14.4" hidden="false" customHeight="false" outlineLevel="0" collapsed="false">
      <c r="A93" s="377"/>
      <c r="B93" s="399"/>
      <c r="C93" s="268" t="n">
        <v>41913</v>
      </c>
      <c r="D93" s="269" t="n">
        <v>42004</v>
      </c>
      <c r="E93" s="270" t="n">
        <v>0</v>
      </c>
      <c r="F93" s="88"/>
      <c r="G93" s="88" t="n">
        <f aca="false">E93+F93+I92</f>
        <v>0</v>
      </c>
      <c r="H93" s="384"/>
      <c r="I93" s="272" t="n">
        <f aca="false">G93-H93</f>
        <v>0</v>
      </c>
      <c r="J93" s="149"/>
      <c r="K93" s="308" t="n">
        <v>0</v>
      </c>
      <c r="L93" s="227"/>
      <c r="M93" s="227" t="n">
        <f aca="false">K93+L93+O92</f>
        <v>0</v>
      </c>
      <c r="N93" s="227"/>
      <c r="O93" s="227" t="n">
        <f aca="false">M93-N93</f>
        <v>0</v>
      </c>
      <c r="P93" s="164"/>
      <c r="Q93" s="277" t="n">
        <f aca="false">E93+K93</f>
        <v>0</v>
      </c>
      <c r="R93" s="223" t="n">
        <f aca="false">F93+L93</f>
        <v>0</v>
      </c>
      <c r="S93" s="227"/>
      <c r="T93" s="272" t="n">
        <f aca="false">Q93+R93+V92+S93</f>
        <v>0.01198</v>
      </c>
      <c r="U93" s="280" t="n">
        <f aca="false">H93+N93</f>
        <v>0</v>
      </c>
      <c r="V93" s="272" t="n">
        <f aca="false">T93-U93</f>
        <v>0.01198</v>
      </c>
      <c r="W93" s="387" t="n">
        <f aca="false">U93/T93</f>
        <v>0</v>
      </c>
      <c r="X93" s="381"/>
      <c r="Y93" s="382"/>
      <c r="Z93" s="149"/>
      <c r="AA93" s="307"/>
      <c r="AB93" s="400"/>
      <c r="AC93" s="400"/>
      <c r="AD93" s="400"/>
      <c r="AE93" s="400"/>
      <c r="AF93" s="400"/>
      <c r="AG93" s="400"/>
      <c r="AH93" s="400"/>
      <c r="AI93" s="400"/>
      <c r="AJ93" s="400"/>
      <c r="AK93" s="400"/>
      <c r="AL93" s="400"/>
      <c r="AM93" s="400"/>
      <c r="AN93" s="400"/>
      <c r="AO93" s="400"/>
      <c r="AP93" s="400"/>
      <c r="AQ93" s="400"/>
      <c r="AR93" s="400"/>
      <c r="AS93" s="400"/>
      <c r="AT93" s="400"/>
      <c r="AU93" s="400"/>
      <c r="AV93" s="400"/>
      <c r="AW93" s="400"/>
      <c r="AX93" s="400"/>
      <c r="AY93" s="400"/>
      <c r="AZ93" s="400"/>
      <c r="BA93" s="400"/>
      <c r="BB93" s="400"/>
      <c r="BC93" s="400"/>
      <c r="BD93" s="400"/>
      <c r="BE93" s="400"/>
    </row>
    <row r="94" customFormat="false" ht="14.4" hidden="false" customHeight="false" outlineLevel="0" collapsed="false">
      <c r="A94" s="360"/>
      <c r="B94" s="401"/>
      <c r="C94" s="362"/>
      <c r="D94" s="362"/>
      <c r="E94" s="292"/>
      <c r="F94" s="292"/>
      <c r="G94" s="292"/>
      <c r="H94" s="292"/>
      <c r="I94" s="400"/>
      <c r="J94" s="400"/>
      <c r="K94" s="400"/>
      <c r="L94" s="400"/>
      <c r="M94" s="400"/>
      <c r="N94" s="400"/>
      <c r="O94" s="400"/>
      <c r="P94" s="400"/>
      <c r="Q94" s="400"/>
      <c r="R94" s="400"/>
      <c r="S94" s="400"/>
      <c r="T94" s="400"/>
      <c r="U94" s="400"/>
      <c r="V94" s="400"/>
      <c r="W94" s="400"/>
      <c r="X94" s="400"/>
      <c r="Y94" s="400"/>
      <c r="Z94" s="400"/>
      <c r="AA94" s="400"/>
      <c r="AB94" s="400"/>
      <c r="AC94" s="400"/>
      <c r="AD94" s="400"/>
      <c r="AE94" s="400"/>
      <c r="AF94" s="400"/>
      <c r="AG94" s="400"/>
      <c r="AH94" s="400"/>
      <c r="AI94" s="400"/>
      <c r="AJ94" s="400"/>
      <c r="AK94" s="400"/>
      <c r="AL94" s="400"/>
      <c r="AM94" s="400"/>
      <c r="AN94" s="400"/>
      <c r="AO94" s="400"/>
      <c r="AP94" s="400"/>
      <c r="AQ94" s="400"/>
      <c r="AR94" s="400"/>
      <c r="AS94" s="400"/>
      <c r="AT94" s="400"/>
      <c r="AU94" s="400"/>
      <c r="AV94" s="400"/>
      <c r="AW94" s="400"/>
      <c r="AX94" s="400"/>
      <c r="AY94" s="400"/>
      <c r="AZ94" s="400"/>
      <c r="BA94" s="400"/>
      <c r="BB94" s="400"/>
      <c r="BC94" s="400"/>
      <c r="BD94" s="400"/>
      <c r="BE94" s="400"/>
    </row>
    <row r="95" customFormat="false" ht="15" hidden="false" customHeight="false" outlineLevel="0" collapsed="false">
      <c r="A95" s="6"/>
      <c r="B95" s="6"/>
      <c r="C95" s="292"/>
      <c r="D95" s="93"/>
      <c r="E95" s="292"/>
      <c r="F95" s="292"/>
      <c r="G95" s="292"/>
      <c r="H95" s="369"/>
    </row>
    <row r="96" customFormat="false" ht="16.2" hidden="false" customHeight="false" outlineLevel="0" collapsed="false">
      <c r="A96" s="6"/>
      <c r="B96" s="6"/>
      <c r="C96" s="370" t="s">
        <v>42</v>
      </c>
      <c r="D96" s="370"/>
      <c r="E96" s="233" t="s">
        <v>130</v>
      </c>
      <c r="F96" s="233"/>
      <c r="G96" s="233"/>
      <c r="H96" s="233" t="s">
        <v>131</v>
      </c>
      <c r="I96" s="233"/>
      <c r="K96" s="233" t="s">
        <v>132</v>
      </c>
      <c r="L96" s="233"/>
      <c r="M96" s="233"/>
      <c r="N96" s="233" t="s">
        <v>133</v>
      </c>
      <c r="O96" s="233"/>
      <c r="Q96" s="233" t="s">
        <v>134</v>
      </c>
      <c r="R96" s="233"/>
      <c r="S96" s="233"/>
      <c r="T96" s="233" t="s">
        <v>135</v>
      </c>
      <c r="U96" s="233"/>
      <c r="W96" s="402" t="s">
        <v>187</v>
      </c>
      <c r="X96" s="402"/>
      <c r="Y96" s="402"/>
      <c r="Z96" s="402"/>
      <c r="AA96" s="402" t="s">
        <v>188</v>
      </c>
      <c r="AB96" s="402"/>
      <c r="AC96" s="402"/>
      <c r="AD96" s="402" t="s">
        <v>189</v>
      </c>
      <c r="AE96" s="402"/>
      <c r="AF96" s="402"/>
      <c r="AG96" s="402"/>
    </row>
    <row r="97" customFormat="false" ht="55.8" hidden="false" customHeight="false" outlineLevel="0" collapsed="false">
      <c r="A97" s="6"/>
      <c r="B97" s="48" t="s">
        <v>176</v>
      </c>
      <c r="C97" s="49" t="s">
        <v>48</v>
      </c>
      <c r="D97" s="49" t="s">
        <v>49</v>
      </c>
      <c r="E97" s="50" t="s">
        <v>50</v>
      </c>
      <c r="F97" s="50" t="s">
        <v>51</v>
      </c>
      <c r="G97" s="50" t="s">
        <v>52</v>
      </c>
      <c r="H97" s="51" t="s">
        <v>53</v>
      </c>
      <c r="I97" s="51" t="s">
        <v>54</v>
      </c>
      <c r="J97" s="51" t="s">
        <v>148</v>
      </c>
      <c r="K97" s="50" t="s">
        <v>50</v>
      </c>
      <c r="L97" s="50" t="s">
        <v>51</v>
      </c>
      <c r="M97" s="50" t="s">
        <v>52</v>
      </c>
      <c r="N97" s="51" t="s">
        <v>53</v>
      </c>
      <c r="O97" s="51" t="s">
        <v>54</v>
      </c>
      <c r="P97" s="51" t="s">
        <v>148</v>
      </c>
      <c r="Q97" s="50" t="s">
        <v>50</v>
      </c>
      <c r="R97" s="50" t="s">
        <v>51</v>
      </c>
      <c r="S97" s="50" t="s">
        <v>52</v>
      </c>
      <c r="T97" s="51" t="s">
        <v>53</v>
      </c>
      <c r="U97" s="51" t="s">
        <v>54</v>
      </c>
      <c r="V97" s="403" t="s">
        <v>148</v>
      </c>
      <c r="W97" s="404" t="s">
        <v>177</v>
      </c>
      <c r="X97" s="405" t="s">
        <v>150</v>
      </c>
      <c r="Y97" s="406" t="s">
        <v>178</v>
      </c>
      <c r="Z97" s="406" t="s">
        <v>52</v>
      </c>
      <c r="AA97" s="407" t="s">
        <v>179</v>
      </c>
      <c r="AB97" s="407" t="s">
        <v>54</v>
      </c>
      <c r="AC97" s="407" t="s">
        <v>55</v>
      </c>
      <c r="AD97" s="407" t="s">
        <v>148</v>
      </c>
      <c r="AE97" s="407" t="s">
        <v>53</v>
      </c>
      <c r="AF97" s="407" t="s">
        <v>54</v>
      </c>
      <c r="AG97" s="408" t="s">
        <v>55</v>
      </c>
    </row>
    <row r="98" customFormat="false" ht="14.4" hidden="false" customHeight="true" outlineLevel="0" collapsed="false">
      <c r="A98" s="409" t="s">
        <v>190</v>
      </c>
      <c r="B98" s="410" t="s">
        <v>181</v>
      </c>
      <c r="C98" s="411" t="n">
        <v>41730</v>
      </c>
      <c r="D98" s="255" t="n">
        <v>41820</v>
      </c>
      <c r="E98" s="256" t="n">
        <v>0.758</v>
      </c>
      <c r="F98" s="89"/>
      <c r="G98" s="89" t="n">
        <f aca="false">E98+F98</f>
        <v>0.758</v>
      </c>
      <c r="H98" s="257"/>
      <c r="I98" s="287" t="n">
        <f aca="false">G98-H98</f>
        <v>0.758</v>
      </c>
      <c r="J98" s="149" t="n">
        <f aca="false">E98+E99+E100+F98+F99+F100</f>
        <v>1.516</v>
      </c>
      <c r="K98" s="226" t="n">
        <v>3.031</v>
      </c>
      <c r="L98" s="226"/>
      <c r="M98" s="226" t="n">
        <f aca="false">K98+L98</f>
        <v>3.031</v>
      </c>
      <c r="N98" s="226"/>
      <c r="O98" s="226" t="n">
        <f aca="false">M98-N98</f>
        <v>3.031</v>
      </c>
      <c r="P98" s="354" t="n">
        <f aca="false">K98+K99+K100+L98+L99+L100</f>
        <v>6.062</v>
      </c>
      <c r="Q98" s="226" t="n">
        <v>1.516</v>
      </c>
      <c r="R98" s="412" t="n">
        <f aca="false">157.842</f>
        <v>157.842</v>
      </c>
      <c r="S98" s="413" t="n">
        <f aca="false">Q98+R98</f>
        <v>159.358</v>
      </c>
      <c r="T98" s="414" t="n">
        <v>22.113</v>
      </c>
      <c r="U98" s="413" t="n">
        <f aca="false">S98-T98</f>
        <v>137.245</v>
      </c>
      <c r="V98" s="164" t="n">
        <f aca="false">Q98+Q99+Q100+R98+R99+R100</f>
        <v>161.126</v>
      </c>
      <c r="W98" s="415" t="n">
        <f aca="false">E98+K98+Q98</f>
        <v>5.305</v>
      </c>
      <c r="X98" s="389" t="n">
        <f aca="false">L98+R98+F98</f>
        <v>157.842</v>
      </c>
      <c r="Y98" s="416"/>
      <c r="Z98" s="417" t="n">
        <f aca="false">W98+X98+Y98</f>
        <v>163.147</v>
      </c>
      <c r="AA98" s="418" t="n">
        <f aca="false">H98+N98+T98</f>
        <v>22.113</v>
      </c>
      <c r="AB98" s="418" t="n">
        <f aca="false">Z98-AA98</f>
        <v>141.034</v>
      </c>
      <c r="AC98" s="419" t="n">
        <f aca="false">AA98/Z98</f>
        <v>0.135540340919539</v>
      </c>
      <c r="AD98" s="420" t="n">
        <f aca="false">W98+W99+W100+X98+X99+X100+Y98+Y99+Y100</f>
        <v>168.704</v>
      </c>
      <c r="AE98" s="421" t="n">
        <f aca="false">AA98+AA99+AA100</f>
        <v>158.958</v>
      </c>
      <c r="AF98" s="422" t="n">
        <f aca="false">AD98-AE98</f>
        <v>9.74600000000001</v>
      </c>
      <c r="AG98" s="423" t="n">
        <f aca="false">AE98/AD98</f>
        <v>0.942230178300455</v>
      </c>
    </row>
    <row r="99" customFormat="false" ht="14.4" hidden="false" customHeight="false" outlineLevel="0" collapsed="false">
      <c r="A99" s="409"/>
      <c r="B99" s="410"/>
      <c r="C99" s="362" t="n">
        <v>41821</v>
      </c>
      <c r="D99" s="291" t="n">
        <v>41912</v>
      </c>
      <c r="E99" s="292" t="n">
        <v>0.505</v>
      </c>
      <c r="F99" s="293"/>
      <c r="G99" s="293" t="n">
        <f aca="false">E99+F99+I98</f>
        <v>1.263</v>
      </c>
      <c r="H99" s="294"/>
      <c r="I99" s="151" t="n">
        <f aca="false">G99-H99</f>
        <v>1.263</v>
      </c>
      <c r="J99" s="149"/>
      <c r="K99" s="298" t="n">
        <v>1.768</v>
      </c>
      <c r="L99" s="298"/>
      <c r="M99" s="298" t="n">
        <f aca="false">K99+L99+O98</f>
        <v>4.799</v>
      </c>
      <c r="N99" s="298"/>
      <c r="O99" s="298" t="n">
        <f aca="false">M99-N99</f>
        <v>4.799</v>
      </c>
      <c r="P99" s="354"/>
      <c r="Q99" s="298" t="n">
        <v>1.01</v>
      </c>
      <c r="R99" s="298"/>
      <c r="S99" s="424" t="n">
        <f aca="false">Q99+R99+U98</f>
        <v>138.255</v>
      </c>
      <c r="T99" s="425" t="n">
        <v>120.111</v>
      </c>
      <c r="U99" s="424" t="n">
        <f aca="false">S99-T99</f>
        <v>18.144</v>
      </c>
      <c r="V99" s="164"/>
      <c r="W99" s="426" t="n">
        <f aca="false">E99+K99+Q99</f>
        <v>3.283</v>
      </c>
      <c r="X99" s="151" t="n">
        <f aca="false">L99+R99+F99</f>
        <v>0</v>
      </c>
      <c r="Y99" s="151"/>
      <c r="Z99" s="298" t="n">
        <f aca="false">W99+X99+AB98+Y99</f>
        <v>144.317</v>
      </c>
      <c r="AA99" s="305" t="n">
        <f aca="false">H99+N99+T99</f>
        <v>120.111</v>
      </c>
      <c r="AB99" s="305" t="n">
        <f aca="false">Z99-AA99</f>
        <v>24.206</v>
      </c>
      <c r="AC99" s="390" t="n">
        <f aca="false">AA99/Z99</f>
        <v>0.832272012306243</v>
      </c>
      <c r="AD99" s="420"/>
      <c r="AE99" s="421"/>
      <c r="AF99" s="421"/>
      <c r="AG99" s="423"/>
    </row>
    <row r="100" customFormat="false" ht="15" hidden="false" customHeight="false" outlineLevel="0" collapsed="false">
      <c r="A100" s="409"/>
      <c r="B100" s="410"/>
      <c r="C100" s="427" t="n">
        <v>41913</v>
      </c>
      <c r="D100" s="269" t="n">
        <v>42004</v>
      </c>
      <c r="E100" s="270" t="n">
        <v>0.253</v>
      </c>
      <c r="F100" s="88"/>
      <c r="G100" s="88" t="n">
        <f aca="false">E100+F100+I99</f>
        <v>1.516</v>
      </c>
      <c r="H100" s="271"/>
      <c r="I100" s="223" t="n">
        <f aca="false">G100-H100</f>
        <v>1.516</v>
      </c>
      <c r="J100" s="149"/>
      <c r="K100" s="227" t="n">
        <v>1.263</v>
      </c>
      <c r="L100" s="227"/>
      <c r="M100" s="227" t="n">
        <f aca="false">K100+L100+O99</f>
        <v>6.062</v>
      </c>
      <c r="N100" s="227"/>
      <c r="O100" s="227" t="n">
        <f aca="false">M100-N100</f>
        <v>6.062</v>
      </c>
      <c r="P100" s="354"/>
      <c r="Q100" s="227" t="n">
        <v>0.758</v>
      </c>
      <c r="R100" s="227"/>
      <c r="S100" s="385" t="n">
        <f aca="false">Q100+R100+U99</f>
        <v>18.902</v>
      </c>
      <c r="T100" s="428" t="n">
        <v>16.734</v>
      </c>
      <c r="U100" s="385" t="n">
        <f aca="false">S100-T100</f>
        <v>2.16799999999999</v>
      </c>
      <c r="V100" s="164"/>
      <c r="W100" s="429" t="n">
        <f aca="false">E100+K100+Q100</f>
        <v>2.274</v>
      </c>
      <c r="X100" s="151" t="n">
        <f aca="false">L100+R100+F100</f>
        <v>0</v>
      </c>
      <c r="Y100" s="223"/>
      <c r="Z100" s="227" t="n">
        <f aca="false">W100+X100+AB99+Y100</f>
        <v>26.48</v>
      </c>
      <c r="AA100" s="280" t="n">
        <f aca="false">H100+N100+T100</f>
        <v>16.734</v>
      </c>
      <c r="AB100" s="280" t="n">
        <f aca="false">Z100-AA100</f>
        <v>9.746</v>
      </c>
      <c r="AC100" s="430" t="n">
        <f aca="false">AA100/Z100</f>
        <v>0.631948640483384</v>
      </c>
      <c r="AD100" s="420"/>
      <c r="AE100" s="421"/>
      <c r="AF100" s="422"/>
      <c r="AG100" s="423"/>
    </row>
    <row r="101" customFormat="false" ht="14.4" hidden="false" customHeight="true" outlineLevel="0" collapsed="false">
      <c r="A101" s="409"/>
      <c r="B101" s="410" t="s">
        <v>156</v>
      </c>
      <c r="C101" s="411" t="n">
        <v>41730</v>
      </c>
      <c r="D101" s="255" t="n">
        <v>41820</v>
      </c>
      <c r="E101" s="256" t="n">
        <v>1.517</v>
      </c>
      <c r="F101" s="89"/>
      <c r="G101" s="89" t="n">
        <f aca="false">E101+F101</f>
        <v>1.517</v>
      </c>
      <c r="H101" s="257"/>
      <c r="I101" s="287" t="n">
        <f aca="false">G101-H101</f>
        <v>1.517</v>
      </c>
      <c r="J101" s="149" t="n">
        <f aca="false">E101+E102+E103+F101+F102+F103</f>
        <v>3.034</v>
      </c>
      <c r="K101" s="226" t="n">
        <v>6.068</v>
      </c>
      <c r="L101" s="226"/>
      <c r="M101" s="226" t="n">
        <f aca="false">K101+L101</f>
        <v>6.068</v>
      </c>
      <c r="N101" s="226"/>
      <c r="O101" s="226" t="n">
        <f aca="false">M101-N101</f>
        <v>6.068</v>
      </c>
      <c r="P101" s="354" t="n">
        <f aca="false">K101+K102+K103+L101+L102+L103</f>
        <v>12.136</v>
      </c>
      <c r="Q101" s="226" t="n">
        <v>3.034</v>
      </c>
      <c r="R101" s="226"/>
      <c r="S101" s="226" t="n">
        <f aca="false">Q101+R101</f>
        <v>3.034</v>
      </c>
      <c r="T101" s="225" t="n">
        <v>0.88</v>
      </c>
      <c r="U101" s="226" t="n">
        <f aca="false">S101-T101</f>
        <v>2.154</v>
      </c>
      <c r="V101" s="164" t="n">
        <f aca="false">Q101+Q102+Q103+R101+R102+R103</f>
        <v>6.574</v>
      </c>
      <c r="W101" s="431" t="n">
        <f aca="false">E101+K101+Q101</f>
        <v>10.619</v>
      </c>
      <c r="X101" s="287" t="n">
        <f aca="false">L101+R101+F101</f>
        <v>0</v>
      </c>
      <c r="Y101" s="304" t="n">
        <f aca="false">-1-0.36-0.7504-0.11-0.03</f>
        <v>-2.2504</v>
      </c>
      <c r="Z101" s="298" t="n">
        <f aca="false">W101+X101+Y101</f>
        <v>8.3686</v>
      </c>
      <c r="AA101" s="263" t="n">
        <f aca="false">H101+N101+T101</f>
        <v>0.88</v>
      </c>
      <c r="AB101" s="263" t="n">
        <f aca="false">Z101-AA101</f>
        <v>7.4886</v>
      </c>
      <c r="AC101" s="380" t="n">
        <f aca="false">AA101/Z101</f>
        <v>0.105154984107258</v>
      </c>
      <c r="AD101" s="432" t="n">
        <f aca="false">W101+W102+W103+X101+X102+X103+Y101+Y102+Y103</f>
        <v>19.4936</v>
      </c>
      <c r="AE101" s="433" t="n">
        <f aca="false">AA101+AA102+AA103</f>
        <v>0.88</v>
      </c>
      <c r="AF101" s="433" t="n">
        <f aca="false">AD101-AE101</f>
        <v>18.6136</v>
      </c>
      <c r="AG101" s="434" t="n">
        <f aca="false">AE101/AD101</f>
        <v>0.0451430212992982</v>
      </c>
    </row>
    <row r="102" customFormat="false" ht="14.4" hidden="false" customHeight="false" outlineLevel="0" collapsed="false">
      <c r="A102" s="409"/>
      <c r="B102" s="410"/>
      <c r="C102" s="362" t="n">
        <v>41821</v>
      </c>
      <c r="D102" s="291" t="n">
        <v>41912</v>
      </c>
      <c r="E102" s="292" t="n">
        <v>1.011</v>
      </c>
      <c r="F102" s="293"/>
      <c r="G102" s="293" t="n">
        <f aca="false">E102+F102+I101</f>
        <v>2.528</v>
      </c>
      <c r="H102" s="294"/>
      <c r="I102" s="151" t="n">
        <f aca="false">G102-H102</f>
        <v>2.528</v>
      </c>
      <c r="J102" s="149"/>
      <c r="K102" s="298" t="n">
        <v>3.54</v>
      </c>
      <c r="L102" s="298"/>
      <c r="M102" s="298" t="n">
        <f aca="false">K102+L102+O101</f>
        <v>9.608</v>
      </c>
      <c r="N102" s="298"/>
      <c r="O102" s="298" t="n">
        <f aca="false">M102-N102</f>
        <v>9.608</v>
      </c>
      <c r="P102" s="354"/>
      <c r="Q102" s="298" t="n">
        <v>2.023</v>
      </c>
      <c r="R102" s="298"/>
      <c r="S102" s="298" t="n">
        <f aca="false">Q102+R102+U101</f>
        <v>4.177</v>
      </c>
      <c r="T102" s="298"/>
      <c r="U102" s="298" t="n">
        <f aca="false">S102-T102</f>
        <v>4.177</v>
      </c>
      <c r="V102" s="164"/>
      <c r="W102" s="426" t="n">
        <f aca="false">E102+K102+Q102</f>
        <v>6.574</v>
      </c>
      <c r="X102" s="151" t="n">
        <f aca="false">L102+R102+F102</f>
        <v>0</v>
      </c>
      <c r="Y102" s="151"/>
      <c r="Z102" s="298" t="n">
        <f aca="false">W102+X102+AB101+Y102</f>
        <v>14.0626</v>
      </c>
      <c r="AA102" s="305" t="n">
        <f aca="false">H102+N102+T102</f>
        <v>0</v>
      </c>
      <c r="AB102" s="305" t="n">
        <f aca="false">Z102-AA102</f>
        <v>14.0626</v>
      </c>
      <c r="AC102" s="390" t="n">
        <f aca="false">AA102/Z102</f>
        <v>0</v>
      </c>
      <c r="AD102" s="432"/>
      <c r="AE102" s="433"/>
      <c r="AF102" s="433"/>
      <c r="AG102" s="434"/>
    </row>
    <row r="103" customFormat="false" ht="14.4" hidden="false" customHeight="false" outlineLevel="0" collapsed="false">
      <c r="A103" s="409"/>
      <c r="B103" s="410"/>
      <c r="C103" s="427" t="n">
        <v>41913</v>
      </c>
      <c r="D103" s="269" t="n">
        <v>42004</v>
      </c>
      <c r="E103" s="270" t="n">
        <v>0.506</v>
      </c>
      <c r="F103" s="88"/>
      <c r="G103" s="88" t="n">
        <f aca="false">E103+F103+I102</f>
        <v>3.034</v>
      </c>
      <c r="H103" s="271"/>
      <c r="I103" s="223" t="n">
        <f aca="false">G103-H103</f>
        <v>3.034</v>
      </c>
      <c r="J103" s="149"/>
      <c r="K103" s="227" t="n">
        <v>2.528</v>
      </c>
      <c r="L103" s="227"/>
      <c r="M103" s="227" t="n">
        <f aca="false">K103+L103+O102</f>
        <v>12.136</v>
      </c>
      <c r="N103" s="227"/>
      <c r="O103" s="227" t="n">
        <f aca="false">M103-N103</f>
        <v>12.136</v>
      </c>
      <c r="P103" s="354"/>
      <c r="Q103" s="227" t="n">
        <v>1.517</v>
      </c>
      <c r="R103" s="227"/>
      <c r="S103" s="227" t="n">
        <f aca="false">Q103+R103+U102</f>
        <v>5.694</v>
      </c>
      <c r="T103" s="227"/>
      <c r="U103" s="227" t="n">
        <f aca="false">S103-T103</f>
        <v>5.694</v>
      </c>
      <c r="V103" s="164"/>
      <c r="W103" s="426" t="n">
        <f aca="false">E103+K103+Q103</f>
        <v>4.551</v>
      </c>
      <c r="X103" s="151" t="n">
        <f aca="false">L103+R103+F103</f>
        <v>0</v>
      </c>
      <c r="Y103" s="151"/>
      <c r="Z103" s="298" t="n">
        <f aca="false">W103+X103+AB102+Y103</f>
        <v>18.6136</v>
      </c>
      <c r="AA103" s="305" t="n">
        <f aca="false">H103+N103+T103</f>
        <v>0</v>
      </c>
      <c r="AB103" s="305" t="n">
        <f aca="false">Z103-AA103</f>
        <v>18.6136</v>
      </c>
      <c r="AC103" s="390" t="n">
        <f aca="false">AA103/Z103</f>
        <v>0</v>
      </c>
      <c r="AD103" s="432"/>
      <c r="AE103" s="433"/>
      <c r="AF103" s="433"/>
      <c r="AG103" s="434"/>
    </row>
    <row r="104" customFormat="false" ht="15" hidden="false" customHeight="true" outlineLevel="0" collapsed="false">
      <c r="A104" s="409"/>
      <c r="B104" s="410" t="s">
        <v>191</v>
      </c>
      <c r="C104" s="411" t="n">
        <v>41730</v>
      </c>
      <c r="D104" s="255" t="n">
        <v>41820</v>
      </c>
      <c r="E104" s="256" t="n">
        <v>0.346</v>
      </c>
      <c r="F104" s="100" t="n">
        <f aca="false">0.316</f>
        <v>0.316</v>
      </c>
      <c r="G104" s="89" t="n">
        <f aca="false">E104+F104</f>
        <v>0.662</v>
      </c>
      <c r="H104" s="257"/>
      <c r="I104" s="287" t="n">
        <f aca="false">G104-H104</f>
        <v>0.662</v>
      </c>
      <c r="J104" s="149" t="n">
        <f aca="false">E104+E105+E106+F104+F105+F106</f>
        <v>1.323</v>
      </c>
      <c r="K104" s="226" t="n">
        <v>1.382</v>
      </c>
      <c r="L104" s="412" t="n">
        <f aca="false">1.263</f>
        <v>1.263</v>
      </c>
      <c r="M104" s="226" t="n">
        <f aca="false">K104+L104</f>
        <v>2.645</v>
      </c>
      <c r="N104" s="226"/>
      <c r="O104" s="226" t="n">
        <f aca="false">M104-N104</f>
        <v>2.645</v>
      </c>
      <c r="P104" s="354" t="n">
        <f aca="false">K104+K105+K106+L104+L105+L106</f>
        <v>5.29</v>
      </c>
      <c r="Q104" s="226" t="n">
        <v>0.691</v>
      </c>
      <c r="R104" s="412" t="n">
        <f aca="false">0.632</f>
        <v>0.632</v>
      </c>
      <c r="S104" s="226" t="n">
        <f aca="false">Q104+R104</f>
        <v>1.323</v>
      </c>
      <c r="T104" s="226"/>
      <c r="U104" s="226" t="n">
        <f aca="false">S104-T104</f>
        <v>1.323</v>
      </c>
      <c r="V104" s="164" t="n">
        <f aca="false">Q104+Q105+Q106+R104+R105+R106</f>
        <v>2.867</v>
      </c>
      <c r="W104" s="431" t="n">
        <f aca="false">E104+K104+Q104</f>
        <v>2.419</v>
      </c>
      <c r="X104" s="228" t="n">
        <f aca="false">L104+R104+F104</f>
        <v>2.211</v>
      </c>
      <c r="Y104" s="287"/>
      <c r="Z104" s="226" t="n">
        <f aca="false">W104+X104+Y104</f>
        <v>4.63</v>
      </c>
      <c r="AA104" s="263" t="n">
        <f aca="false">H104+N104+T104</f>
        <v>0</v>
      </c>
      <c r="AB104" s="263" t="n">
        <f aca="false">Z104-AA104</f>
        <v>4.63</v>
      </c>
      <c r="AC104" s="380" t="n">
        <f aca="false">AA104/Z104</f>
        <v>0</v>
      </c>
      <c r="AD104" s="164" t="n">
        <f aca="false">W104+W105+W106+X104+X105+X106+Y104+Y105+Y106</f>
        <v>9.48</v>
      </c>
      <c r="AE104" s="265" t="n">
        <f aca="false">AA104+AA105+AA106</f>
        <v>0.009</v>
      </c>
      <c r="AF104" s="265" t="n">
        <f aca="false">AD104-AE104</f>
        <v>9.471</v>
      </c>
      <c r="AG104" s="435" t="n">
        <f aca="false">AE104/AD104</f>
        <v>0.000949367088607595</v>
      </c>
    </row>
    <row r="105" customFormat="false" ht="15" hidden="false" customHeight="true" outlineLevel="0" collapsed="false">
      <c r="A105" s="409"/>
      <c r="B105" s="410"/>
      <c r="C105" s="362" t="n">
        <v>41821</v>
      </c>
      <c r="D105" s="291" t="n">
        <v>41912</v>
      </c>
      <c r="E105" s="292" t="n">
        <v>0.23</v>
      </c>
      <c r="F105" s="94" t="n">
        <f aca="false">0.211</f>
        <v>0.211</v>
      </c>
      <c r="G105" s="293" t="n">
        <f aca="false">E105+F105+I104</f>
        <v>1.103</v>
      </c>
      <c r="H105" s="294"/>
      <c r="I105" s="151" t="n">
        <f aca="false">G105-H105</f>
        <v>1.103</v>
      </c>
      <c r="J105" s="149"/>
      <c r="K105" s="298" t="n">
        <v>0.806</v>
      </c>
      <c r="L105" s="436" t="n">
        <f aca="false">0.737</f>
        <v>0.737</v>
      </c>
      <c r="M105" s="298" t="n">
        <f aca="false">K105+L105+O104</f>
        <v>4.188</v>
      </c>
      <c r="N105" s="298"/>
      <c r="O105" s="298" t="n">
        <f aca="false">M105-N105</f>
        <v>4.188</v>
      </c>
      <c r="P105" s="354"/>
      <c r="Q105" s="298" t="n">
        <v>0.461</v>
      </c>
      <c r="R105" s="436" t="n">
        <f aca="false">0.421</f>
        <v>0.421</v>
      </c>
      <c r="S105" s="298" t="n">
        <f aca="false">Q105+R105+U104</f>
        <v>2.205</v>
      </c>
      <c r="T105" s="298"/>
      <c r="U105" s="298" t="n">
        <f aca="false">S105-T105</f>
        <v>2.205</v>
      </c>
      <c r="V105" s="164"/>
      <c r="W105" s="426" t="n">
        <f aca="false">E105+K105+Q105</f>
        <v>1.497</v>
      </c>
      <c r="X105" s="389" t="n">
        <f aca="false">L105+R105+F105</f>
        <v>1.369</v>
      </c>
      <c r="Y105" s="151"/>
      <c r="Z105" s="298" t="n">
        <f aca="false">W105+X105+AB104+Y105</f>
        <v>7.496</v>
      </c>
      <c r="AA105" s="305" t="n">
        <f aca="false">H105+N105+T105</f>
        <v>0</v>
      </c>
      <c r="AB105" s="305" t="n">
        <f aca="false">Z105-AA105</f>
        <v>7.496</v>
      </c>
      <c r="AC105" s="390" t="n">
        <f aca="false">AA105/Z105</f>
        <v>0</v>
      </c>
      <c r="AD105" s="164"/>
      <c r="AE105" s="265"/>
      <c r="AF105" s="265"/>
      <c r="AG105" s="435"/>
    </row>
    <row r="106" customFormat="false" ht="15" hidden="false" customHeight="true" outlineLevel="0" collapsed="false">
      <c r="A106" s="409"/>
      <c r="B106" s="410"/>
      <c r="C106" s="427" t="n">
        <v>41913</v>
      </c>
      <c r="D106" s="269" t="n">
        <v>42004</v>
      </c>
      <c r="E106" s="270" t="n">
        <v>0.115</v>
      </c>
      <c r="F106" s="130" t="n">
        <f aca="false">0.105</f>
        <v>0.105</v>
      </c>
      <c r="G106" s="88" t="n">
        <f aca="false">E106+F106+I105</f>
        <v>1.323</v>
      </c>
      <c r="H106" s="271"/>
      <c r="I106" s="223" t="n">
        <f aca="false">G106-H106</f>
        <v>1.323</v>
      </c>
      <c r="J106" s="149"/>
      <c r="K106" s="227" t="n">
        <v>0.576</v>
      </c>
      <c r="L106" s="437" t="n">
        <f aca="false">0.526</f>
        <v>0.526</v>
      </c>
      <c r="M106" s="227" t="n">
        <f aca="false">K106+L106+O105</f>
        <v>5.29</v>
      </c>
      <c r="N106" s="227"/>
      <c r="O106" s="227" t="n">
        <f aca="false">M106-N106</f>
        <v>5.29</v>
      </c>
      <c r="P106" s="354"/>
      <c r="Q106" s="227" t="n">
        <v>0.346</v>
      </c>
      <c r="R106" s="437" t="n">
        <f aca="false">0.316</f>
        <v>0.316</v>
      </c>
      <c r="S106" s="227" t="n">
        <f aca="false">Q106+R106+U105</f>
        <v>2.867</v>
      </c>
      <c r="T106" s="392" t="n">
        <v>0.009</v>
      </c>
      <c r="U106" s="227" t="n">
        <f aca="false">S106-T106</f>
        <v>2.858</v>
      </c>
      <c r="V106" s="164"/>
      <c r="W106" s="429" t="n">
        <f aca="false">E106+K106+Q106</f>
        <v>1.037</v>
      </c>
      <c r="X106" s="389" t="n">
        <f aca="false">L106+R106+F106</f>
        <v>0.947</v>
      </c>
      <c r="Y106" s="223"/>
      <c r="Z106" s="227" t="n">
        <f aca="false">W106+X106+AB105+Y106</f>
        <v>9.48</v>
      </c>
      <c r="AA106" s="280" t="n">
        <f aca="false">H106+N106+T106</f>
        <v>0.009</v>
      </c>
      <c r="AB106" s="280" t="n">
        <f aca="false">Z106-AA106</f>
        <v>9.471</v>
      </c>
      <c r="AC106" s="430" t="n">
        <f aca="false">AA106/Z106</f>
        <v>0.000949367088607595</v>
      </c>
      <c r="AD106" s="164"/>
      <c r="AE106" s="265"/>
      <c r="AF106" s="265"/>
      <c r="AG106" s="435"/>
    </row>
    <row r="107" customFormat="false" ht="14.4" hidden="false" customHeight="true" outlineLevel="0" collapsed="false">
      <c r="A107" s="409"/>
      <c r="B107" s="399" t="s">
        <v>164</v>
      </c>
      <c r="C107" s="411" t="n">
        <v>41730</v>
      </c>
      <c r="D107" s="255" t="n">
        <v>41820</v>
      </c>
      <c r="E107" s="256" t="n">
        <v>0.064</v>
      </c>
      <c r="F107" s="56"/>
      <c r="G107" s="89" t="n">
        <f aca="false">E107+F107</f>
        <v>0.064</v>
      </c>
      <c r="H107" s="257"/>
      <c r="I107" s="287" t="n">
        <f aca="false">G107-H107</f>
        <v>0.064</v>
      </c>
      <c r="J107" s="149" t="n">
        <f aca="false">E107+E108+E109+F107+F108+F109</f>
        <v>0.128</v>
      </c>
      <c r="K107" s="226" t="n">
        <v>0.255</v>
      </c>
      <c r="L107" s="438"/>
      <c r="M107" s="226" t="n">
        <f aca="false">K107+L107</f>
        <v>0.255</v>
      </c>
      <c r="N107" s="226"/>
      <c r="O107" s="226" t="n">
        <f aca="false">M107-N107</f>
        <v>0.255</v>
      </c>
      <c r="P107" s="354" t="n">
        <f aca="false">K107+K108+K109+L107+L108+L109</f>
        <v>0.51</v>
      </c>
      <c r="Q107" s="226" t="n">
        <v>0.128</v>
      </c>
      <c r="R107" s="438"/>
      <c r="S107" s="226" t="n">
        <f aca="false">Q107+R107</f>
        <v>0.128</v>
      </c>
      <c r="T107" s="226"/>
      <c r="U107" s="226" t="n">
        <f aca="false">S107-T107</f>
        <v>0.128</v>
      </c>
      <c r="V107" s="164" t="n">
        <f aca="false">Q107+Q108+Q109+R107+R108+R109</f>
        <v>0.277</v>
      </c>
      <c r="W107" s="426" t="n">
        <f aca="false">E107+K107+Q107</f>
        <v>0.447</v>
      </c>
      <c r="X107" s="193" t="n">
        <f aca="false">L107+R107+F107</f>
        <v>0</v>
      </c>
      <c r="Y107" s="151"/>
      <c r="Z107" s="295" t="n">
        <f aca="false">W107+X107+Y107</f>
        <v>0.447</v>
      </c>
      <c r="AA107" s="305" t="n">
        <f aca="false">H107+N107+T107</f>
        <v>0</v>
      </c>
      <c r="AB107" s="305" t="n">
        <f aca="false">Z107-AA107</f>
        <v>0.447</v>
      </c>
      <c r="AC107" s="390" t="n">
        <f aca="false">AA107/Z107</f>
        <v>0</v>
      </c>
      <c r="AD107" s="300" t="n">
        <f aca="false">W107+W108+W109+X107+X108+X109+Y107+Y108+Y109</f>
        <v>0.915</v>
      </c>
      <c r="AE107" s="323" t="n">
        <f aca="false">AA107+AA108+AA109</f>
        <v>0</v>
      </c>
      <c r="AF107" s="323" t="n">
        <f aca="false">AD107-AE107</f>
        <v>0.915</v>
      </c>
      <c r="AG107" s="439" t="n">
        <f aca="false">AE107/AD107</f>
        <v>0</v>
      </c>
    </row>
    <row r="108" customFormat="false" ht="14.4" hidden="false" customHeight="false" outlineLevel="0" collapsed="false">
      <c r="A108" s="409"/>
      <c r="B108" s="399"/>
      <c r="C108" s="362" t="n">
        <v>41821</v>
      </c>
      <c r="D108" s="291" t="n">
        <v>41912</v>
      </c>
      <c r="E108" s="292" t="n">
        <v>0.043</v>
      </c>
      <c r="F108" s="95"/>
      <c r="G108" s="293" t="n">
        <f aca="false">E108+F108+I107</f>
        <v>0.107</v>
      </c>
      <c r="H108" s="294"/>
      <c r="I108" s="151" t="n">
        <f aca="false">G108-H108</f>
        <v>0.107</v>
      </c>
      <c r="J108" s="149"/>
      <c r="K108" s="298" t="n">
        <v>0.149</v>
      </c>
      <c r="L108" s="440"/>
      <c r="M108" s="298" t="n">
        <f aca="false">K108+L108+O107</f>
        <v>0.404</v>
      </c>
      <c r="N108" s="298"/>
      <c r="O108" s="298" t="n">
        <f aca="false">M108-N108</f>
        <v>0.404</v>
      </c>
      <c r="P108" s="354"/>
      <c r="Q108" s="298" t="n">
        <v>0.085</v>
      </c>
      <c r="R108" s="440"/>
      <c r="S108" s="298" t="n">
        <f aca="false">Q108+R108+U107</f>
        <v>0.213</v>
      </c>
      <c r="T108" s="298"/>
      <c r="U108" s="298" t="n">
        <f aca="false">S108-T108</f>
        <v>0.213</v>
      </c>
      <c r="V108" s="164"/>
      <c r="W108" s="426" t="n">
        <f aca="false">E108+K108+Q108</f>
        <v>0.277</v>
      </c>
      <c r="X108" s="397" t="n">
        <f aca="false">L108+R108+F108</f>
        <v>0</v>
      </c>
      <c r="Y108" s="151"/>
      <c r="Z108" s="295" t="n">
        <f aca="false">W108+X108+AB107+Y108</f>
        <v>0.724</v>
      </c>
      <c r="AA108" s="305" t="n">
        <f aca="false">H108+N108+T108</f>
        <v>0</v>
      </c>
      <c r="AB108" s="305" t="n">
        <f aca="false">Z108-AA108</f>
        <v>0.724</v>
      </c>
      <c r="AC108" s="390" t="n">
        <f aca="false">AA108/Z108</f>
        <v>0</v>
      </c>
      <c r="AD108" s="300"/>
      <c r="AE108" s="323"/>
      <c r="AF108" s="323"/>
      <c r="AG108" s="439"/>
    </row>
    <row r="109" customFormat="false" ht="14.4" hidden="false" customHeight="false" outlineLevel="0" collapsed="false">
      <c r="A109" s="409"/>
      <c r="B109" s="399"/>
      <c r="C109" s="427" t="n">
        <v>41913</v>
      </c>
      <c r="D109" s="269" t="n">
        <v>42004</v>
      </c>
      <c r="E109" s="270" t="n">
        <v>0.021</v>
      </c>
      <c r="F109" s="63"/>
      <c r="G109" s="88" t="n">
        <f aca="false">E109+F109+I108</f>
        <v>0.128</v>
      </c>
      <c r="H109" s="271"/>
      <c r="I109" s="223" t="n">
        <f aca="false">G109-H109</f>
        <v>0.128</v>
      </c>
      <c r="J109" s="149"/>
      <c r="K109" s="227" t="n">
        <v>0.106</v>
      </c>
      <c r="L109" s="441"/>
      <c r="M109" s="227" t="n">
        <f aca="false">K109+L109+O108</f>
        <v>0.51</v>
      </c>
      <c r="N109" s="227"/>
      <c r="O109" s="227" t="n">
        <f aca="false">M109-N109</f>
        <v>0.51</v>
      </c>
      <c r="P109" s="354"/>
      <c r="Q109" s="227" t="n">
        <v>0.064</v>
      </c>
      <c r="R109" s="441"/>
      <c r="S109" s="227" t="n">
        <f aca="false">Q109+R109+U108</f>
        <v>0.277</v>
      </c>
      <c r="T109" s="227"/>
      <c r="U109" s="227" t="n">
        <f aca="false">S109-T109</f>
        <v>0.277</v>
      </c>
      <c r="V109" s="164"/>
      <c r="W109" s="426" t="n">
        <f aca="false">E109+K109+Q109</f>
        <v>0.191</v>
      </c>
      <c r="X109" s="397" t="n">
        <f aca="false">L109+R109+F109</f>
        <v>0</v>
      </c>
      <c r="Y109" s="151"/>
      <c r="Z109" s="295" t="n">
        <f aca="false">W109+X109+AB108+Y109</f>
        <v>0.915</v>
      </c>
      <c r="AA109" s="305" t="n">
        <f aca="false">H109+N109+T109</f>
        <v>0</v>
      </c>
      <c r="AB109" s="305" t="n">
        <f aca="false">Z109-AA109</f>
        <v>0.915</v>
      </c>
      <c r="AC109" s="390" t="n">
        <f aca="false">AA109/Z109</f>
        <v>0</v>
      </c>
      <c r="AD109" s="300"/>
      <c r="AE109" s="323"/>
      <c r="AF109" s="323"/>
      <c r="AG109" s="439"/>
    </row>
    <row r="110" customFormat="false" ht="14.4" hidden="false" customHeight="true" outlineLevel="0" collapsed="false">
      <c r="A110" s="409"/>
      <c r="B110" s="399" t="s">
        <v>165</v>
      </c>
      <c r="C110" s="411" t="n">
        <v>41730</v>
      </c>
      <c r="D110" s="255" t="n">
        <v>41820</v>
      </c>
      <c r="E110" s="256" t="n">
        <v>0.316</v>
      </c>
      <c r="F110" s="56" t="n">
        <f aca="false">-0.316</f>
        <v>-0.316</v>
      </c>
      <c r="G110" s="89" t="n">
        <f aca="false">E110+F110</f>
        <v>0</v>
      </c>
      <c r="H110" s="257"/>
      <c r="I110" s="287" t="n">
        <f aca="false">G110-H110</f>
        <v>0</v>
      </c>
      <c r="J110" s="149" t="n">
        <f aca="false">E110+E111+E112+F110+F111+F112</f>
        <v>0</v>
      </c>
      <c r="K110" s="226" t="n">
        <v>1.263</v>
      </c>
      <c r="L110" s="438" t="n">
        <f aca="false">-1.263</f>
        <v>-1.263</v>
      </c>
      <c r="M110" s="226" t="n">
        <f aca="false">K110+L110</f>
        <v>0</v>
      </c>
      <c r="N110" s="226"/>
      <c r="O110" s="226" t="n">
        <f aca="false">M110-N110</f>
        <v>0</v>
      </c>
      <c r="P110" s="354" t="n">
        <f aca="false">K110+K111+K112+L110+L111+L112</f>
        <v>0</v>
      </c>
      <c r="Q110" s="226" t="n">
        <v>0.632</v>
      </c>
      <c r="R110" s="438" t="n">
        <f aca="false">-0.632</f>
        <v>-0.632</v>
      </c>
      <c r="S110" s="226" t="n">
        <f aca="false">Q110+R110</f>
        <v>0</v>
      </c>
      <c r="T110" s="226"/>
      <c r="U110" s="226" t="n">
        <f aca="false">S110-T110</f>
        <v>0</v>
      </c>
      <c r="V110" s="164" t="n">
        <f aca="false">Q110+Q111+Q112+R110+R111+R112</f>
        <v>0</v>
      </c>
      <c r="W110" s="431" t="n">
        <f aca="false">E110+K110+Q110</f>
        <v>2.211</v>
      </c>
      <c r="X110" s="286" t="n">
        <f aca="false">L110+R110+F110</f>
        <v>-2.211</v>
      </c>
      <c r="Y110" s="287"/>
      <c r="Z110" s="258" t="n">
        <f aca="false">W110+X110+Y110</f>
        <v>0</v>
      </c>
      <c r="AA110" s="263" t="n">
        <f aca="false">H110+N110+T110</f>
        <v>0</v>
      </c>
      <c r="AB110" s="263" t="n">
        <f aca="false">Z110-AA110</f>
        <v>0</v>
      </c>
      <c r="AC110" s="380" t="e">
        <f aca="false">AA110/Z110</f>
        <v>#DIV/0!</v>
      </c>
      <c r="AD110" s="149" t="n">
        <f aca="false">W110+W111+W112+X110+X111+X112+Y110+Y111+Y112</f>
        <v>0</v>
      </c>
      <c r="AE110" s="265" t="n">
        <f aca="false">AA110+AA111+AA112</f>
        <v>0</v>
      </c>
      <c r="AF110" s="265" t="n">
        <f aca="false">AD110-AE110</f>
        <v>0</v>
      </c>
      <c r="AG110" s="435" t="e">
        <f aca="false">AE110/AD110</f>
        <v>#DIV/0!</v>
      </c>
    </row>
    <row r="111" customFormat="false" ht="14.4" hidden="false" customHeight="false" outlineLevel="0" collapsed="false">
      <c r="A111" s="409"/>
      <c r="B111" s="399"/>
      <c r="C111" s="362" t="n">
        <v>41821</v>
      </c>
      <c r="D111" s="291" t="n">
        <v>41912</v>
      </c>
      <c r="E111" s="292" t="n">
        <v>0.211</v>
      </c>
      <c r="F111" s="95" t="n">
        <f aca="false">-0.211</f>
        <v>-0.211</v>
      </c>
      <c r="G111" s="293" t="n">
        <f aca="false">E111+F111+I110</f>
        <v>0</v>
      </c>
      <c r="H111" s="294"/>
      <c r="I111" s="151" t="n">
        <f aca="false">G111-H111</f>
        <v>0</v>
      </c>
      <c r="J111" s="149"/>
      <c r="K111" s="298" t="n">
        <v>0.737</v>
      </c>
      <c r="L111" s="440" t="n">
        <f aca="false">-0.737</f>
        <v>-0.737</v>
      </c>
      <c r="M111" s="298" t="n">
        <f aca="false">K111+L111+O110</f>
        <v>0</v>
      </c>
      <c r="N111" s="298"/>
      <c r="O111" s="298" t="n">
        <f aca="false">M111-N111</f>
        <v>0</v>
      </c>
      <c r="P111" s="354"/>
      <c r="Q111" s="298" t="n">
        <v>0.421</v>
      </c>
      <c r="R111" s="440" t="n">
        <f aca="false">-0.421</f>
        <v>-0.421</v>
      </c>
      <c r="S111" s="298" t="n">
        <f aca="false">Q111+R111+U110</f>
        <v>0</v>
      </c>
      <c r="T111" s="298"/>
      <c r="U111" s="298" t="n">
        <f aca="false">S111-T111</f>
        <v>0</v>
      </c>
      <c r="V111" s="164"/>
      <c r="W111" s="426" t="n">
        <f aca="false">E111+K111+Q111</f>
        <v>1.369</v>
      </c>
      <c r="X111" s="304" t="n">
        <f aca="false">L111+R111+F111</f>
        <v>-1.369</v>
      </c>
      <c r="Y111" s="151"/>
      <c r="Z111" s="295" t="n">
        <f aca="false">W111+X111+AB110+Y111</f>
        <v>0</v>
      </c>
      <c r="AA111" s="305" t="n">
        <f aca="false">H111+N111+T111</f>
        <v>0</v>
      </c>
      <c r="AB111" s="305" t="n">
        <f aca="false">Z111-AA111</f>
        <v>0</v>
      </c>
      <c r="AC111" s="390" t="e">
        <f aca="false">AA111/Z111</f>
        <v>#DIV/0!</v>
      </c>
      <c r="AD111" s="149"/>
      <c r="AE111" s="265"/>
      <c r="AF111" s="265"/>
      <c r="AG111" s="435"/>
    </row>
    <row r="112" customFormat="false" ht="14.4" hidden="false" customHeight="false" outlineLevel="0" collapsed="false">
      <c r="A112" s="409"/>
      <c r="B112" s="399"/>
      <c r="C112" s="427" t="n">
        <v>41913</v>
      </c>
      <c r="D112" s="269" t="n">
        <v>42004</v>
      </c>
      <c r="E112" s="270" t="n">
        <v>0.105</v>
      </c>
      <c r="F112" s="63" t="n">
        <f aca="false">-0.105</f>
        <v>-0.105</v>
      </c>
      <c r="G112" s="88" t="n">
        <f aca="false">E112+F112+I111</f>
        <v>0</v>
      </c>
      <c r="H112" s="315"/>
      <c r="I112" s="223" t="n">
        <f aca="false">G112-H112</f>
        <v>0</v>
      </c>
      <c r="J112" s="149"/>
      <c r="K112" s="227" t="n">
        <v>0.526</v>
      </c>
      <c r="L112" s="441" t="n">
        <f aca="false">-0.526</f>
        <v>-0.526</v>
      </c>
      <c r="M112" s="227" t="n">
        <f aca="false">K112+L112+O111</f>
        <v>0</v>
      </c>
      <c r="N112" s="227"/>
      <c r="O112" s="227" t="n">
        <f aca="false">M112-N112</f>
        <v>0</v>
      </c>
      <c r="P112" s="354"/>
      <c r="Q112" s="227" t="n">
        <v>0.316</v>
      </c>
      <c r="R112" s="441" t="n">
        <f aca="false">-0.316</f>
        <v>-0.316</v>
      </c>
      <c r="S112" s="227" t="n">
        <f aca="false">Q112+R112+U111</f>
        <v>0</v>
      </c>
      <c r="T112" s="227"/>
      <c r="U112" s="227" t="n">
        <f aca="false">S112-T112</f>
        <v>0</v>
      </c>
      <c r="V112" s="164"/>
      <c r="W112" s="429" t="n">
        <f aca="false">E112+K112+Q112</f>
        <v>0.947</v>
      </c>
      <c r="X112" s="304" t="n">
        <f aca="false">L112+R112+F112</f>
        <v>-0.947</v>
      </c>
      <c r="Y112" s="223"/>
      <c r="Z112" s="272" t="n">
        <f aca="false">W112+X112+AB111+Y112</f>
        <v>0</v>
      </c>
      <c r="AA112" s="280" t="n">
        <f aca="false">H112+N112+T112</f>
        <v>0</v>
      </c>
      <c r="AB112" s="280" t="n">
        <f aca="false">Z112-AA112</f>
        <v>0</v>
      </c>
      <c r="AC112" s="430" t="e">
        <f aca="false">AA112/Z112</f>
        <v>#DIV/0!</v>
      </c>
      <c r="AD112" s="149"/>
      <c r="AE112" s="265"/>
      <c r="AF112" s="265"/>
      <c r="AG112" s="435"/>
    </row>
    <row r="113" customFormat="false" ht="14.4" hidden="false" customHeight="true" outlineLevel="0" collapsed="false">
      <c r="A113" s="409"/>
      <c r="B113" s="399" t="s">
        <v>192</v>
      </c>
      <c r="C113" s="411" t="n">
        <v>41730</v>
      </c>
      <c r="D113" s="255" t="n">
        <v>41820</v>
      </c>
      <c r="E113" s="89" t="n">
        <v>0</v>
      </c>
      <c r="F113" s="226"/>
      <c r="G113" s="89" t="n">
        <f aca="false">E113+F113</f>
        <v>0</v>
      </c>
      <c r="H113" s="226"/>
      <c r="I113" s="287" t="n">
        <f aca="false">G113-H113</f>
        <v>0</v>
      </c>
      <c r="J113" s="149" t="n">
        <f aca="false">E113+E114+E115+F113+F114+F115</f>
        <v>0</v>
      </c>
      <c r="K113" s="336" t="n">
        <v>0</v>
      </c>
      <c r="L113" s="226"/>
      <c r="M113" s="258" t="n">
        <f aca="false">K113+L113</f>
        <v>0</v>
      </c>
      <c r="N113" s="226"/>
      <c r="O113" s="258" t="n">
        <f aca="false">M113-N113</f>
        <v>0</v>
      </c>
      <c r="P113" s="354" t="n">
        <f aca="false">K113+K114+K115+L113+L114+L115</f>
        <v>0</v>
      </c>
      <c r="Q113" s="363" t="n">
        <v>0</v>
      </c>
      <c r="S113" s="258" t="n">
        <f aca="false">Q113+R113</f>
        <v>0</v>
      </c>
      <c r="U113" s="258" t="n">
        <f aca="false">S113-T113</f>
        <v>0</v>
      </c>
      <c r="V113" s="225" t="n">
        <f aca="false">Q113+Q114+Q115+R113+R114+R115</f>
        <v>0</v>
      </c>
      <c r="W113" s="442" t="n">
        <f aca="false">E113+K113+Q113</f>
        <v>0</v>
      </c>
      <c r="X113" s="287" t="n">
        <f aca="false">L113+R113+F113</f>
        <v>0</v>
      </c>
      <c r="Y113" s="228" t="n">
        <f aca="false">1</f>
        <v>1</v>
      </c>
      <c r="Z113" s="258" t="n">
        <f aca="false">W113+X113+Y113</f>
        <v>1</v>
      </c>
      <c r="AA113" s="263" t="n">
        <f aca="false">H113+N113+T113</f>
        <v>0</v>
      </c>
      <c r="AB113" s="263" t="n">
        <f aca="false">Z113-AA113</f>
        <v>1</v>
      </c>
      <c r="AC113" s="380" t="n">
        <f aca="false">AA113/Z113</f>
        <v>0</v>
      </c>
      <c r="AD113" s="149" t="n">
        <f aca="false">W113+W114+W115+X113+X114+X115+Y113+Y114+Y115</f>
        <v>1</v>
      </c>
      <c r="AE113" s="265" t="n">
        <f aca="false">AA113+AA114+AA115</f>
        <v>0</v>
      </c>
      <c r="AF113" s="265" t="n">
        <f aca="false">AD113-AE113</f>
        <v>1</v>
      </c>
      <c r="AG113" s="435" t="n">
        <f aca="false">AE113/AD113</f>
        <v>0</v>
      </c>
    </row>
    <row r="114" customFormat="false" ht="14.4" hidden="false" customHeight="false" outlineLevel="0" collapsed="false">
      <c r="A114" s="409"/>
      <c r="B114" s="399"/>
      <c r="C114" s="362" t="n">
        <v>41821</v>
      </c>
      <c r="D114" s="291" t="n">
        <v>41912</v>
      </c>
      <c r="E114" s="151" t="n">
        <v>0</v>
      </c>
      <c r="F114" s="298"/>
      <c r="G114" s="293" t="n">
        <f aca="false">E114+F114+I113</f>
        <v>0</v>
      </c>
      <c r="H114" s="298"/>
      <c r="I114" s="151" t="n">
        <f aca="false">G114-H114</f>
        <v>0</v>
      </c>
      <c r="J114" s="149"/>
      <c r="K114" s="363" t="n">
        <v>0</v>
      </c>
      <c r="L114" s="298"/>
      <c r="M114" s="295" t="n">
        <f aca="false">K114+L114+O113</f>
        <v>0</v>
      </c>
      <c r="N114" s="298"/>
      <c r="O114" s="295" t="n">
        <f aca="false">M114-N114</f>
        <v>0</v>
      </c>
      <c r="P114" s="354"/>
      <c r="Q114" s="363" t="n">
        <v>0</v>
      </c>
      <c r="S114" s="295" t="n">
        <f aca="false">Q114+R114+U113</f>
        <v>0</v>
      </c>
      <c r="U114" s="295" t="n">
        <f aca="false">S114-T114</f>
        <v>0</v>
      </c>
      <c r="V114" s="225"/>
      <c r="W114" s="443" t="n">
        <f aca="false">E114+K114+Q114</f>
        <v>0</v>
      </c>
      <c r="X114" s="151" t="n">
        <f aca="false">L114+R114+F114</f>
        <v>0</v>
      </c>
      <c r="Y114" s="151"/>
      <c r="Z114" s="295" t="n">
        <f aca="false">W114+X114+AB113+Y114</f>
        <v>1</v>
      </c>
      <c r="AA114" s="305" t="n">
        <f aca="false">H114+N114+T114</f>
        <v>0</v>
      </c>
      <c r="AB114" s="305" t="n">
        <f aca="false">Z114-AA114</f>
        <v>1</v>
      </c>
      <c r="AC114" s="390" t="n">
        <f aca="false">AA114/Z114</f>
        <v>0</v>
      </c>
      <c r="AD114" s="149"/>
      <c r="AE114" s="265"/>
      <c r="AF114" s="265"/>
      <c r="AG114" s="435"/>
    </row>
    <row r="115" customFormat="false" ht="14.4" hidden="false" customHeight="false" outlineLevel="0" collapsed="false">
      <c r="A115" s="409"/>
      <c r="B115" s="399"/>
      <c r="C115" s="427" t="n">
        <v>41913</v>
      </c>
      <c r="D115" s="269" t="n">
        <v>42004</v>
      </c>
      <c r="E115" s="223" t="n">
        <v>0</v>
      </c>
      <c r="F115" s="227"/>
      <c r="G115" s="88" t="n">
        <f aca="false">E115+F115+I114</f>
        <v>0</v>
      </c>
      <c r="H115" s="227"/>
      <c r="I115" s="223" t="n">
        <f aca="false">G115-H115</f>
        <v>0</v>
      </c>
      <c r="J115" s="149"/>
      <c r="K115" s="351" t="n">
        <v>0</v>
      </c>
      <c r="L115" s="227"/>
      <c r="M115" s="272" t="n">
        <f aca="false">K115+L115+O114</f>
        <v>0</v>
      </c>
      <c r="N115" s="227"/>
      <c r="O115" s="272" t="n">
        <f aca="false">M115-N115</f>
        <v>0</v>
      </c>
      <c r="P115" s="354"/>
      <c r="Q115" s="363" t="n">
        <v>0</v>
      </c>
      <c r="S115" s="295" t="n">
        <f aca="false">Q115+R115+U114</f>
        <v>0</v>
      </c>
      <c r="U115" s="295" t="n">
        <f aca="false">S115-T115</f>
        <v>0</v>
      </c>
      <c r="V115" s="225"/>
      <c r="W115" s="444" t="n">
        <f aca="false">E115+K115+Q115</f>
        <v>0</v>
      </c>
      <c r="X115" s="151" t="n">
        <f aca="false">L115+R115+F115</f>
        <v>0</v>
      </c>
      <c r="Y115" s="223"/>
      <c r="Z115" s="272" t="n">
        <f aca="false">W115+X115+AB114+Y115</f>
        <v>1</v>
      </c>
      <c r="AA115" s="280" t="n">
        <f aca="false">H115+N115+T115</f>
        <v>0</v>
      </c>
      <c r="AB115" s="280" t="n">
        <f aca="false">Z115-AA115</f>
        <v>1</v>
      </c>
      <c r="AC115" s="430" t="n">
        <f aca="false">AA115/Z115</f>
        <v>0</v>
      </c>
      <c r="AD115" s="149"/>
      <c r="AE115" s="265"/>
      <c r="AF115" s="265"/>
      <c r="AG115" s="435"/>
    </row>
    <row r="116" customFormat="false" ht="14.4" hidden="false" customHeight="true" outlineLevel="0" collapsed="false">
      <c r="A116" s="409"/>
      <c r="B116" s="399" t="s">
        <v>193</v>
      </c>
      <c r="C116" s="362" t="n">
        <v>41730</v>
      </c>
      <c r="D116" s="291" t="n">
        <v>41820</v>
      </c>
      <c r="E116" s="151" t="n">
        <v>0</v>
      </c>
      <c r="F116" s="298"/>
      <c r="G116" s="293" t="n">
        <f aca="false">E116+F116</f>
        <v>0</v>
      </c>
      <c r="H116" s="298"/>
      <c r="I116" s="151" t="n">
        <f aca="false">G116-H116</f>
        <v>0</v>
      </c>
      <c r="J116" s="223" t="n">
        <f aca="false">E116+E117+E118+F116+F117+F118</f>
        <v>0</v>
      </c>
      <c r="K116" s="363" t="n">
        <v>0</v>
      </c>
      <c r="L116" s="298"/>
      <c r="M116" s="295" t="n">
        <f aca="false">K116+L116</f>
        <v>0</v>
      </c>
      <c r="N116" s="298"/>
      <c r="O116" s="295" t="n">
        <f aca="false">M116-N116</f>
        <v>0</v>
      </c>
      <c r="P116" s="445" t="n">
        <f aca="false">K116+K117+K118+L116+L117+L118</f>
        <v>0</v>
      </c>
      <c r="Q116" s="446" t="n">
        <v>0</v>
      </c>
      <c r="R116" s="226"/>
      <c r="S116" s="258" t="n">
        <f aca="false">Q116+R116</f>
        <v>0</v>
      </c>
      <c r="T116" s="226"/>
      <c r="U116" s="258" t="n">
        <f aca="false">S116-T116</f>
        <v>0</v>
      </c>
      <c r="V116" s="164" t="n">
        <f aca="false">Q116+Q117+Q118+R116+R117+R118</f>
        <v>0</v>
      </c>
      <c r="W116" s="442" t="n">
        <f aca="false">E116+K116+Q116</f>
        <v>0</v>
      </c>
      <c r="X116" s="287" t="n">
        <f aca="false">L116+R116+F116</f>
        <v>0</v>
      </c>
      <c r="Y116" s="228" t="n">
        <f aca="false">0.7504</f>
        <v>0.7504</v>
      </c>
      <c r="Z116" s="258" t="n">
        <f aca="false">W116+X116+Y116</f>
        <v>0.7504</v>
      </c>
      <c r="AA116" s="263" t="n">
        <f aca="false">H116+N116+T116</f>
        <v>0</v>
      </c>
      <c r="AB116" s="263" t="n">
        <f aca="false">Z116-AA116</f>
        <v>0.7504</v>
      </c>
      <c r="AC116" s="380" t="n">
        <f aca="false">AA116/Z116</f>
        <v>0</v>
      </c>
      <c r="AD116" s="149" t="n">
        <f aca="false">W116+W117+W118+X116+X117+X118+Y116+Y117+Y118</f>
        <v>0.7504</v>
      </c>
      <c r="AE116" s="265" t="n">
        <f aca="false">AA116+AA117+AA118</f>
        <v>0</v>
      </c>
      <c r="AF116" s="265" t="n">
        <f aca="false">AD116-AE116</f>
        <v>0.7504</v>
      </c>
      <c r="AG116" s="435" t="n">
        <f aca="false">AE116/AD116</f>
        <v>0</v>
      </c>
    </row>
    <row r="117" customFormat="false" ht="14.4" hidden="false" customHeight="false" outlineLevel="0" collapsed="false">
      <c r="A117" s="409"/>
      <c r="B117" s="399"/>
      <c r="C117" s="362" t="n">
        <v>41821</v>
      </c>
      <c r="D117" s="291" t="n">
        <v>41912</v>
      </c>
      <c r="E117" s="151" t="n">
        <v>0</v>
      </c>
      <c r="F117" s="298"/>
      <c r="G117" s="293" t="n">
        <f aca="false">E117+F117+I116</f>
        <v>0</v>
      </c>
      <c r="H117" s="298"/>
      <c r="I117" s="151" t="n">
        <f aca="false">G117-H117</f>
        <v>0</v>
      </c>
      <c r="J117" s="223"/>
      <c r="K117" s="363" t="n">
        <v>0</v>
      </c>
      <c r="L117" s="298"/>
      <c r="M117" s="295" t="n">
        <f aca="false">K117+L117+O116</f>
        <v>0</v>
      </c>
      <c r="N117" s="298"/>
      <c r="O117" s="295" t="n">
        <f aca="false">M117-N117</f>
        <v>0</v>
      </c>
      <c r="P117" s="445"/>
      <c r="Q117" s="447" t="n">
        <v>0</v>
      </c>
      <c r="R117" s="298"/>
      <c r="S117" s="295" t="n">
        <f aca="false">Q117+R117+U116</f>
        <v>0</v>
      </c>
      <c r="T117" s="298"/>
      <c r="U117" s="295" t="n">
        <f aca="false">S117-T117</f>
        <v>0</v>
      </c>
      <c r="V117" s="164"/>
      <c r="W117" s="443" t="n">
        <f aca="false">E117+K117+Q117</f>
        <v>0</v>
      </c>
      <c r="X117" s="151" t="n">
        <f aca="false">L117+R117+F117</f>
        <v>0</v>
      </c>
      <c r="Y117" s="151"/>
      <c r="Z117" s="295" t="n">
        <f aca="false">W117+X117+AB116+Y117</f>
        <v>0.7504</v>
      </c>
      <c r="AA117" s="305" t="n">
        <f aca="false">H117+N117+T117</f>
        <v>0</v>
      </c>
      <c r="AB117" s="305" t="n">
        <f aca="false">Z117-AA117</f>
        <v>0.7504</v>
      </c>
      <c r="AC117" s="390" t="n">
        <f aca="false">AA117/Z117</f>
        <v>0</v>
      </c>
      <c r="AD117" s="149"/>
      <c r="AE117" s="265"/>
      <c r="AF117" s="265"/>
      <c r="AG117" s="435"/>
    </row>
    <row r="118" customFormat="false" ht="14.4" hidden="false" customHeight="false" outlineLevel="0" collapsed="false">
      <c r="A118" s="409"/>
      <c r="B118" s="399"/>
      <c r="C118" s="427" t="n">
        <v>41913</v>
      </c>
      <c r="D118" s="269" t="n">
        <v>42004</v>
      </c>
      <c r="E118" s="223" t="n">
        <v>0</v>
      </c>
      <c r="F118" s="227"/>
      <c r="G118" s="88" t="n">
        <f aca="false">E118+F118+I117</f>
        <v>0</v>
      </c>
      <c r="H118" s="227"/>
      <c r="I118" s="223" t="n">
        <f aca="false">G118-H118</f>
        <v>0</v>
      </c>
      <c r="J118" s="223"/>
      <c r="K118" s="351" t="n">
        <v>0</v>
      </c>
      <c r="L118" s="227"/>
      <c r="M118" s="272" t="n">
        <f aca="false">K118+L118+O117</f>
        <v>0</v>
      </c>
      <c r="N118" s="227"/>
      <c r="O118" s="272" t="n">
        <f aca="false">M118-N118</f>
        <v>0</v>
      </c>
      <c r="P118" s="445"/>
      <c r="Q118" s="448" t="n">
        <v>0</v>
      </c>
      <c r="R118" s="227"/>
      <c r="S118" s="272" t="n">
        <f aca="false">Q118+R118+U117</f>
        <v>0</v>
      </c>
      <c r="T118" s="227"/>
      <c r="U118" s="272" t="n">
        <f aca="false">S118-T118</f>
        <v>0</v>
      </c>
      <c r="V118" s="164"/>
      <c r="W118" s="444" t="n">
        <f aca="false">E118+K118+Q118</f>
        <v>0</v>
      </c>
      <c r="X118" s="151" t="n">
        <f aca="false">L118+R118+F118</f>
        <v>0</v>
      </c>
      <c r="Y118" s="223"/>
      <c r="Z118" s="272" t="n">
        <f aca="false">W118+X118+AB117+Y118</f>
        <v>0.7504</v>
      </c>
      <c r="AA118" s="280" t="n">
        <f aca="false">H118+N118+T118</f>
        <v>0</v>
      </c>
      <c r="AB118" s="280" t="n">
        <f aca="false">Z118-AA118</f>
        <v>0.7504</v>
      </c>
      <c r="AC118" s="430" t="n">
        <f aca="false">AA118/Z118</f>
        <v>0</v>
      </c>
      <c r="AD118" s="149"/>
      <c r="AE118" s="265"/>
      <c r="AF118" s="265"/>
      <c r="AG118" s="435"/>
    </row>
    <row r="119" customFormat="false" ht="14.4" hidden="false" customHeight="true" outlineLevel="0" collapsed="false">
      <c r="A119" s="409"/>
      <c r="B119" s="399" t="s">
        <v>194</v>
      </c>
      <c r="C119" s="362" t="n">
        <v>41730</v>
      </c>
      <c r="D119" s="291" t="n">
        <v>41820</v>
      </c>
      <c r="E119" s="151" t="n">
        <v>0</v>
      </c>
      <c r="F119" s="298"/>
      <c r="G119" s="293" t="n">
        <f aca="false">E119+F119</f>
        <v>0</v>
      </c>
      <c r="H119" s="298"/>
      <c r="I119" s="151" t="n">
        <f aca="false">G119-H119</f>
        <v>0</v>
      </c>
      <c r="J119" s="151" t="n">
        <f aca="false">E119+E120+E121+F119+F120+F121</f>
        <v>0</v>
      </c>
      <c r="K119" s="363" t="n">
        <v>0</v>
      </c>
      <c r="L119" s="298"/>
      <c r="M119" s="295" t="n">
        <f aca="false">K119+L119</f>
        <v>0</v>
      </c>
      <c r="N119" s="298"/>
      <c r="O119" s="295" t="n">
        <f aca="false">M119-N119</f>
        <v>0</v>
      </c>
      <c r="P119" s="391" t="n">
        <f aca="false">K119+K120+K121+L119+L120+L121</f>
        <v>0</v>
      </c>
      <c r="Q119" s="446" t="n">
        <v>0</v>
      </c>
      <c r="R119" s="226"/>
      <c r="S119" s="258" t="n">
        <f aca="false">Q119+R119</f>
        <v>0</v>
      </c>
      <c r="T119" s="226"/>
      <c r="U119" s="258" t="n">
        <f aca="false">S119-T119</f>
        <v>0</v>
      </c>
      <c r="V119" s="287" t="n">
        <f aca="false">Q119+Q120+Q121+R119+R120+R121</f>
        <v>0</v>
      </c>
      <c r="W119" s="442" t="n">
        <f aca="false">E119+K119+Q119</f>
        <v>0</v>
      </c>
      <c r="X119" s="287" t="n">
        <f aca="false">L119+R119+F119</f>
        <v>0</v>
      </c>
      <c r="Y119" s="228" t="n">
        <f aca="false">0.36+0.11+0.03</f>
        <v>0.5</v>
      </c>
      <c r="Z119" s="258" t="n">
        <f aca="false">W119+X119+Y119</f>
        <v>0.5</v>
      </c>
      <c r="AA119" s="263" t="n">
        <f aca="false">H119+N119+T119</f>
        <v>0</v>
      </c>
      <c r="AB119" s="263" t="n">
        <f aca="false">Z119-AA119</f>
        <v>0.5</v>
      </c>
      <c r="AC119" s="380" t="n">
        <f aca="false">AA119/Z119</f>
        <v>0</v>
      </c>
      <c r="AD119" s="287" t="n">
        <f aca="false">W119+W120+W121+X119+X120+X121+Y119+Y120+Y121</f>
        <v>0.5</v>
      </c>
      <c r="AE119" s="288" t="n">
        <f aca="false">AA119+AA120+AA121</f>
        <v>0</v>
      </c>
      <c r="AF119" s="288" t="n">
        <f aca="false">AD119-AE119</f>
        <v>0.5</v>
      </c>
      <c r="AG119" s="434" t="n">
        <f aca="false">AE119/AD119</f>
        <v>0</v>
      </c>
    </row>
    <row r="120" customFormat="false" ht="14.4" hidden="false" customHeight="false" outlineLevel="0" collapsed="false">
      <c r="A120" s="409"/>
      <c r="B120" s="399"/>
      <c r="C120" s="362" t="n">
        <v>41821</v>
      </c>
      <c r="D120" s="291" t="n">
        <v>41912</v>
      </c>
      <c r="E120" s="151" t="n">
        <v>0</v>
      </c>
      <c r="F120" s="298"/>
      <c r="G120" s="293" t="n">
        <f aca="false">E120+F120+I119</f>
        <v>0</v>
      </c>
      <c r="H120" s="298"/>
      <c r="I120" s="151" t="n">
        <f aca="false">G120-H120</f>
        <v>0</v>
      </c>
      <c r="J120" s="151"/>
      <c r="K120" s="363" t="n">
        <v>0</v>
      </c>
      <c r="L120" s="298"/>
      <c r="M120" s="295" t="n">
        <f aca="false">K120+L120+O119</f>
        <v>0</v>
      </c>
      <c r="N120" s="298"/>
      <c r="O120" s="295" t="n">
        <f aca="false">M120-N120</f>
        <v>0</v>
      </c>
      <c r="P120" s="391"/>
      <c r="Q120" s="447" t="n">
        <v>0</v>
      </c>
      <c r="R120" s="298"/>
      <c r="S120" s="295" t="n">
        <f aca="false">Q120+R120+U119</f>
        <v>0</v>
      </c>
      <c r="T120" s="298"/>
      <c r="U120" s="295" t="n">
        <f aca="false">S120-T120</f>
        <v>0</v>
      </c>
      <c r="V120" s="287"/>
      <c r="W120" s="443" t="n">
        <f aca="false">E120+K120+Q120</f>
        <v>0</v>
      </c>
      <c r="X120" s="151" t="n">
        <f aca="false">L120+R120+F120</f>
        <v>0</v>
      </c>
      <c r="Y120" s="151"/>
      <c r="Z120" s="295" t="n">
        <f aca="false">W120+X120+AB119+Y120</f>
        <v>0.5</v>
      </c>
      <c r="AA120" s="305" t="n">
        <f aca="false">H120+N120+T120</f>
        <v>0</v>
      </c>
      <c r="AB120" s="305" t="n">
        <f aca="false">Z120-AA120</f>
        <v>0.5</v>
      </c>
      <c r="AC120" s="390" t="n">
        <f aca="false">AA120/Z120</f>
        <v>0</v>
      </c>
      <c r="AD120" s="287"/>
      <c r="AE120" s="288"/>
      <c r="AF120" s="288"/>
      <c r="AG120" s="434"/>
    </row>
    <row r="121" customFormat="false" ht="14.4" hidden="false" customHeight="false" outlineLevel="0" collapsed="false">
      <c r="A121" s="409"/>
      <c r="B121" s="399"/>
      <c r="C121" s="427" t="n">
        <v>41913</v>
      </c>
      <c r="D121" s="269" t="n">
        <v>42004</v>
      </c>
      <c r="E121" s="151" t="n">
        <v>0</v>
      </c>
      <c r="F121" s="298"/>
      <c r="G121" s="293" t="n">
        <f aca="false">E121+F121+I120</f>
        <v>0</v>
      </c>
      <c r="H121" s="298"/>
      <c r="I121" s="151" t="n">
        <f aca="false">G121-H121</f>
        <v>0</v>
      </c>
      <c r="J121" s="151"/>
      <c r="K121" s="363" t="n">
        <v>0</v>
      </c>
      <c r="L121" s="298"/>
      <c r="M121" s="295" t="n">
        <f aca="false">K121+L121+O120</f>
        <v>0</v>
      </c>
      <c r="N121" s="298"/>
      <c r="O121" s="295" t="n">
        <f aca="false">M121-N121</f>
        <v>0</v>
      </c>
      <c r="P121" s="391"/>
      <c r="Q121" s="447" t="n">
        <v>0</v>
      </c>
      <c r="R121" s="298"/>
      <c r="S121" s="295" t="n">
        <f aca="false">Q121+R121+U120</f>
        <v>0</v>
      </c>
      <c r="T121" s="298"/>
      <c r="U121" s="295" t="n">
        <f aca="false">S121-T121</f>
        <v>0</v>
      </c>
      <c r="V121" s="287"/>
      <c r="W121" s="443" t="n">
        <f aca="false">E121+K121+Q121</f>
        <v>0</v>
      </c>
      <c r="X121" s="151" t="n">
        <f aca="false">L121+R121+F121</f>
        <v>0</v>
      </c>
      <c r="Y121" s="151"/>
      <c r="Z121" s="295" t="n">
        <f aca="false">W121+X121+AB120+Y121</f>
        <v>0.5</v>
      </c>
      <c r="AA121" s="305" t="n">
        <f aca="false">H121+N121+T121</f>
        <v>0</v>
      </c>
      <c r="AB121" s="305" t="n">
        <f aca="false">Z121-AA121</f>
        <v>0.5</v>
      </c>
      <c r="AC121" s="390" t="n">
        <f aca="false">AA121/Z121</f>
        <v>0</v>
      </c>
      <c r="AD121" s="287"/>
      <c r="AE121" s="288"/>
      <c r="AF121" s="288"/>
      <c r="AG121" s="434"/>
    </row>
    <row r="122" customFormat="false" ht="14.4" hidden="false" customHeight="true" outlineLevel="0" collapsed="false">
      <c r="A122" s="409"/>
      <c r="B122" s="399" t="s">
        <v>161</v>
      </c>
      <c r="C122" s="362" t="n">
        <v>41730</v>
      </c>
      <c r="D122" s="291" t="n">
        <v>41820</v>
      </c>
      <c r="E122" s="449" t="n">
        <v>0</v>
      </c>
      <c r="F122" s="226"/>
      <c r="G122" s="89" t="n">
        <f aca="false">E122+F122</f>
        <v>0</v>
      </c>
      <c r="H122" s="226"/>
      <c r="I122" s="287" t="n">
        <f aca="false">G122-H122</f>
        <v>0</v>
      </c>
      <c r="J122" s="149" t="n">
        <f aca="false">E122+E123+E124+F122+F123+F124</f>
        <v>0</v>
      </c>
      <c r="K122" s="336" t="n">
        <v>0</v>
      </c>
      <c r="L122" s="226"/>
      <c r="M122" s="258" t="n">
        <f aca="false">K122+L122</f>
        <v>0</v>
      </c>
      <c r="N122" s="226"/>
      <c r="O122" s="258" t="n">
        <f aca="false">M122-N122</f>
        <v>0</v>
      </c>
      <c r="P122" s="381" t="n">
        <f aca="false">K122+K123+K124+L122+L123+L124</f>
        <v>0</v>
      </c>
      <c r="Q122" s="446" t="n">
        <v>0</v>
      </c>
      <c r="R122" s="226"/>
      <c r="S122" s="258" t="n">
        <f aca="false">Q122+R122</f>
        <v>0</v>
      </c>
      <c r="T122" s="226"/>
      <c r="U122" s="258" t="n">
        <f aca="false">S122-T122</f>
        <v>0</v>
      </c>
      <c r="V122" s="149" t="n">
        <f aca="false">Q122+Q123+Q124+R122+R123+R124</f>
        <v>0</v>
      </c>
      <c r="W122" s="442" t="n">
        <f aca="false">E122+K122+Q122</f>
        <v>0</v>
      </c>
      <c r="X122" s="287" t="n">
        <f aca="false">L122+R122+F122</f>
        <v>0</v>
      </c>
      <c r="Y122" s="224" t="n">
        <f aca="false">0.11-0.11</f>
        <v>0</v>
      </c>
      <c r="Z122" s="258" t="n">
        <f aca="false">W122+X122+Y122</f>
        <v>0</v>
      </c>
      <c r="AA122" s="263" t="n">
        <f aca="false">H122+N122+T122</f>
        <v>0</v>
      </c>
      <c r="AB122" s="263" t="n">
        <f aca="false">Z122-AA122</f>
        <v>0</v>
      </c>
      <c r="AC122" s="380" t="e">
        <f aca="false">AA122/Z122</f>
        <v>#DIV/0!</v>
      </c>
      <c r="AD122" s="149" t="n">
        <f aca="false">W122+W123+W124+X122+X123+X124+Y122+Y123+Y124</f>
        <v>0</v>
      </c>
      <c r="AE122" s="265" t="n">
        <f aca="false">AA122+AA123+AA124</f>
        <v>0</v>
      </c>
      <c r="AF122" s="265" t="n">
        <f aca="false">AD122-AE122</f>
        <v>0</v>
      </c>
      <c r="AG122" s="307" t="e">
        <f aca="false">AE122/AD122</f>
        <v>#DIV/0!</v>
      </c>
    </row>
    <row r="123" customFormat="false" ht="14.4" hidden="false" customHeight="false" outlineLevel="0" collapsed="false">
      <c r="A123" s="409"/>
      <c r="B123" s="399"/>
      <c r="C123" s="362" t="n">
        <v>41821</v>
      </c>
      <c r="D123" s="291" t="n">
        <v>41912</v>
      </c>
      <c r="E123" s="450" t="n">
        <v>0</v>
      </c>
      <c r="F123" s="298"/>
      <c r="G123" s="293" t="n">
        <f aca="false">E123+F123+I122</f>
        <v>0</v>
      </c>
      <c r="H123" s="298"/>
      <c r="I123" s="151" t="n">
        <f aca="false">G123-H123</f>
        <v>0</v>
      </c>
      <c r="J123" s="149"/>
      <c r="K123" s="363" t="n">
        <v>0</v>
      </c>
      <c r="L123" s="298"/>
      <c r="M123" s="295" t="n">
        <f aca="false">K123+L123+O122</f>
        <v>0</v>
      </c>
      <c r="N123" s="298"/>
      <c r="O123" s="295" t="n">
        <f aca="false">M123-N123</f>
        <v>0</v>
      </c>
      <c r="P123" s="381"/>
      <c r="Q123" s="447" t="n">
        <v>0</v>
      </c>
      <c r="R123" s="298"/>
      <c r="S123" s="295" t="n">
        <f aca="false">Q123+R123+U122</f>
        <v>0</v>
      </c>
      <c r="T123" s="298"/>
      <c r="U123" s="295" t="n">
        <f aca="false">S123-T123</f>
        <v>0</v>
      </c>
      <c r="V123" s="149"/>
      <c r="W123" s="443" t="n">
        <f aca="false">E123+K123+Q123</f>
        <v>0</v>
      </c>
      <c r="X123" s="151" t="n">
        <f aca="false">L123+R123+F123</f>
        <v>0</v>
      </c>
      <c r="Y123" s="298"/>
      <c r="Z123" s="295" t="n">
        <f aca="false">W123+X123+AB122+Y123</f>
        <v>0</v>
      </c>
      <c r="AA123" s="305" t="n">
        <f aca="false">H123+N123+T123</f>
        <v>0</v>
      </c>
      <c r="AB123" s="305" t="n">
        <f aca="false">Z123-AA123</f>
        <v>0</v>
      </c>
      <c r="AC123" s="390" t="e">
        <f aca="false">AA123/Z123</f>
        <v>#DIV/0!</v>
      </c>
      <c r="AD123" s="149"/>
      <c r="AE123" s="265"/>
      <c r="AF123" s="265"/>
      <c r="AG123" s="307"/>
    </row>
    <row r="124" customFormat="false" ht="14.4" hidden="false" customHeight="false" outlineLevel="0" collapsed="false">
      <c r="A124" s="409"/>
      <c r="B124" s="399"/>
      <c r="C124" s="427" t="n">
        <v>41913</v>
      </c>
      <c r="D124" s="269" t="n">
        <v>42004</v>
      </c>
      <c r="E124" s="451" t="n">
        <v>0</v>
      </c>
      <c r="F124" s="227"/>
      <c r="G124" s="88" t="n">
        <f aca="false">E124+F124+I123</f>
        <v>0</v>
      </c>
      <c r="H124" s="227"/>
      <c r="I124" s="223" t="n">
        <f aca="false">G124-H124</f>
        <v>0</v>
      </c>
      <c r="J124" s="149"/>
      <c r="K124" s="351" t="n">
        <v>0</v>
      </c>
      <c r="L124" s="227"/>
      <c r="M124" s="272" t="n">
        <f aca="false">K124+L124+O123</f>
        <v>0</v>
      </c>
      <c r="N124" s="227"/>
      <c r="O124" s="272" t="n">
        <f aca="false">M124-N124</f>
        <v>0</v>
      </c>
      <c r="P124" s="381"/>
      <c r="Q124" s="448" t="n">
        <v>0</v>
      </c>
      <c r="R124" s="227"/>
      <c r="S124" s="272" t="n">
        <f aca="false">Q124+R124+U123</f>
        <v>0</v>
      </c>
      <c r="T124" s="227"/>
      <c r="U124" s="272" t="n">
        <f aca="false">S124-T124</f>
        <v>0</v>
      </c>
      <c r="V124" s="149"/>
      <c r="W124" s="444" t="n">
        <f aca="false">E124+K124+Q124</f>
        <v>0</v>
      </c>
      <c r="X124" s="151" t="n">
        <f aca="false">L124+R124+F124</f>
        <v>0</v>
      </c>
      <c r="Y124" s="227"/>
      <c r="Z124" s="272" t="n">
        <f aca="false">W124+X124+AB123+Y124</f>
        <v>0</v>
      </c>
      <c r="AA124" s="280" t="n">
        <f aca="false">H124+N124+T124</f>
        <v>0</v>
      </c>
      <c r="AB124" s="280" t="n">
        <f aca="false">Z124-AA124</f>
        <v>0</v>
      </c>
      <c r="AC124" s="430" t="e">
        <f aca="false">AA124/Z124</f>
        <v>#DIV/0!</v>
      </c>
      <c r="AD124" s="149"/>
      <c r="AE124" s="265"/>
      <c r="AF124" s="265"/>
      <c r="AG124" s="307"/>
    </row>
    <row r="125" customFormat="false" ht="14.4" hidden="false" customHeight="true" outlineLevel="0" collapsed="false">
      <c r="A125" s="409"/>
      <c r="B125" s="399" t="s">
        <v>195</v>
      </c>
      <c r="C125" s="362" t="n">
        <v>41730</v>
      </c>
      <c r="D125" s="291" t="n">
        <v>41820</v>
      </c>
      <c r="E125" s="449" t="n">
        <v>0</v>
      </c>
      <c r="F125" s="226"/>
      <c r="G125" s="89" t="n">
        <f aca="false">E125+F125</f>
        <v>0</v>
      </c>
      <c r="H125" s="226"/>
      <c r="I125" s="287" t="n">
        <f aca="false">G125-H125</f>
        <v>0</v>
      </c>
      <c r="J125" s="149" t="n">
        <f aca="false">E125+E126+E127+F125+F126+F127</f>
        <v>0</v>
      </c>
      <c r="K125" s="336" t="n">
        <v>0</v>
      </c>
      <c r="L125" s="226"/>
      <c r="M125" s="258" t="n">
        <f aca="false">K125+L125</f>
        <v>0</v>
      </c>
      <c r="N125" s="226"/>
      <c r="O125" s="258" t="n">
        <f aca="false">M125-N125</f>
        <v>0</v>
      </c>
      <c r="P125" s="381" t="n">
        <f aca="false">K125+K126+K127+L125+L126+L127</f>
        <v>0</v>
      </c>
      <c r="Q125" s="446" t="n">
        <v>0</v>
      </c>
      <c r="R125" s="226"/>
      <c r="S125" s="258" t="n">
        <f aca="false">Q125+R125</f>
        <v>0</v>
      </c>
      <c r="T125" s="226"/>
      <c r="U125" s="258" t="n">
        <f aca="false">S125-T125</f>
        <v>0</v>
      </c>
      <c r="V125" s="149" t="n">
        <f aca="false">Q125+Q126+Q127+R125+R126+R127</f>
        <v>0</v>
      </c>
      <c r="W125" s="442" t="n">
        <f aca="false">E125+K125+Q125</f>
        <v>0</v>
      </c>
      <c r="X125" s="287" t="n">
        <f aca="false">L125+R125+F125</f>
        <v>0</v>
      </c>
      <c r="Y125" s="224" t="n">
        <f aca="false">0.03-0.03</f>
        <v>0</v>
      </c>
      <c r="Z125" s="258" t="n">
        <f aca="false">W125+X125+Y125</f>
        <v>0</v>
      </c>
      <c r="AA125" s="263" t="n">
        <f aca="false">H125+N125+T125</f>
        <v>0</v>
      </c>
      <c r="AB125" s="263" t="n">
        <f aca="false">Z125-AA125</f>
        <v>0</v>
      </c>
      <c r="AC125" s="380" t="e">
        <f aca="false">AA125/Z125</f>
        <v>#DIV/0!</v>
      </c>
      <c r="AD125" s="149" t="n">
        <f aca="false">W125+W126+W127+X125+X126+X127+Y125+Y126+Y127</f>
        <v>0</v>
      </c>
      <c r="AE125" s="265" t="n">
        <f aca="false">AA125+AA126+AA127</f>
        <v>0</v>
      </c>
      <c r="AF125" s="265" t="n">
        <f aca="false">AD125-AE125</f>
        <v>0</v>
      </c>
      <c r="AG125" s="307" t="e">
        <f aca="false">AE125/AD125</f>
        <v>#DIV/0!</v>
      </c>
    </row>
    <row r="126" customFormat="false" ht="14.4" hidden="false" customHeight="false" outlineLevel="0" collapsed="false">
      <c r="A126" s="409"/>
      <c r="B126" s="399"/>
      <c r="C126" s="362" t="n">
        <v>41821</v>
      </c>
      <c r="D126" s="291" t="n">
        <v>41912</v>
      </c>
      <c r="E126" s="450" t="n">
        <v>0</v>
      </c>
      <c r="F126" s="298"/>
      <c r="G126" s="293" t="n">
        <f aca="false">E126+F126+I125</f>
        <v>0</v>
      </c>
      <c r="H126" s="298"/>
      <c r="I126" s="151" t="n">
        <f aca="false">G126-H126</f>
        <v>0</v>
      </c>
      <c r="J126" s="149"/>
      <c r="K126" s="363" t="n">
        <v>0</v>
      </c>
      <c r="L126" s="298"/>
      <c r="M126" s="295" t="n">
        <f aca="false">K126+L126+O125</f>
        <v>0</v>
      </c>
      <c r="N126" s="298"/>
      <c r="O126" s="295" t="n">
        <f aca="false">M126-N126</f>
        <v>0</v>
      </c>
      <c r="P126" s="381"/>
      <c r="Q126" s="447" t="n">
        <v>0</v>
      </c>
      <c r="R126" s="298"/>
      <c r="S126" s="295" t="n">
        <f aca="false">Q126+R126+U125</f>
        <v>0</v>
      </c>
      <c r="T126" s="298"/>
      <c r="U126" s="295" t="n">
        <f aca="false">S126-T126</f>
        <v>0</v>
      </c>
      <c r="V126" s="149"/>
      <c r="W126" s="443" t="n">
        <f aca="false">E126+K126+Q126</f>
        <v>0</v>
      </c>
      <c r="X126" s="151" t="n">
        <f aca="false">L126+R126+F126</f>
        <v>0</v>
      </c>
      <c r="Y126" s="298"/>
      <c r="Z126" s="295" t="n">
        <f aca="false">W126+X126+AB125+Y126</f>
        <v>0</v>
      </c>
      <c r="AA126" s="305" t="n">
        <f aca="false">H126+N126+T126</f>
        <v>0</v>
      </c>
      <c r="AB126" s="305" t="n">
        <f aca="false">Z126-AA126</f>
        <v>0</v>
      </c>
      <c r="AC126" s="390" t="e">
        <f aca="false">AA126/Z126</f>
        <v>#DIV/0!</v>
      </c>
      <c r="AD126" s="149"/>
      <c r="AE126" s="265"/>
      <c r="AF126" s="265"/>
      <c r="AG126" s="307"/>
    </row>
    <row r="127" customFormat="false" ht="14.4" hidden="false" customHeight="false" outlineLevel="0" collapsed="false">
      <c r="A127" s="409"/>
      <c r="B127" s="399"/>
      <c r="C127" s="427" t="n">
        <v>41913</v>
      </c>
      <c r="D127" s="269" t="n">
        <v>42004</v>
      </c>
      <c r="E127" s="451" t="n">
        <v>0</v>
      </c>
      <c r="F127" s="227"/>
      <c r="G127" s="88" t="n">
        <f aca="false">E127+F127+I126</f>
        <v>0</v>
      </c>
      <c r="H127" s="227"/>
      <c r="I127" s="223" t="n">
        <f aca="false">G127-H127</f>
        <v>0</v>
      </c>
      <c r="J127" s="149"/>
      <c r="K127" s="351" t="n">
        <v>0</v>
      </c>
      <c r="L127" s="227"/>
      <c r="M127" s="272" t="n">
        <f aca="false">K127+L127+O126</f>
        <v>0</v>
      </c>
      <c r="N127" s="227"/>
      <c r="O127" s="272" t="n">
        <f aca="false">M127-N127</f>
        <v>0</v>
      </c>
      <c r="P127" s="381"/>
      <c r="Q127" s="448" t="n">
        <v>0</v>
      </c>
      <c r="R127" s="227"/>
      <c r="S127" s="272" t="n">
        <f aca="false">Q127+R127+U126</f>
        <v>0</v>
      </c>
      <c r="T127" s="227"/>
      <c r="U127" s="272" t="n">
        <f aca="false">S127-T127</f>
        <v>0</v>
      </c>
      <c r="V127" s="149"/>
      <c r="W127" s="444" t="n">
        <f aca="false">E127+K127+Q127</f>
        <v>0</v>
      </c>
      <c r="X127" s="151" t="n">
        <f aca="false">L127+R127+F127</f>
        <v>0</v>
      </c>
      <c r="Y127" s="227"/>
      <c r="Z127" s="272" t="n">
        <f aca="false">W127+X127+AB126+Y127</f>
        <v>0</v>
      </c>
      <c r="AA127" s="280" t="n">
        <f aca="false">H127+N127+T127</f>
        <v>0</v>
      </c>
      <c r="AB127" s="280" t="n">
        <f aca="false">Z127-AA127</f>
        <v>0</v>
      </c>
      <c r="AC127" s="430" t="e">
        <f aca="false">AA127/Z127</f>
        <v>#DIV/0!</v>
      </c>
      <c r="AD127" s="149"/>
      <c r="AE127" s="265"/>
      <c r="AF127" s="265"/>
      <c r="AG127" s="307"/>
    </row>
    <row r="128" customFormat="false" ht="14.4" hidden="false" customHeight="false" outlineLevel="0" collapsed="false">
      <c r="X128" s="226"/>
    </row>
  </sheetData>
  <mergeCells count="475">
    <mergeCell ref="B1:O2"/>
    <mergeCell ref="C4:D4"/>
    <mergeCell ref="E4:G4"/>
    <mergeCell ref="H4:I4"/>
    <mergeCell ref="K4:M4"/>
    <mergeCell ref="N4:O4"/>
    <mergeCell ref="Q4:S4"/>
    <mergeCell ref="T4:U4"/>
    <mergeCell ref="W4:Y4"/>
    <mergeCell ref="Z4:AA4"/>
    <mergeCell ref="AC4:AE4"/>
    <mergeCell ref="AF4:AG4"/>
    <mergeCell ref="AI4:AK4"/>
    <mergeCell ref="AL4:AM4"/>
    <mergeCell ref="AO4:AQ4"/>
    <mergeCell ref="AR4:AS4"/>
    <mergeCell ref="AU4:AX4"/>
    <mergeCell ref="AY4:BA4"/>
    <mergeCell ref="BB4:BE4"/>
    <mergeCell ref="A6:A49"/>
    <mergeCell ref="B6:B7"/>
    <mergeCell ref="J6:J7"/>
    <mergeCell ref="P6:P7"/>
    <mergeCell ref="V6:V7"/>
    <mergeCell ref="AB6:AB7"/>
    <mergeCell ref="AH6:AH7"/>
    <mergeCell ref="AN6:AN7"/>
    <mergeCell ref="AT6:AT7"/>
    <mergeCell ref="BB6:BB7"/>
    <mergeCell ref="BC6:BC7"/>
    <mergeCell ref="BD6:BD7"/>
    <mergeCell ref="BE6:BE7"/>
    <mergeCell ref="B8:B9"/>
    <mergeCell ref="J8:J9"/>
    <mergeCell ref="P8:P9"/>
    <mergeCell ref="V8:V9"/>
    <mergeCell ref="AB8:AB9"/>
    <mergeCell ref="AH8:AH9"/>
    <mergeCell ref="AN8:AN9"/>
    <mergeCell ref="AT8:AT9"/>
    <mergeCell ref="BB8:BB9"/>
    <mergeCell ref="BC8:BC9"/>
    <mergeCell ref="BD8:BD9"/>
    <mergeCell ref="BE8:BE9"/>
    <mergeCell ref="B10:B11"/>
    <mergeCell ref="J10:J11"/>
    <mergeCell ref="P10:P11"/>
    <mergeCell ref="V10:V11"/>
    <mergeCell ref="AB10:AB11"/>
    <mergeCell ref="AH10:AH11"/>
    <mergeCell ref="AN10:AN11"/>
    <mergeCell ref="AT10:AT11"/>
    <mergeCell ref="BB10:BB11"/>
    <mergeCell ref="BC10:BC11"/>
    <mergeCell ref="BD10:BD11"/>
    <mergeCell ref="BE10:BE11"/>
    <mergeCell ref="B12:B13"/>
    <mergeCell ref="J12:J13"/>
    <mergeCell ref="P12:P13"/>
    <mergeCell ref="V12:V13"/>
    <mergeCell ref="AB12:AB13"/>
    <mergeCell ref="AH12:AH13"/>
    <mergeCell ref="AN12:AN13"/>
    <mergeCell ref="AT12:AT13"/>
    <mergeCell ref="BB12:BB13"/>
    <mergeCell ref="BC12:BC13"/>
    <mergeCell ref="BD12:BD13"/>
    <mergeCell ref="BE12:BE13"/>
    <mergeCell ref="B14:B15"/>
    <mergeCell ref="J14:J15"/>
    <mergeCell ref="P14:P15"/>
    <mergeCell ref="V14:V15"/>
    <mergeCell ref="AB14:AB15"/>
    <mergeCell ref="AH14:AH15"/>
    <mergeCell ref="AN14:AN15"/>
    <mergeCell ref="AT14:AT15"/>
    <mergeCell ref="BB14:BB15"/>
    <mergeCell ref="BC14:BC15"/>
    <mergeCell ref="BD14:BD15"/>
    <mergeCell ref="BE14:BE15"/>
    <mergeCell ref="B16:B17"/>
    <mergeCell ref="J16:J17"/>
    <mergeCell ref="P16:P17"/>
    <mergeCell ref="V16:V17"/>
    <mergeCell ref="AB16:AB17"/>
    <mergeCell ref="AH16:AH17"/>
    <mergeCell ref="AN16:AN17"/>
    <mergeCell ref="AT16:AT17"/>
    <mergeCell ref="BB16:BB17"/>
    <mergeCell ref="BC16:BC17"/>
    <mergeCell ref="BD16:BD17"/>
    <mergeCell ref="BE16:BE17"/>
    <mergeCell ref="B18:B19"/>
    <mergeCell ref="J18:J19"/>
    <mergeCell ref="P18:P19"/>
    <mergeCell ref="V18:V19"/>
    <mergeCell ref="AB18:AB19"/>
    <mergeCell ref="AH18:AH19"/>
    <mergeCell ref="AN18:AN19"/>
    <mergeCell ref="AT18:AT19"/>
    <mergeCell ref="BB18:BB19"/>
    <mergeCell ref="BC18:BC19"/>
    <mergeCell ref="BD18:BD19"/>
    <mergeCell ref="BE18:BE19"/>
    <mergeCell ref="B20:B21"/>
    <mergeCell ref="J20:J21"/>
    <mergeCell ref="P20:P21"/>
    <mergeCell ref="V20:V21"/>
    <mergeCell ref="AB20:AB21"/>
    <mergeCell ref="AH20:AH21"/>
    <mergeCell ref="AN20:AN21"/>
    <mergeCell ref="AT20:AT21"/>
    <mergeCell ref="BB20:BB21"/>
    <mergeCell ref="BC20:BC21"/>
    <mergeCell ref="BD20:BD21"/>
    <mergeCell ref="BE20:BE21"/>
    <mergeCell ref="B22:B23"/>
    <mergeCell ref="J22:J23"/>
    <mergeCell ref="P22:P23"/>
    <mergeCell ref="V22:V23"/>
    <mergeCell ref="AB22:AB23"/>
    <mergeCell ref="AH22:AH23"/>
    <mergeCell ref="AN22:AN23"/>
    <mergeCell ref="AT22:AT23"/>
    <mergeCell ref="BB22:BB23"/>
    <mergeCell ref="BC22:BC23"/>
    <mergeCell ref="BD22:BD23"/>
    <mergeCell ref="BE22:BE23"/>
    <mergeCell ref="B24:B25"/>
    <mergeCell ref="J24:J25"/>
    <mergeCell ref="P24:P25"/>
    <mergeCell ref="V24:V25"/>
    <mergeCell ref="AB24:AB25"/>
    <mergeCell ref="AH24:AH25"/>
    <mergeCell ref="AN24:AN25"/>
    <mergeCell ref="AT24:AT25"/>
    <mergeCell ref="BB24:BB25"/>
    <mergeCell ref="BC24:BC25"/>
    <mergeCell ref="BD24:BD25"/>
    <mergeCell ref="BE24:BE25"/>
    <mergeCell ref="B26:B27"/>
    <mergeCell ref="J26:J27"/>
    <mergeCell ref="P26:P27"/>
    <mergeCell ref="V26:V27"/>
    <mergeCell ref="AB26:AB27"/>
    <mergeCell ref="AH26:AH27"/>
    <mergeCell ref="AN26:AN27"/>
    <mergeCell ref="AT26:AT27"/>
    <mergeCell ref="BB26:BB27"/>
    <mergeCell ref="BC26:BC27"/>
    <mergeCell ref="BD26:BD27"/>
    <mergeCell ref="BE26:BE27"/>
    <mergeCell ref="B28:B29"/>
    <mergeCell ref="J28:J29"/>
    <mergeCell ref="P28:P29"/>
    <mergeCell ref="V28:V29"/>
    <mergeCell ref="AB28:AB29"/>
    <mergeCell ref="AH28:AH29"/>
    <mergeCell ref="AN28:AN29"/>
    <mergeCell ref="AT28:AT29"/>
    <mergeCell ref="BB28:BB29"/>
    <mergeCell ref="BC28:BC29"/>
    <mergeCell ref="BD28:BD29"/>
    <mergeCell ref="BE28:BE29"/>
    <mergeCell ref="B30:B31"/>
    <mergeCell ref="J30:J31"/>
    <mergeCell ref="P30:P31"/>
    <mergeCell ref="V30:V31"/>
    <mergeCell ref="AB30:AB31"/>
    <mergeCell ref="AH30:AH31"/>
    <mergeCell ref="AN30:AN31"/>
    <mergeCell ref="AT30:AT31"/>
    <mergeCell ref="BB30:BB31"/>
    <mergeCell ref="BC30:BC31"/>
    <mergeCell ref="BD30:BD31"/>
    <mergeCell ref="BE30:BE31"/>
    <mergeCell ref="B32:B33"/>
    <mergeCell ref="J32:J33"/>
    <mergeCell ref="P32:P33"/>
    <mergeCell ref="V32:V33"/>
    <mergeCell ref="AB32:AB33"/>
    <mergeCell ref="AH32:AH33"/>
    <mergeCell ref="AN32:AN33"/>
    <mergeCell ref="AT32:AT33"/>
    <mergeCell ref="BB32:BB33"/>
    <mergeCell ref="BC32:BC33"/>
    <mergeCell ref="BD32:BD33"/>
    <mergeCell ref="BE32:BE33"/>
    <mergeCell ref="B34:B35"/>
    <mergeCell ref="J34:J35"/>
    <mergeCell ref="P34:P35"/>
    <mergeCell ref="V34:V35"/>
    <mergeCell ref="AB34:AB35"/>
    <mergeCell ref="AH34:AH35"/>
    <mergeCell ref="AN34:AN35"/>
    <mergeCell ref="AT34:AT35"/>
    <mergeCell ref="BB34:BB35"/>
    <mergeCell ref="BC34:BC35"/>
    <mergeCell ref="BD34:BD35"/>
    <mergeCell ref="BE34:BE35"/>
    <mergeCell ref="B36:B37"/>
    <mergeCell ref="J36:J37"/>
    <mergeCell ref="P36:P37"/>
    <mergeCell ref="V36:V37"/>
    <mergeCell ref="AB36:AB37"/>
    <mergeCell ref="AH36:AH37"/>
    <mergeCell ref="AN36:AN37"/>
    <mergeCell ref="AT36:AT37"/>
    <mergeCell ref="BB36:BB37"/>
    <mergeCell ref="BC36:BC37"/>
    <mergeCell ref="BD36:BD37"/>
    <mergeCell ref="BE36:BE37"/>
    <mergeCell ref="B38:B39"/>
    <mergeCell ref="J38:J39"/>
    <mergeCell ref="P38:P39"/>
    <mergeCell ref="V38:V39"/>
    <mergeCell ref="AB38:AB39"/>
    <mergeCell ref="AH38:AH39"/>
    <mergeCell ref="AN38:AN39"/>
    <mergeCell ref="AT38:AT39"/>
    <mergeCell ref="BB38:BB39"/>
    <mergeCell ref="BC38:BC39"/>
    <mergeCell ref="BD38:BD39"/>
    <mergeCell ref="BE38:BE39"/>
    <mergeCell ref="B40:B41"/>
    <mergeCell ref="J40:J41"/>
    <mergeCell ref="P40:P41"/>
    <mergeCell ref="V40:V41"/>
    <mergeCell ref="AB40:AB41"/>
    <mergeCell ref="AH40:AH41"/>
    <mergeCell ref="AN40:AN41"/>
    <mergeCell ref="AT40:AT41"/>
    <mergeCell ref="BB40:BB41"/>
    <mergeCell ref="BC40:BC41"/>
    <mergeCell ref="BD40:BD41"/>
    <mergeCell ref="BE40:BE41"/>
    <mergeCell ref="B42:B43"/>
    <mergeCell ref="J42:J43"/>
    <mergeCell ref="P42:P43"/>
    <mergeCell ref="V42:V43"/>
    <mergeCell ref="AB42:AB43"/>
    <mergeCell ref="AH42:AH43"/>
    <mergeCell ref="AN42:AN43"/>
    <mergeCell ref="AT42:AT43"/>
    <mergeCell ref="BB42:BB43"/>
    <mergeCell ref="BC42:BC43"/>
    <mergeCell ref="BD42:BD43"/>
    <mergeCell ref="BE42:BE43"/>
    <mergeCell ref="B44:B45"/>
    <mergeCell ref="J44:J45"/>
    <mergeCell ref="P44:P45"/>
    <mergeCell ref="V44:V45"/>
    <mergeCell ref="AB44:AB45"/>
    <mergeCell ref="AH44:AH45"/>
    <mergeCell ref="AN44:AN45"/>
    <mergeCell ref="AT44:AT45"/>
    <mergeCell ref="BB44:BB45"/>
    <mergeCell ref="BC44:BC45"/>
    <mergeCell ref="BD44:BD45"/>
    <mergeCell ref="BE44:BE45"/>
    <mergeCell ref="B46:B47"/>
    <mergeCell ref="J46:J47"/>
    <mergeCell ref="P46:P47"/>
    <mergeCell ref="V46:V47"/>
    <mergeCell ref="AB46:AB47"/>
    <mergeCell ref="AH46:AH47"/>
    <mergeCell ref="AN46:AN47"/>
    <mergeCell ref="AT46:AT47"/>
    <mergeCell ref="BB46:BB47"/>
    <mergeCell ref="BC46:BC47"/>
    <mergeCell ref="BD46:BD47"/>
    <mergeCell ref="BE46:BE47"/>
    <mergeCell ref="B48:B49"/>
    <mergeCell ref="J48:J49"/>
    <mergeCell ref="P48:P49"/>
    <mergeCell ref="V48:V49"/>
    <mergeCell ref="AB48:AB49"/>
    <mergeCell ref="AH48:AH49"/>
    <mergeCell ref="AN48:AN49"/>
    <mergeCell ref="AT48:AT49"/>
    <mergeCell ref="BB48:BB49"/>
    <mergeCell ref="BC48:BC49"/>
    <mergeCell ref="BD48:BD49"/>
    <mergeCell ref="BE48:BE49"/>
    <mergeCell ref="C53:D53"/>
    <mergeCell ref="E53:G53"/>
    <mergeCell ref="H53:I53"/>
    <mergeCell ref="K53:M53"/>
    <mergeCell ref="N53:O53"/>
    <mergeCell ref="Q53:T53"/>
    <mergeCell ref="U53:W53"/>
    <mergeCell ref="X53:AA53"/>
    <mergeCell ref="A55:A93"/>
    <mergeCell ref="B55:B57"/>
    <mergeCell ref="J55:J57"/>
    <mergeCell ref="P55:P57"/>
    <mergeCell ref="X55:X57"/>
    <mergeCell ref="Y55:Y57"/>
    <mergeCell ref="Z55:Z57"/>
    <mergeCell ref="AA55:AA57"/>
    <mergeCell ref="B58:B60"/>
    <mergeCell ref="J58:J60"/>
    <mergeCell ref="P58:P60"/>
    <mergeCell ref="X58:X60"/>
    <mergeCell ref="Y58:Y60"/>
    <mergeCell ref="Z58:Z60"/>
    <mergeCell ref="AA58:AA60"/>
    <mergeCell ref="B61:B63"/>
    <mergeCell ref="J61:J63"/>
    <mergeCell ref="P61:P63"/>
    <mergeCell ref="X61:X63"/>
    <mergeCell ref="Y61:Y63"/>
    <mergeCell ref="Z61:Z63"/>
    <mergeCell ref="AA61:AA63"/>
    <mergeCell ref="B64:B66"/>
    <mergeCell ref="J64:J66"/>
    <mergeCell ref="P64:P66"/>
    <mergeCell ref="X64:X66"/>
    <mergeCell ref="Y64:Y66"/>
    <mergeCell ref="Z64:Z66"/>
    <mergeCell ref="AA64:AA66"/>
    <mergeCell ref="B67:B69"/>
    <mergeCell ref="J67:J69"/>
    <mergeCell ref="P67:P69"/>
    <mergeCell ref="X67:X69"/>
    <mergeCell ref="Y67:Y69"/>
    <mergeCell ref="Z67:Z69"/>
    <mergeCell ref="AA67:AA69"/>
    <mergeCell ref="B70:B72"/>
    <mergeCell ref="J70:J72"/>
    <mergeCell ref="P70:P72"/>
    <mergeCell ref="X70:X72"/>
    <mergeCell ref="Y70:Y72"/>
    <mergeCell ref="Z70:Z72"/>
    <mergeCell ref="AA70:AA72"/>
    <mergeCell ref="B73:B75"/>
    <mergeCell ref="J73:J75"/>
    <mergeCell ref="P73:P75"/>
    <mergeCell ref="X73:X75"/>
    <mergeCell ref="Y73:Y75"/>
    <mergeCell ref="Z73:Z75"/>
    <mergeCell ref="AA73:AA75"/>
    <mergeCell ref="B76:B78"/>
    <mergeCell ref="J76:J78"/>
    <mergeCell ref="P76:P78"/>
    <mergeCell ref="X76:X78"/>
    <mergeCell ref="Y76:Y78"/>
    <mergeCell ref="Z76:Z78"/>
    <mergeCell ref="AA76:AA78"/>
    <mergeCell ref="B79:B81"/>
    <mergeCell ref="J79:J81"/>
    <mergeCell ref="P79:P81"/>
    <mergeCell ref="X79:X81"/>
    <mergeCell ref="Y79:Y81"/>
    <mergeCell ref="Z79:Z81"/>
    <mergeCell ref="AA79:AA81"/>
    <mergeCell ref="B82:B84"/>
    <mergeCell ref="J82:J84"/>
    <mergeCell ref="P82:P84"/>
    <mergeCell ref="X82:X84"/>
    <mergeCell ref="Y82:Y84"/>
    <mergeCell ref="Z82:Z84"/>
    <mergeCell ref="AA82:AA84"/>
    <mergeCell ref="B85:B87"/>
    <mergeCell ref="J85:J87"/>
    <mergeCell ref="P85:P87"/>
    <mergeCell ref="X85:X87"/>
    <mergeCell ref="Y85:Y87"/>
    <mergeCell ref="Z85:Z87"/>
    <mergeCell ref="AA85:AA87"/>
    <mergeCell ref="B88:B90"/>
    <mergeCell ref="J88:J90"/>
    <mergeCell ref="P88:P90"/>
    <mergeCell ref="X88:X90"/>
    <mergeCell ref="Y88:Y90"/>
    <mergeCell ref="Z88:Z90"/>
    <mergeCell ref="AA88:AA90"/>
    <mergeCell ref="B91:B93"/>
    <mergeCell ref="J91:J93"/>
    <mergeCell ref="P91:P93"/>
    <mergeCell ref="X91:X93"/>
    <mergeCell ref="Y91:Y93"/>
    <mergeCell ref="Z91:Z93"/>
    <mergeCell ref="AA91:AA93"/>
    <mergeCell ref="C96:D96"/>
    <mergeCell ref="E96:G96"/>
    <mergeCell ref="H96:I96"/>
    <mergeCell ref="K96:M96"/>
    <mergeCell ref="N96:O96"/>
    <mergeCell ref="Q96:S96"/>
    <mergeCell ref="T96:U96"/>
    <mergeCell ref="W96:Z96"/>
    <mergeCell ref="AA96:AC96"/>
    <mergeCell ref="AD96:AG96"/>
    <mergeCell ref="A98:A127"/>
    <mergeCell ref="B98:B100"/>
    <mergeCell ref="J98:J100"/>
    <mergeCell ref="P98:P100"/>
    <mergeCell ref="V98:V100"/>
    <mergeCell ref="AD98:AD100"/>
    <mergeCell ref="AE98:AE100"/>
    <mergeCell ref="AF98:AF100"/>
    <mergeCell ref="AG98:AG100"/>
    <mergeCell ref="B101:B103"/>
    <mergeCell ref="J101:J103"/>
    <mergeCell ref="P101:P103"/>
    <mergeCell ref="V101:V103"/>
    <mergeCell ref="AD101:AD103"/>
    <mergeCell ref="AE101:AE103"/>
    <mergeCell ref="AF101:AF103"/>
    <mergeCell ref="AG101:AG103"/>
    <mergeCell ref="B104:B106"/>
    <mergeCell ref="J104:J106"/>
    <mergeCell ref="P104:P106"/>
    <mergeCell ref="V104:V106"/>
    <mergeCell ref="AD104:AD106"/>
    <mergeCell ref="AE104:AE106"/>
    <mergeCell ref="AF104:AF106"/>
    <mergeCell ref="AG104:AG106"/>
    <mergeCell ref="B107:B109"/>
    <mergeCell ref="J107:J109"/>
    <mergeCell ref="P107:P109"/>
    <mergeCell ref="V107:V109"/>
    <mergeCell ref="AD107:AD109"/>
    <mergeCell ref="AE107:AE109"/>
    <mergeCell ref="AF107:AF109"/>
    <mergeCell ref="AG107:AG109"/>
    <mergeCell ref="B110:B112"/>
    <mergeCell ref="J110:J112"/>
    <mergeCell ref="P110:P112"/>
    <mergeCell ref="V110:V112"/>
    <mergeCell ref="AD110:AD112"/>
    <mergeCell ref="AE110:AE112"/>
    <mergeCell ref="AF110:AF112"/>
    <mergeCell ref="AG110:AG112"/>
    <mergeCell ref="B113:B115"/>
    <mergeCell ref="J113:J115"/>
    <mergeCell ref="P113:P115"/>
    <mergeCell ref="V113:V115"/>
    <mergeCell ref="AD113:AD115"/>
    <mergeCell ref="AE113:AE115"/>
    <mergeCell ref="AF113:AF115"/>
    <mergeCell ref="AG113:AG115"/>
    <mergeCell ref="B116:B118"/>
    <mergeCell ref="J116:J118"/>
    <mergeCell ref="P116:P118"/>
    <mergeCell ref="V116:V118"/>
    <mergeCell ref="AD116:AD118"/>
    <mergeCell ref="AE116:AE118"/>
    <mergeCell ref="AF116:AF118"/>
    <mergeCell ref="AG116:AG118"/>
    <mergeCell ref="B119:B121"/>
    <mergeCell ref="J119:J121"/>
    <mergeCell ref="P119:P121"/>
    <mergeCell ref="V119:V121"/>
    <mergeCell ref="AD119:AD121"/>
    <mergeCell ref="AE119:AE121"/>
    <mergeCell ref="AF119:AF121"/>
    <mergeCell ref="AG119:AG121"/>
    <mergeCell ref="B122:B124"/>
    <mergeCell ref="J122:J124"/>
    <mergeCell ref="P122:P124"/>
    <mergeCell ref="V122:V124"/>
    <mergeCell ref="AD122:AD124"/>
    <mergeCell ref="AE122:AE124"/>
    <mergeCell ref="AF122:AF124"/>
    <mergeCell ref="AG122:AG124"/>
    <mergeCell ref="B125:B127"/>
    <mergeCell ref="J125:J127"/>
    <mergeCell ref="P125:P127"/>
    <mergeCell ref="V125:V127"/>
    <mergeCell ref="AD125:AD127"/>
    <mergeCell ref="AE125:AE127"/>
    <mergeCell ref="AF125:AF127"/>
    <mergeCell ref="AG125:AG1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2:N2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6" topLeftCell="E163" activePane="bottomRight" state="frozen"/>
      <selection pane="topLeft" activeCell="A1" activeCellId="0" sqref="A1"/>
      <selection pane="topRight" activeCell="E1" activeCellId="0" sqref="E1"/>
      <selection pane="bottomLeft" activeCell="A163" activeCellId="0" sqref="A163"/>
      <selection pane="bottomRight" activeCell="F177" activeCellId="0" sqref="F177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24.66"/>
    <col collapsed="false" customWidth="true" hidden="false" outlineLevel="0" max="2" min="2" style="0" width="25.66"/>
    <col collapsed="false" customWidth="true" hidden="false" outlineLevel="0" max="3" min="3" style="0" width="10.1"/>
    <col collapsed="false" customWidth="true" hidden="false" outlineLevel="0" max="4" min="4" style="0" width="11.99"/>
    <col collapsed="false" customWidth="true" hidden="false" outlineLevel="0" max="6" min="6" style="0" width="14.33"/>
    <col collapsed="false" customWidth="true" hidden="false" outlineLevel="0" max="7" min="7" style="0" width="14.1"/>
    <col collapsed="false" customWidth="true" hidden="false" outlineLevel="0" max="8" min="8" style="0" width="14.99"/>
    <col collapsed="false" customWidth="true" hidden="false" outlineLevel="0" max="9" min="9" style="0" width="11.87"/>
    <col collapsed="false" customWidth="true" hidden="false" outlineLevel="0" max="10" min="10" style="0" width="14.87"/>
    <col collapsed="false" customWidth="true" hidden="false" outlineLevel="0" max="11" min="11" style="0" width="11.87"/>
    <col collapsed="false" customWidth="true" hidden="false" outlineLevel="0" max="12" min="12" style="0" width="13.55"/>
    <col collapsed="false" customWidth="true" hidden="false" outlineLevel="0" max="13" min="13" style="452" width="11.43"/>
    <col collapsed="false" customWidth="true" hidden="false" outlineLevel="0" max="14" min="14" style="0" width="13.43"/>
    <col collapsed="false" customWidth="true" hidden="false" outlineLevel="0" max="15" min="15" style="0" width="8.87"/>
  </cols>
  <sheetData>
    <row r="2" customFormat="false" ht="14.4" hidden="false" customHeight="false" outlineLevel="0" collapsed="false">
      <c r="B2" s="453" t="s">
        <v>196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</row>
    <row r="3" customFormat="false" ht="15.75" hidden="false" customHeight="true" outlineLevel="0" collapsed="false">
      <c r="A3" s="1"/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3"/>
    </row>
    <row r="4" customFormat="false" ht="14.4" hidden="false" customHeight="false" outlineLevel="0" collapsed="false">
      <c r="A4" s="1"/>
      <c r="B4" s="400"/>
      <c r="C4" s="400"/>
      <c r="D4" s="400"/>
      <c r="E4" s="400"/>
      <c r="F4" s="400"/>
      <c r="G4" s="400"/>
      <c r="H4" s="400"/>
      <c r="I4" s="400"/>
      <c r="J4" s="400"/>
    </row>
    <row r="5" customFormat="false" ht="14.4" hidden="false" customHeight="true" outlineLevel="0" collapsed="false">
      <c r="A5" s="1"/>
      <c r="B5" s="232"/>
      <c r="C5" s="46" t="s">
        <v>42</v>
      </c>
      <c r="D5" s="46"/>
      <c r="E5" s="370" t="s">
        <v>197</v>
      </c>
      <c r="F5" s="370"/>
      <c r="G5" s="370"/>
      <c r="H5" s="46" t="s">
        <v>44</v>
      </c>
      <c r="I5" s="46"/>
      <c r="J5" s="46"/>
      <c r="K5" s="46" t="s">
        <v>198</v>
      </c>
      <c r="L5" s="46"/>
      <c r="M5" s="46"/>
      <c r="N5" s="46"/>
    </row>
    <row r="6" customFormat="false" ht="40.5" hidden="false" customHeight="true" outlineLevel="0" collapsed="false">
      <c r="A6" s="454" t="s">
        <v>46</v>
      </c>
      <c r="B6" s="48" t="s">
        <v>176</v>
      </c>
      <c r="C6" s="49" t="s">
        <v>48</v>
      </c>
      <c r="D6" s="49" t="s">
        <v>49</v>
      </c>
      <c r="E6" s="50" t="s">
        <v>50</v>
      </c>
      <c r="F6" s="50" t="s">
        <v>51</v>
      </c>
      <c r="G6" s="50" t="s">
        <v>52</v>
      </c>
      <c r="H6" s="51" t="s">
        <v>53</v>
      </c>
      <c r="I6" s="51" t="s">
        <v>54</v>
      </c>
      <c r="J6" s="403" t="s">
        <v>55</v>
      </c>
      <c r="K6" s="51" t="s">
        <v>148</v>
      </c>
      <c r="L6" s="51" t="s">
        <v>53</v>
      </c>
      <c r="M6" s="455" t="s">
        <v>54</v>
      </c>
      <c r="N6" s="51" t="s">
        <v>55</v>
      </c>
    </row>
    <row r="7" customFormat="false" ht="15.75" hidden="false" customHeight="true" outlineLevel="0" collapsed="false">
      <c r="A7" s="456" t="s">
        <v>199</v>
      </c>
      <c r="B7" s="457" t="s">
        <v>200</v>
      </c>
      <c r="C7" s="254" t="n">
        <v>41640</v>
      </c>
      <c r="D7" s="255" t="n">
        <v>41698</v>
      </c>
      <c r="E7" s="458" t="n">
        <v>0.469</v>
      </c>
      <c r="F7" s="100" t="n">
        <f aca="false">0.949</f>
        <v>0.949</v>
      </c>
      <c r="G7" s="459" t="n">
        <f aca="false">E7+F7</f>
        <v>1.418</v>
      </c>
      <c r="H7" s="460"/>
      <c r="I7" s="328" t="n">
        <f aca="false">G7-H7</f>
        <v>1.418</v>
      </c>
      <c r="J7" s="461" t="n">
        <f aca="false">H7/G7</f>
        <v>0</v>
      </c>
      <c r="K7" s="462" t="n">
        <f aca="false">E7+E8+F7+F8</f>
        <v>1.887</v>
      </c>
      <c r="L7" s="149" t="n">
        <f aca="false">H7+H8</f>
        <v>0</v>
      </c>
      <c r="M7" s="463" t="n">
        <f aca="false">K7-L7</f>
        <v>1.887</v>
      </c>
      <c r="N7" s="307" t="n">
        <f aca="false">L7/K7</f>
        <v>0</v>
      </c>
    </row>
    <row r="8" customFormat="false" ht="18" hidden="false" customHeight="true" outlineLevel="0" collapsed="false">
      <c r="A8" s="456"/>
      <c r="B8" s="457"/>
      <c r="C8" s="268" t="n">
        <v>41699</v>
      </c>
      <c r="D8" s="269" t="n">
        <v>42004</v>
      </c>
      <c r="E8" s="464" t="n">
        <v>0.469</v>
      </c>
      <c r="F8" s="88"/>
      <c r="G8" s="465" t="n">
        <f aca="false">E8+F8+I7</f>
        <v>1.887</v>
      </c>
      <c r="H8" s="466"/>
      <c r="I8" s="344" t="n">
        <f aca="false">G8-H8</f>
        <v>1.887</v>
      </c>
      <c r="J8" s="467" t="n">
        <f aca="false">H8/G8</f>
        <v>0</v>
      </c>
      <c r="K8" s="462"/>
      <c r="L8" s="149"/>
      <c r="M8" s="463"/>
      <c r="N8" s="307"/>
    </row>
    <row r="9" customFormat="false" ht="15.75" hidden="false" customHeight="true" outlineLevel="0" collapsed="false">
      <c r="A9" s="456"/>
      <c r="B9" s="457" t="s">
        <v>201</v>
      </c>
      <c r="C9" s="254" t="n">
        <v>41640</v>
      </c>
      <c r="D9" s="255" t="n">
        <v>41698</v>
      </c>
      <c r="E9" s="458" t="n">
        <v>128.862</v>
      </c>
      <c r="F9" s="56" t="n">
        <f aca="false">-0.949-192.308</f>
        <v>-193.257</v>
      </c>
      <c r="G9" s="459" t="n">
        <f aca="false">E9+F9</f>
        <v>-64.395</v>
      </c>
      <c r="H9" s="468"/>
      <c r="I9" s="328" t="n">
        <f aca="false">G9-H9</f>
        <v>-64.395</v>
      </c>
      <c r="J9" s="461" t="n">
        <f aca="false">H9/G9</f>
        <v>-0</v>
      </c>
      <c r="K9" s="462" t="n">
        <f aca="false">E9+E10+F9+F10</f>
        <v>64.467</v>
      </c>
      <c r="L9" s="149" t="n">
        <f aca="false">H9+H10</f>
        <v>64.467</v>
      </c>
      <c r="M9" s="463" t="n">
        <f aca="false">K9-L9</f>
        <v>0</v>
      </c>
      <c r="N9" s="307" t="n">
        <f aca="false">L9/K9</f>
        <v>1</v>
      </c>
    </row>
    <row r="10" customFormat="false" ht="15.75" hidden="false" customHeight="true" outlineLevel="0" collapsed="false">
      <c r="A10" s="456"/>
      <c r="B10" s="457"/>
      <c r="C10" s="268" t="n">
        <v>41699</v>
      </c>
      <c r="D10" s="269" t="n">
        <v>42004</v>
      </c>
      <c r="E10" s="464" t="n">
        <v>128.862</v>
      </c>
      <c r="F10" s="88"/>
      <c r="G10" s="465" t="n">
        <f aca="false">E10+F10+I9</f>
        <v>64.467</v>
      </c>
      <c r="H10" s="466" t="n">
        <v>64.467</v>
      </c>
      <c r="I10" s="344" t="n">
        <f aca="false">G10-H10</f>
        <v>0</v>
      </c>
      <c r="J10" s="467" t="n">
        <f aca="false">H10/G10</f>
        <v>1</v>
      </c>
      <c r="K10" s="462"/>
      <c r="L10" s="149"/>
      <c r="M10" s="463"/>
      <c r="N10" s="307"/>
    </row>
    <row r="11" customFormat="false" ht="15.75" hidden="false" customHeight="true" outlineLevel="0" collapsed="false">
      <c r="A11" s="456"/>
      <c r="B11" s="457" t="s">
        <v>202</v>
      </c>
      <c r="C11" s="254" t="n">
        <v>41640</v>
      </c>
      <c r="D11" s="255" t="n">
        <v>41698</v>
      </c>
      <c r="E11" s="458" t="n">
        <v>10.992</v>
      </c>
      <c r="F11" s="89"/>
      <c r="G11" s="459" t="n">
        <f aca="false">E11+F11</f>
        <v>10.992</v>
      </c>
      <c r="H11" s="468"/>
      <c r="I11" s="328" t="n">
        <f aca="false">G11-H11</f>
        <v>10.992</v>
      </c>
      <c r="J11" s="461" t="n">
        <f aca="false">H11/G11</f>
        <v>0</v>
      </c>
      <c r="K11" s="462" t="n">
        <f aca="false">E11+E12+F11+F12</f>
        <v>21.984</v>
      </c>
      <c r="L11" s="149" t="n">
        <f aca="false">H11+H12</f>
        <v>18.157</v>
      </c>
      <c r="M11" s="463" t="n">
        <f aca="false">K11-L11</f>
        <v>3.827</v>
      </c>
      <c r="N11" s="307" t="n">
        <f aca="false">L11/K11</f>
        <v>0.82591885007278</v>
      </c>
    </row>
    <row r="12" customFormat="false" ht="15.75" hidden="false" customHeight="true" outlineLevel="0" collapsed="false">
      <c r="A12" s="456"/>
      <c r="B12" s="457"/>
      <c r="C12" s="268" t="n">
        <v>41699</v>
      </c>
      <c r="D12" s="269" t="n">
        <v>42004</v>
      </c>
      <c r="E12" s="464" t="n">
        <v>10.992</v>
      </c>
      <c r="F12" s="88"/>
      <c r="G12" s="465" t="n">
        <f aca="false">E12+F12+I11</f>
        <v>21.984</v>
      </c>
      <c r="H12" s="466" t="n">
        <v>18.157</v>
      </c>
      <c r="I12" s="344" t="n">
        <f aca="false">G12-H12</f>
        <v>3.827</v>
      </c>
      <c r="J12" s="467" t="n">
        <f aca="false">H12/G12</f>
        <v>0.82591885007278</v>
      </c>
      <c r="K12" s="462"/>
      <c r="L12" s="149"/>
      <c r="M12" s="463"/>
      <c r="N12" s="307"/>
    </row>
    <row r="13" customFormat="false" ht="15.75" hidden="false" customHeight="true" outlineLevel="0" collapsed="false">
      <c r="A13" s="456"/>
      <c r="B13" s="457" t="s">
        <v>203</v>
      </c>
      <c r="C13" s="254" t="n">
        <v>41640</v>
      </c>
      <c r="D13" s="255" t="n">
        <v>41698</v>
      </c>
      <c r="E13" s="458" t="n">
        <v>6.847</v>
      </c>
      <c r="F13" s="100" t="n">
        <f aca="false">95</f>
        <v>95</v>
      </c>
      <c r="G13" s="459" t="n">
        <f aca="false">E13+F13</f>
        <v>101.847</v>
      </c>
      <c r="H13" s="468" t="n">
        <v>2.476</v>
      </c>
      <c r="I13" s="328" t="n">
        <f aca="false">G13-H13</f>
        <v>99.371</v>
      </c>
      <c r="J13" s="461" t="n">
        <f aca="false">H13/G13</f>
        <v>0.0243109762683241</v>
      </c>
      <c r="K13" s="462" t="n">
        <f aca="false">E13+E14+F13+F14</f>
        <v>108.694</v>
      </c>
      <c r="L13" s="149" t="n">
        <f aca="false">H13+H14</f>
        <v>14.261</v>
      </c>
      <c r="M13" s="463" t="n">
        <f aca="false">K13-L13</f>
        <v>94.433</v>
      </c>
      <c r="N13" s="307" t="n">
        <f aca="false">L13/K13</f>
        <v>0.131203194288553</v>
      </c>
    </row>
    <row r="14" customFormat="false" ht="15.75" hidden="false" customHeight="true" outlineLevel="0" collapsed="false">
      <c r="A14" s="456"/>
      <c r="B14" s="457"/>
      <c r="C14" s="268" t="n">
        <v>41699</v>
      </c>
      <c r="D14" s="269" t="n">
        <v>42004</v>
      </c>
      <c r="E14" s="464" t="n">
        <v>6.847</v>
      </c>
      <c r="F14" s="88"/>
      <c r="G14" s="465" t="n">
        <f aca="false">E14+F14+I13</f>
        <v>106.218</v>
      </c>
      <c r="H14" s="466" t="n">
        <v>11.785</v>
      </c>
      <c r="I14" s="344" t="n">
        <f aca="false">G14-H14</f>
        <v>94.433</v>
      </c>
      <c r="J14" s="467" t="n">
        <f aca="false">H14/G14</f>
        <v>0.110951062908358</v>
      </c>
      <c r="K14" s="462"/>
      <c r="L14" s="149"/>
      <c r="M14" s="463"/>
      <c r="N14" s="307"/>
    </row>
    <row r="15" customFormat="false" ht="15.75" hidden="false" customHeight="true" outlineLevel="0" collapsed="false">
      <c r="A15" s="456"/>
      <c r="B15" s="457" t="s">
        <v>103</v>
      </c>
      <c r="C15" s="254" t="n">
        <v>41640</v>
      </c>
      <c r="D15" s="255" t="n">
        <v>41698</v>
      </c>
      <c r="E15" s="458" t="n">
        <v>38.33</v>
      </c>
      <c r="F15" s="100" t="n">
        <f aca="false">95</f>
        <v>95</v>
      </c>
      <c r="G15" s="459" t="n">
        <f aca="false">E15+F15</f>
        <v>133.33</v>
      </c>
      <c r="H15" s="468" t="n">
        <v>1.162</v>
      </c>
      <c r="I15" s="328" t="n">
        <f aca="false">G15-H15</f>
        <v>132.168</v>
      </c>
      <c r="J15" s="461" t="n">
        <f aca="false">H15/G15</f>
        <v>0.00871521788044701</v>
      </c>
      <c r="K15" s="462" t="n">
        <f aca="false">E15+E16+F15+F16</f>
        <v>171.66</v>
      </c>
      <c r="L15" s="149" t="n">
        <f aca="false">H15+H16</f>
        <v>45.222</v>
      </c>
      <c r="M15" s="463" t="n">
        <f aca="false">K15-L15</f>
        <v>126.438</v>
      </c>
      <c r="N15" s="307" t="n">
        <f aca="false">L15/K15</f>
        <v>0.263439356868228</v>
      </c>
    </row>
    <row r="16" customFormat="false" ht="15.75" hidden="false" customHeight="true" outlineLevel="0" collapsed="false">
      <c r="A16" s="456"/>
      <c r="B16" s="457"/>
      <c r="C16" s="268" t="n">
        <v>41699</v>
      </c>
      <c r="D16" s="269" t="n">
        <v>42004</v>
      </c>
      <c r="E16" s="464" t="n">
        <v>38.33</v>
      </c>
      <c r="F16" s="88"/>
      <c r="G16" s="465" t="n">
        <f aca="false">E16+F16+I15</f>
        <v>170.498</v>
      </c>
      <c r="H16" s="138" t="n">
        <v>44.06</v>
      </c>
      <c r="I16" s="344" t="n">
        <f aca="false">G16-H16</f>
        <v>126.438</v>
      </c>
      <c r="J16" s="467" t="n">
        <f aca="false">H16/G16</f>
        <v>0.258419453600629</v>
      </c>
      <c r="K16" s="462"/>
      <c r="L16" s="149"/>
      <c r="M16" s="463"/>
      <c r="N16" s="307"/>
    </row>
    <row r="17" customFormat="false" ht="15.75" hidden="false" customHeight="true" outlineLevel="0" collapsed="false">
      <c r="A17" s="456"/>
      <c r="B17" s="457" t="s">
        <v>204</v>
      </c>
      <c r="C17" s="254" t="n">
        <v>41640</v>
      </c>
      <c r="D17" s="255" t="n">
        <v>41698</v>
      </c>
      <c r="E17" s="458" t="n">
        <v>0</v>
      </c>
      <c r="F17" s="100" t="n">
        <f aca="false">192.308-95-95</f>
        <v>2.30799999999999</v>
      </c>
      <c r="G17" s="459" t="n">
        <f aca="false">E17+F17</f>
        <v>2.30799999999999</v>
      </c>
      <c r="H17" s="468"/>
      <c r="I17" s="328" t="n">
        <f aca="false">G17-H17</f>
        <v>2.30799999999999</v>
      </c>
      <c r="J17" s="461" t="n">
        <f aca="false">H17/G17</f>
        <v>0</v>
      </c>
      <c r="K17" s="462" t="n">
        <f aca="false">E17+E18+F17+F18</f>
        <v>2.30799999999999</v>
      </c>
      <c r="L17" s="149" t="n">
        <f aca="false">H17+H18</f>
        <v>0</v>
      </c>
      <c r="M17" s="463" t="n">
        <f aca="false">K17-L17</f>
        <v>2.30799999999999</v>
      </c>
      <c r="N17" s="307" t="n">
        <f aca="false">L17/K17</f>
        <v>0</v>
      </c>
    </row>
    <row r="18" customFormat="false" ht="15.75" hidden="false" customHeight="true" outlineLevel="0" collapsed="false">
      <c r="A18" s="456"/>
      <c r="B18" s="457"/>
      <c r="C18" s="268" t="n">
        <v>41699</v>
      </c>
      <c r="D18" s="269" t="n">
        <v>42004</v>
      </c>
      <c r="E18" s="464" t="n">
        <v>0</v>
      </c>
      <c r="F18" s="88"/>
      <c r="G18" s="465" t="n">
        <f aca="false">E18+F18+I17</f>
        <v>2.30799999999999</v>
      </c>
      <c r="H18" s="138"/>
      <c r="I18" s="344" t="n">
        <f aca="false">G18-H18</f>
        <v>2.30799999999999</v>
      </c>
      <c r="J18" s="467" t="n">
        <f aca="false">H18/G18</f>
        <v>0</v>
      </c>
      <c r="K18" s="462"/>
      <c r="L18" s="149"/>
      <c r="M18" s="463"/>
      <c r="N18" s="307"/>
    </row>
    <row r="19" customFormat="false" ht="22.5" hidden="false" customHeight="true" outlineLevel="0" collapsed="false">
      <c r="A19" s="469"/>
      <c r="B19" s="296"/>
      <c r="C19" s="296"/>
      <c r="D19" s="470"/>
      <c r="E19" s="292"/>
      <c r="F19" s="296"/>
      <c r="G19" s="292"/>
      <c r="H19" s="293"/>
      <c r="I19" s="471"/>
      <c r="J19" s="400"/>
      <c r="M19" s="472"/>
    </row>
    <row r="20" customFormat="false" ht="18" hidden="false" customHeight="true" outlineLevel="0" collapsed="false">
      <c r="A20" s="456" t="s">
        <v>205</v>
      </c>
      <c r="B20" s="473" t="s">
        <v>206</v>
      </c>
      <c r="C20" s="254" t="n">
        <v>41640</v>
      </c>
      <c r="D20" s="255" t="n">
        <v>41698</v>
      </c>
      <c r="E20" s="458" t="n">
        <v>11.461</v>
      </c>
      <c r="F20" s="256"/>
      <c r="G20" s="474" t="n">
        <f aca="false">E20+F20</f>
        <v>11.461</v>
      </c>
      <c r="H20" s="468"/>
      <c r="I20" s="328" t="n">
        <f aca="false">G20-H20</f>
        <v>11.461</v>
      </c>
      <c r="J20" s="461" t="n">
        <f aca="false">H20/G20</f>
        <v>0</v>
      </c>
      <c r="K20" s="382" t="n">
        <f aca="false">E20+E21+F20+F21</f>
        <v>22.922</v>
      </c>
      <c r="L20" s="149" t="n">
        <f aca="false">H20+H21</f>
        <v>22.549</v>
      </c>
      <c r="M20" s="463" t="n">
        <f aca="false">K20-L20</f>
        <v>0.373000000000001</v>
      </c>
      <c r="N20" s="267" t="n">
        <f aca="false">L20/K20</f>
        <v>0.983727423436</v>
      </c>
    </row>
    <row r="21" customFormat="false" ht="18" hidden="false" customHeight="true" outlineLevel="0" collapsed="false">
      <c r="A21" s="456"/>
      <c r="B21" s="473"/>
      <c r="C21" s="268" t="n">
        <v>41699</v>
      </c>
      <c r="D21" s="269" t="n">
        <v>42004</v>
      </c>
      <c r="E21" s="464" t="n">
        <v>11.461</v>
      </c>
      <c r="F21" s="270"/>
      <c r="G21" s="475" t="n">
        <f aca="false">E21+F21+I20</f>
        <v>22.922</v>
      </c>
      <c r="H21" s="466" t="n">
        <v>22.549</v>
      </c>
      <c r="I21" s="344" t="n">
        <f aca="false">G21-H21</f>
        <v>0.373000000000001</v>
      </c>
      <c r="J21" s="467" t="n">
        <f aca="false">H21/G21</f>
        <v>0.983727423436</v>
      </c>
      <c r="K21" s="382"/>
      <c r="L21" s="149"/>
      <c r="M21" s="463"/>
      <c r="N21" s="267"/>
    </row>
    <row r="22" customFormat="false" ht="17.25" hidden="false" customHeight="true" outlineLevel="0" collapsed="false">
      <c r="A22" s="456"/>
      <c r="B22" s="473" t="s">
        <v>203</v>
      </c>
      <c r="C22" s="254" t="n">
        <v>41640</v>
      </c>
      <c r="D22" s="255" t="n">
        <v>41698</v>
      </c>
      <c r="E22" s="458" t="n">
        <v>0.034</v>
      </c>
      <c r="F22" s="89"/>
      <c r="G22" s="474" t="n">
        <f aca="false">E22+F22</f>
        <v>0.034</v>
      </c>
      <c r="H22" s="468"/>
      <c r="I22" s="328" t="n">
        <f aca="false">G22-H22</f>
        <v>0.034</v>
      </c>
      <c r="J22" s="461" t="n">
        <f aca="false">H22/G22</f>
        <v>0</v>
      </c>
      <c r="K22" s="382" t="n">
        <f aca="false">E22+E23+F22+F23</f>
        <v>0.068</v>
      </c>
      <c r="L22" s="149" t="n">
        <f aca="false">H22+H23</f>
        <v>0</v>
      </c>
      <c r="M22" s="463" t="n">
        <f aca="false">K22-L22</f>
        <v>0.068</v>
      </c>
      <c r="N22" s="307" t="n">
        <f aca="false">L22/K22</f>
        <v>0</v>
      </c>
    </row>
    <row r="23" customFormat="false" ht="17.25" hidden="false" customHeight="true" outlineLevel="0" collapsed="false">
      <c r="A23" s="456"/>
      <c r="B23" s="473"/>
      <c r="C23" s="268" t="n">
        <v>41699</v>
      </c>
      <c r="D23" s="269" t="n">
        <v>42004</v>
      </c>
      <c r="E23" s="464" t="n">
        <v>0.034</v>
      </c>
      <c r="F23" s="88"/>
      <c r="G23" s="475" t="n">
        <f aca="false">E23+F23+I22</f>
        <v>0.068</v>
      </c>
      <c r="H23" s="466"/>
      <c r="I23" s="344" t="n">
        <f aca="false">G23-H23</f>
        <v>0.068</v>
      </c>
      <c r="J23" s="467" t="n">
        <f aca="false">H23/G23</f>
        <v>0</v>
      </c>
      <c r="K23" s="382"/>
      <c r="L23" s="149"/>
      <c r="M23" s="463"/>
      <c r="N23" s="307"/>
    </row>
    <row r="24" customFormat="false" ht="17.25" hidden="false" customHeight="true" outlineLevel="0" collapsed="false">
      <c r="A24" s="456"/>
      <c r="B24" s="473" t="s">
        <v>201</v>
      </c>
      <c r="C24" s="254" t="n">
        <v>41640</v>
      </c>
      <c r="D24" s="255" t="n">
        <v>41698</v>
      </c>
      <c r="E24" s="458" t="n">
        <v>39.244</v>
      </c>
      <c r="F24" s="56" t="n">
        <f aca="false">0.285-18.688</f>
        <v>-18.403</v>
      </c>
      <c r="G24" s="474" t="n">
        <f aca="false">E24+F24</f>
        <v>20.841</v>
      </c>
      <c r="H24" s="468" t="n">
        <v>41.942</v>
      </c>
      <c r="I24" s="328" t="n">
        <f aca="false">G24-H24</f>
        <v>-21.101</v>
      </c>
      <c r="J24" s="461" t="n">
        <f aca="false">H24/G24</f>
        <v>2.01247540904947</v>
      </c>
      <c r="K24" s="382" t="n">
        <f aca="false">E24+E25+F24+F25</f>
        <v>60.085</v>
      </c>
      <c r="L24" s="149" t="n">
        <f aca="false">H24+H25</f>
        <v>60.085</v>
      </c>
      <c r="M24" s="463" t="n">
        <f aca="false">K24-L24</f>
        <v>0</v>
      </c>
      <c r="N24" s="307" t="n">
        <f aca="false">L24/K24</f>
        <v>1</v>
      </c>
    </row>
    <row r="25" customFormat="false" ht="17.25" hidden="false" customHeight="true" outlineLevel="0" collapsed="false">
      <c r="A25" s="456"/>
      <c r="B25" s="473"/>
      <c r="C25" s="268" t="n">
        <v>41699</v>
      </c>
      <c r="D25" s="269" t="n">
        <v>42004</v>
      </c>
      <c r="E25" s="464" t="n">
        <v>39.244</v>
      </c>
      <c r="F25" s="88"/>
      <c r="G25" s="475" t="n">
        <f aca="false">E25+F25+I24</f>
        <v>18.143</v>
      </c>
      <c r="H25" s="466" t="n">
        <v>18.143</v>
      </c>
      <c r="I25" s="344" t="n">
        <f aca="false">G25-H25</f>
        <v>0</v>
      </c>
      <c r="J25" s="467" t="n">
        <f aca="false">H25/G25</f>
        <v>1</v>
      </c>
      <c r="K25" s="382"/>
      <c r="L25" s="149"/>
      <c r="M25" s="463"/>
      <c r="N25" s="307"/>
    </row>
    <row r="26" customFormat="false" ht="17.25" hidden="false" customHeight="true" outlineLevel="0" collapsed="false">
      <c r="A26" s="456"/>
      <c r="B26" s="473" t="s">
        <v>202</v>
      </c>
      <c r="C26" s="254" t="n">
        <v>41640</v>
      </c>
      <c r="D26" s="255" t="n">
        <v>41698</v>
      </c>
      <c r="E26" s="458" t="n">
        <v>15.244</v>
      </c>
      <c r="F26" s="56" t="n">
        <f aca="false">-0.285</f>
        <v>-0.285</v>
      </c>
      <c r="G26" s="474" t="n">
        <f aca="false">E26+F26</f>
        <v>14.959</v>
      </c>
      <c r="H26" s="468"/>
      <c r="I26" s="328" t="n">
        <f aca="false">G26-H26</f>
        <v>14.959</v>
      </c>
      <c r="J26" s="461" t="n">
        <f aca="false">H26/G26</f>
        <v>0</v>
      </c>
      <c r="K26" s="382" t="n">
        <f aca="false">E26+E27+F26+F27</f>
        <v>30.203</v>
      </c>
      <c r="L26" s="149" t="n">
        <f aca="false">H26+H27</f>
        <v>29.881</v>
      </c>
      <c r="M26" s="463" t="n">
        <f aca="false">K26-L26</f>
        <v>0.321999999999999</v>
      </c>
      <c r="N26" s="267" t="n">
        <f aca="false">L26/K26</f>
        <v>0.989338807403238</v>
      </c>
    </row>
    <row r="27" customFormat="false" ht="17.25" hidden="false" customHeight="true" outlineLevel="0" collapsed="false">
      <c r="A27" s="456"/>
      <c r="B27" s="473"/>
      <c r="C27" s="268" t="n">
        <v>41699</v>
      </c>
      <c r="D27" s="269" t="n">
        <v>42004</v>
      </c>
      <c r="E27" s="464" t="n">
        <v>15.244</v>
      </c>
      <c r="F27" s="88"/>
      <c r="G27" s="475" t="n">
        <f aca="false">E27+F27+I26</f>
        <v>30.203</v>
      </c>
      <c r="H27" s="466" t="n">
        <v>29.881</v>
      </c>
      <c r="I27" s="344" t="n">
        <f aca="false">G27-H27</f>
        <v>0.321999999999999</v>
      </c>
      <c r="J27" s="467" t="n">
        <f aca="false">H27/G27</f>
        <v>0.989338807403238</v>
      </c>
      <c r="K27" s="382"/>
      <c r="L27" s="149"/>
      <c r="M27" s="463"/>
      <c r="N27" s="267"/>
    </row>
    <row r="28" customFormat="false" ht="17.25" hidden="false" customHeight="true" outlineLevel="0" collapsed="false">
      <c r="A28" s="456"/>
      <c r="B28" s="473" t="s">
        <v>103</v>
      </c>
      <c r="C28" s="254" t="n">
        <v>41640</v>
      </c>
      <c r="D28" s="255" t="n">
        <v>41698</v>
      </c>
      <c r="E28" s="458" t="n">
        <v>0.017</v>
      </c>
      <c r="F28" s="89"/>
      <c r="G28" s="474" t="n">
        <f aca="false">E28+F28</f>
        <v>0.017</v>
      </c>
      <c r="H28" s="468"/>
      <c r="I28" s="328" t="n">
        <f aca="false">G28-H28</f>
        <v>0.017</v>
      </c>
      <c r="J28" s="461" t="n">
        <f aca="false">H28/G28</f>
        <v>0</v>
      </c>
      <c r="K28" s="462" t="n">
        <f aca="false">E28+E29+F28+F29</f>
        <v>0.034</v>
      </c>
      <c r="L28" s="149" t="n">
        <f aca="false">H28+H29</f>
        <v>0</v>
      </c>
      <c r="M28" s="463" t="n">
        <f aca="false">K28-L28</f>
        <v>0.034</v>
      </c>
      <c r="N28" s="307" t="n">
        <f aca="false">L28/K28</f>
        <v>0</v>
      </c>
    </row>
    <row r="29" customFormat="false" ht="17.25" hidden="false" customHeight="true" outlineLevel="0" collapsed="false">
      <c r="A29" s="456"/>
      <c r="B29" s="473"/>
      <c r="C29" s="268" t="n">
        <v>41699</v>
      </c>
      <c r="D29" s="269" t="n">
        <v>42004</v>
      </c>
      <c r="E29" s="464" t="n">
        <v>0.017</v>
      </c>
      <c r="F29" s="88"/>
      <c r="G29" s="475" t="n">
        <f aca="false">E29+F29+I28</f>
        <v>0.034</v>
      </c>
      <c r="H29" s="466"/>
      <c r="I29" s="344" t="n">
        <f aca="false">G29-H29</f>
        <v>0.034</v>
      </c>
      <c r="J29" s="467" t="n">
        <f aca="false">H29/G29</f>
        <v>0</v>
      </c>
      <c r="K29" s="462"/>
      <c r="L29" s="149"/>
      <c r="M29" s="463"/>
      <c r="N29" s="307"/>
    </row>
    <row r="30" customFormat="false" ht="17.25" hidden="false" customHeight="true" outlineLevel="0" collapsed="false">
      <c r="A30" s="456"/>
      <c r="B30" s="476" t="s">
        <v>204</v>
      </c>
      <c r="C30" s="254" t="n">
        <v>41640</v>
      </c>
      <c r="D30" s="255" t="n">
        <v>41698</v>
      </c>
      <c r="E30" s="458" t="n">
        <v>0</v>
      </c>
      <c r="F30" s="100" t="n">
        <f aca="false">18.688</f>
        <v>18.688</v>
      </c>
      <c r="G30" s="474" t="n">
        <f aca="false">E30+F30</f>
        <v>18.688</v>
      </c>
      <c r="H30" s="468"/>
      <c r="I30" s="328" t="n">
        <f aca="false">G30-H30</f>
        <v>18.688</v>
      </c>
      <c r="J30" s="461" t="n">
        <f aca="false">H30/G30</f>
        <v>0</v>
      </c>
      <c r="K30" s="462" t="n">
        <f aca="false">E30+E31+F30+F31</f>
        <v>18.688</v>
      </c>
      <c r="L30" s="149" t="n">
        <f aca="false">H30+H31</f>
        <v>0</v>
      </c>
      <c r="M30" s="463" t="n">
        <f aca="false">K30-L30</f>
        <v>18.688</v>
      </c>
      <c r="N30" s="307" t="n">
        <f aca="false">L30/K30</f>
        <v>0</v>
      </c>
    </row>
    <row r="31" customFormat="false" ht="17.25" hidden="false" customHeight="true" outlineLevel="0" collapsed="false">
      <c r="A31" s="456"/>
      <c r="B31" s="476"/>
      <c r="C31" s="268" t="n">
        <v>41699</v>
      </c>
      <c r="D31" s="269" t="n">
        <v>42004</v>
      </c>
      <c r="E31" s="464" t="n">
        <v>0</v>
      </c>
      <c r="F31" s="88"/>
      <c r="G31" s="475" t="n">
        <f aca="false">E31+F31+I30</f>
        <v>18.688</v>
      </c>
      <c r="H31" s="466"/>
      <c r="I31" s="344" t="n">
        <f aca="false">G31-H31</f>
        <v>18.688</v>
      </c>
      <c r="J31" s="467" t="n">
        <f aca="false">H31/G31</f>
        <v>0</v>
      </c>
      <c r="K31" s="462"/>
      <c r="L31" s="149"/>
      <c r="M31" s="463"/>
      <c r="N31" s="307"/>
    </row>
    <row r="32" customFormat="false" ht="23.25" hidden="false" customHeight="true" outlineLevel="0" collapsed="false">
      <c r="A32" s="308"/>
      <c r="B32" s="296"/>
      <c r="C32" s="296"/>
      <c r="D32" s="470"/>
      <c r="E32" s="292"/>
      <c r="F32" s="296"/>
      <c r="G32" s="292"/>
      <c r="H32" s="293"/>
      <c r="I32" s="471"/>
      <c r="J32" s="400"/>
    </row>
    <row r="33" customFormat="false" ht="15.75" hidden="false" customHeight="true" outlineLevel="0" collapsed="false">
      <c r="A33" s="477" t="s">
        <v>207</v>
      </c>
      <c r="B33" s="355" t="s">
        <v>200</v>
      </c>
      <c r="C33" s="254" t="n">
        <v>41640</v>
      </c>
      <c r="D33" s="255" t="n">
        <v>41670</v>
      </c>
      <c r="E33" s="468" t="n">
        <v>130.067</v>
      </c>
      <c r="F33" s="478" t="n">
        <f aca="false">189.512+192.829+276.77+195.151+164.278+26.13</f>
        <v>1044.67</v>
      </c>
      <c r="G33" s="459" t="n">
        <f aca="false">E33+F33</f>
        <v>1174.737</v>
      </c>
      <c r="H33" s="468"/>
      <c r="I33" s="328" t="n">
        <f aca="false">G33-H33</f>
        <v>1174.737</v>
      </c>
      <c r="J33" s="461" t="n">
        <f aca="false">H33/G33</f>
        <v>0</v>
      </c>
      <c r="K33" s="462" t="n">
        <f aca="false">E33+E34+F33+F34</f>
        <v>1565.19</v>
      </c>
      <c r="L33" s="149" t="n">
        <f aca="false">H33+H34</f>
        <v>1565.182</v>
      </c>
      <c r="M33" s="266" t="n">
        <f aca="false">K33-L33</f>
        <v>0.0080000000000382</v>
      </c>
      <c r="N33" s="267" t="n">
        <f aca="false">L33/K33</f>
        <v>0.999994888799443</v>
      </c>
    </row>
    <row r="34" customFormat="false" ht="15.75" hidden="false" customHeight="true" outlineLevel="0" collapsed="false">
      <c r="A34" s="477"/>
      <c r="B34" s="355"/>
      <c r="C34" s="268" t="n">
        <v>41671</v>
      </c>
      <c r="D34" s="269" t="n">
        <v>41851</v>
      </c>
      <c r="E34" s="466" t="n">
        <v>241.39</v>
      </c>
      <c r="F34" s="479" t="n">
        <f aca="false">110.488+38.575</f>
        <v>149.063</v>
      </c>
      <c r="G34" s="465" t="n">
        <f aca="false">E34+F34+I33</f>
        <v>1565.19</v>
      </c>
      <c r="H34" s="466" t="n">
        <v>1565.182</v>
      </c>
      <c r="I34" s="344" t="n">
        <f aca="false">G34-H34</f>
        <v>0.0080000000000382</v>
      </c>
      <c r="J34" s="467" t="n">
        <f aca="false">H34/G34</f>
        <v>0.999994888799443</v>
      </c>
      <c r="K34" s="462"/>
      <c r="L34" s="149"/>
      <c r="M34" s="266"/>
      <c r="N34" s="267"/>
    </row>
    <row r="35" customFormat="false" ht="15.75" hidden="false" customHeight="true" outlineLevel="0" collapsed="false">
      <c r="A35" s="477"/>
      <c r="B35" s="355" t="s">
        <v>201</v>
      </c>
      <c r="C35" s="254" t="n">
        <v>41640</v>
      </c>
      <c r="D35" s="255" t="n">
        <v>41670</v>
      </c>
      <c r="E35" s="458" t="n">
        <v>472.435</v>
      </c>
      <c r="F35" s="478" t="n">
        <f aca="false">276.798-276.77-106.195+200-93.833</f>
        <v>0</v>
      </c>
      <c r="G35" s="459" t="n">
        <f aca="false">E35+F35</f>
        <v>472.435</v>
      </c>
      <c r="H35" s="468"/>
      <c r="I35" s="328" t="n">
        <f aca="false">G35-H35</f>
        <v>472.435</v>
      </c>
      <c r="J35" s="461" t="n">
        <f aca="false">H35/G35</f>
        <v>0</v>
      </c>
      <c r="K35" s="462" t="n">
        <f aca="false">E35+E36+F35+F36</f>
        <v>1276.89</v>
      </c>
      <c r="L35" s="149" t="n">
        <f aca="false">H35+H36</f>
        <v>1276.89</v>
      </c>
      <c r="M35" s="266" t="n">
        <f aca="false">K35-L35</f>
        <v>0</v>
      </c>
      <c r="N35" s="267" t="n">
        <f aca="false">L35/K35</f>
        <v>1</v>
      </c>
    </row>
    <row r="36" customFormat="false" ht="15.75" hidden="false" customHeight="true" outlineLevel="0" collapsed="false">
      <c r="A36" s="477"/>
      <c r="B36" s="355"/>
      <c r="C36" s="268" t="n">
        <v>41671</v>
      </c>
      <c r="D36" s="269" t="n">
        <v>41851</v>
      </c>
      <c r="E36" s="464" t="n">
        <v>876.784</v>
      </c>
      <c r="F36" s="480" t="n">
        <f aca="false">-72.329</f>
        <v>-72.329</v>
      </c>
      <c r="G36" s="465" t="n">
        <f aca="false">E36+F36+I35</f>
        <v>1276.89</v>
      </c>
      <c r="H36" s="466" t="n">
        <v>1276.89</v>
      </c>
      <c r="I36" s="344" t="n">
        <f aca="false">G36-H36</f>
        <v>0</v>
      </c>
      <c r="J36" s="467" t="n">
        <f aca="false">H36/G36</f>
        <v>1</v>
      </c>
      <c r="K36" s="462"/>
      <c r="L36" s="149"/>
      <c r="M36" s="266"/>
      <c r="N36" s="267"/>
    </row>
    <row r="37" customFormat="false" ht="15.75" hidden="false" customHeight="true" outlineLevel="0" collapsed="false">
      <c r="A37" s="477"/>
      <c r="B37" s="355" t="s">
        <v>208</v>
      </c>
      <c r="C37" s="254" t="n">
        <v>41640</v>
      </c>
      <c r="D37" s="255" t="n">
        <v>41670</v>
      </c>
      <c r="E37" s="458" t="n">
        <v>30.339</v>
      </c>
      <c r="F37" s="256"/>
      <c r="G37" s="459" t="n">
        <f aca="false">E37+F37</f>
        <v>30.339</v>
      </c>
      <c r="H37" s="468"/>
      <c r="I37" s="328" t="n">
        <f aca="false">G37-H37</f>
        <v>30.339</v>
      </c>
      <c r="J37" s="461" t="n">
        <f aca="false">H37/G37</f>
        <v>0</v>
      </c>
      <c r="K37" s="462" t="n">
        <f aca="false">E37+E38+F37+F38</f>
        <v>86.645</v>
      </c>
      <c r="L37" s="149" t="n">
        <f aca="false">H37+H38</f>
        <v>86.436</v>
      </c>
      <c r="M37" s="266" t="n">
        <f aca="false">K37-L37</f>
        <v>0.208999999999989</v>
      </c>
      <c r="N37" s="267" t="n">
        <f aca="false">L37/K37</f>
        <v>0.997587858503087</v>
      </c>
    </row>
    <row r="38" customFormat="false" ht="15.75" hidden="false" customHeight="true" outlineLevel="0" collapsed="false">
      <c r="A38" s="477"/>
      <c r="B38" s="355"/>
      <c r="C38" s="268" t="n">
        <v>41671</v>
      </c>
      <c r="D38" s="269" t="n">
        <v>41851</v>
      </c>
      <c r="E38" s="464" t="n">
        <v>56.306</v>
      </c>
      <c r="F38" s="270"/>
      <c r="G38" s="465" t="n">
        <f aca="false">E38+F38+I37</f>
        <v>86.645</v>
      </c>
      <c r="H38" s="466" t="n">
        <v>86.436</v>
      </c>
      <c r="I38" s="344" t="n">
        <f aca="false">G38-H38</f>
        <v>0.208999999999989</v>
      </c>
      <c r="J38" s="467" t="n">
        <f aca="false">H38/G38</f>
        <v>0.997587858503087</v>
      </c>
      <c r="K38" s="462"/>
      <c r="L38" s="149"/>
      <c r="M38" s="266"/>
      <c r="N38" s="267"/>
    </row>
    <row r="39" customFormat="false" ht="15.75" hidden="false" customHeight="true" outlineLevel="0" collapsed="false">
      <c r="A39" s="477"/>
      <c r="B39" s="355" t="s">
        <v>159</v>
      </c>
      <c r="C39" s="254" t="n">
        <v>41640</v>
      </c>
      <c r="D39" s="255" t="n">
        <v>41670</v>
      </c>
      <c r="E39" s="458" t="n">
        <v>30.204</v>
      </c>
      <c r="F39" s="478" t="n">
        <f aca="false">450+22.13+79.516+32.373+39.11</f>
        <v>623.129</v>
      </c>
      <c r="G39" s="459" t="n">
        <f aca="false">E39+F39</f>
        <v>653.333</v>
      </c>
      <c r="H39" s="133" t="n">
        <v>63.912</v>
      </c>
      <c r="I39" s="328" t="n">
        <f aca="false">G39-H39</f>
        <v>589.421</v>
      </c>
      <c r="J39" s="461" t="n">
        <f aca="false">H39/G39</f>
        <v>0.0978245397063978</v>
      </c>
      <c r="K39" s="462" t="n">
        <f aca="false">E39+E40+F39+F40</f>
        <v>900.404</v>
      </c>
      <c r="L39" s="149" t="n">
        <f aca="false">H39+H40</f>
        <v>892.944</v>
      </c>
      <c r="M39" s="266" t="n">
        <f aca="false">K39-L39</f>
        <v>7.45999999999992</v>
      </c>
      <c r="N39" s="481" t="n">
        <f aca="false">L39/K39</f>
        <v>0.991714830231763</v>
      </c>
    </row>
    <row r="40" customFormat="false" ht="15.75" hidden="false" customHeight="true" outlineLevel="0" collapsed="false">
      <c r="A40" s="477"/>
      <c r="B40" s="355"/>
      <c r="C40" s="268" t="n">
        <v>41671</v>
      </c>
      <c r="D40" s="269" t="n">
        <v>41851</v>
      </c>
      <c r="E40" s="464" t="n">
        <v>56.054</v>
      </c>
      <c r="F40" s="479" t="n">
        <f aca="false">28.017+163</f>
        <v>191.017</v>
      </c>
      <c r="G40" s="465" t="n">
        <f aca="false">E40+F40+I39</f>
        <v>836.492</v>
      </c>
      <c r="H40" s="138" t="n">
        <v>829.032</v>
      </c>
      <c r="I40" s="344" t="n">
        <f aca="false">G40-H40</f>
        <v>7.45999999999992</v>
      </c>
      <c r="J40" s="467" t="n">
        <f aca="false">H40/G40</f>
        <v>0.991081803531893</v>
      </c>
      <c r="K40" s="462"/>
      <c r="L40" s="149"/>
      <c r="M40" s="266"/>
      <c r="N40" s="481"/>
    </row>
    <row r="41" customFormat="false" ht="15.75" hidden="false" customHeight="true" outlineLevel="0" collapsed="false">
      <c r="A41" s="477"/>
      <c r="B41" s="355" t="s">
        <v>209</v>
      </c>
      <c r="C41" s="254" t="n">
        <v>41640</v>
      </c>
      <c r="D41" s="255" t="n">
        <v>41670</v>
      </c>
      <c r="E41" s="458" t="n">
        <v>356.955</v>
      </c>
      <c r="F41" s="478" t="n">
        <f aca="false">-356.955+137.588+166.633+627.822-0.75+18.622-26.13</f>
        <v>566.83</v>
      </c>
      <c r="G41" s="459" t="n">
        <f aca="false">E41+F41</f>
        <v>923.785</v>
      </c>
      <c r="H41" s="482" t="n">
        <v>49.261</v>
      </c>
      <c r="I41" s="328" t="n">
        <f aca="false">G41-H41</f>
        <v>874.524</v>
      </c>
      <c r="J41" s="461" t="n">
        <f aca="false">H41/G41</f>
        <v>0.0533251784776761</v>
      </c>
      <c r="K41" s="462" t="n">
        <f aca="false">E41+E42+F41+F42</f>
        <v>1575.207</v>
      </c>
      <c r="L41" s="149" t="n">
        <f aca="false">H41+H42</f>
        <v>1560.248</v>
      </c>
      <c r="M41" s="266" t="n">
        <f aca="false">K41-L41</f>
        <v>14.9589999999998</v>
      </c>
      <c r="N41" s="267" t="n">
        <f aca="false">L41/K41</f>
        <v>0.990503470337549</v>
      </c>
    </row>
    <row r="42" customFormat="false" ht="15.75" hidden="false" customHeight="true" outlineLevel="0" collapsed="false">
      <c r="A42" s="477"/>
      <c r="B42" s="355"/>
      <c r="C42" s="268" t="n">
        <v>41671</v>
      </c>
      <c r="D42" s="269" t="n">
        <v>41851</v>
      </c>
      <c r="E42" s="464" t="n">
        <v>662.467</v>
      </c>
      <c r="F42" s="480" t="n">
        <f aca="false">-93.045-10+92</f>
        <v>-11.045</v>
      </c>
      <c r="G42" s="465" t="n">
        <f aca="false">E42+F42+I41</f>
        <v>1525.946</v>
      </c>
      <c r="H42" s="483" t="n">
        <v>1510.987</v>
      </c>
      <c r="I42" s="344" t="n">
        <f aca="false">G42-H42</f>
        <v>14.9589999999998</v>
      </c>
      <c r="J42" s="467" t="n">
        <f aca="false">H42/G42</f>
        <v>0.990196900807761</v>
      </c>
      <c r="K42" s="462"/>
      <c r="L42" s="149"/>
      <c r="M42" s="266"/>
      <c r="N42" s="267"/>
    </row>
    <row r="43" customFormat="false" ht="15.75" hidden="false" customHeight="true" outlineLevel="0" collapsed="false">
      <c r="A43" s="477"/>
      <c r="B43" s="484" t="s">
        <v>166</v>
      </c>
      <c r="C43" s="411" t="n">
        <v>41640</v>
      </c>
      <c r="D43" s="411" t="n">
        <v>41670</v>
      </c>
      <c r="E43" s="256" t="n">
        <v>0</v>
      </c>
      <c r="F43" s="478" t="n">
        <f aca="false">0.75</f>
        <v>0.75</v>
      </c>
      <c r="G43" s="89" t="n">
        <f aca="false">E43+F43</f>
        <v>0.75</v>
      </c>
      <c r="H43" s="485"/>
      <c r="I43" s="328" t="n">
        <f aca="false">G43-H43</f>
        <v>0.75</v>
      </c>
      <c r="J43" s="486" t="n">
        <f aca="false">H43/G43</f>
        <v>0</v>
      </c>
      <c r="K43" s="382" t="n">
        <f aca="false">E43+E44+F43+F44</f>
        <v>0.75</v>
      </c>
      <c r="L43" s="149" t="n">
        <f aca="false">H43+H44</f>
        <v>0</v>
      </c>
      <c r="M43" s="266" t="n">
        <f aca="false">K43-L43</f>
        <v>0.75</v>
      </c>
      <c r="N43" s="307" t="n">
        <f aca="false">L43/K43</f>
        <v>0</v>
      </c>
    </row>
    <row r="44" customFormat="false" ht="15.75" hidden="false" customHeight="true" outlineLevel="0" collapsed="false">
      <c r="A44" s="477"/>
      <c r="B44" s="484"/>
      <c r="C44" s="427" t="n">
        <v>41671</v>
      </c>
      <c r="D44" s="427" t="n">
        <v>41851</v>
      </c>
      <c r="E44" s="270" t="n">
        <v>0</v>
      </c>
      <c r="F44" s="270" t="n">
        <v>0</v>
      </c>
      <c r="G44" s="88" t="n">
        <f aca="false">E44+F44+I43</f>
        <v>0.75</v>
      </c>
      <c r="H44" s="487"/>
      <c r="I44" s="344" t="n">
        <f aca="false">G44-H44</f>
        <v>0.75</v>
      </c>
      <c r="J44" s="488" t="n">
        <f aca="false">H44/G44</f>
        <v>0</v>
      </c>
      <c r="K44" s="382"/>
      <c r="L44" s="149"/>
      <c r="M44" s="266"/>
      <c r="N44" s="307"/>
    </row>
    <row r="45" customFormat="false" ht="15.75" hidden="false" customHeight="true" outlineLevel="0" collapsed="false">
      <c r="A45" s="477"/>
      <c r="B45" s="484" t="s">
        <v>204</v>
      </c>
      <c r="C45" s="411" t="n">
        <v>41640</v>
      </c>
      <c r="D45" s="411" t="n">
        <v>41670</v>
      </c>
      <c r="E45" s="256" t="n">
        <v>0</v>
      </c>
      <c r="F45" s="478" t="n">
        <f aca="false">93.833</f>
        <v>93.833</v>
      </c>
      <c r="G45" s="89" t="n">
        <f aca="false">E45+F45</f>
        <v>93.833</v>
      </c>
      <c r="H45" s="485"/>
      <c r="I45" s="328" t="n">
        <f aca="false">G45-H45</f>
        <v>93.833</v>
      </c>
      <c r="J45" s="486" t="n">
        <f aca="false">H45/G45</f>
        <v>0</v>
      </c>
      <c r="K45" s="382" t="n">
        <f aca="false">E45+E46+F45+F46</f>
        <v>3.16199999999999</v>
      </c>
      <c r="L45" s="149" t="n">
        <f aca="false">H45+H46</f>
        <v>0</v>
      </c>
      <c r="M45" s="266" t="n">
        <f aca="false">K45-L45</f>
        <v>3.16199999999999</v>
      </c>
      <c r="N45" s="307" t="n">
        <f aca="false">L45/K45</f>
        <v>0</v>
      </c>
    </row>
    <row r="46" customFormat="false" ht="15.75" hidden="false" customHeight="true" outlineLevel="0" collapsed="false">
      <c r="A46" s="477"/>
      <c r="B46" s="484"/>
      <c r="C46" s="427" t="n">
        <v>41671</v>
      </c>
      <c r="D46" s="427" t="n">
        <v>41851</v>
      </c>
      <c r="E46" s="270" t="n">
        <v>0</v>
      </c>
      <c r="F46" s="480" t="n">
        <f aca="false">72.329-163</f>
        <v>-90.671</v>
      </c>
      <c r="G46" s="88" t="n">
        <f aca="false">E46+F46+I45</f>
        <v>3.16199999999999</v>
      </c>
      <c r="H46" s="487"/>
      <c r="I46" s="344" t="n">
        <f aca="false">G46-H46</f>
        <v>3.16199999999999</v>
      </c>
      <c r="J46" s="488" t="n">
        <f aca="false">H46/G46</f>
        <v>0</v>
      </c>
      <c r="K46" s="382"/>
      <c r="L46" s="149"/>
      <c r="M46" s="266"/>
      <c r="N46" s="307"/>
    </row>
    <row r="47" customFormat="false" ht="26.25" hidden="false" customHeight="true" outlineLevel="0" collapsed="false">
      <c r="A47" s="489"/>
      <c r="B47" s="296"/>
      <c r="C47" s="296"/>
      <c r="D47" s="470"/>
      <c r="E47" s="292"/>
      <c r="F47" s="296"/>
      <c r="G47" s="292"/>
      <c r="H47" s="490"/>
      <c r="I47" s="471"/>
      <c r="J47" s="400"/>
    </row>
    <row r="48" customFormat="false" ht="15.75" hidden="false" customHeight="true" outlineLevel="0" collapsed="false">
      <c r="A48" s="477" t="s">
        <v>210</v>
      </c>
      <c r="B48" s="491" t="s">
        <v>200</v>
      </c>
      <c r="C48" s="254" t="n">
        <v>41640</v>
      </c>
      <c r="D48" s="255" t="n">
        <v>41670</v>
      </c>
      <c r="E48" s="458" t="n">
        <v>189.512</v>
      </c>
      <c r="F48" s="492" t="n">
        <f aca="false">-189.512+106.195</f>
        <v>-83.317</v>
      </c>
      <c r="G48" s="256" t="n">
        <f aca="false">E48+F48</f>
        <v>106.195</v>
      </c>
      <c r="H48" s="485"/>
      <c r="I48" s="328" t="n">
        <f aca="false">G48-H48</f>
        <v>106.195</v>
      </c>
      <c r="J48" s="461" t="n">
        <f aca="false">H48/G48</f>
        <v>0</v>
      </c>
      <c r="K48" s="329" t="n">
        <f aca="false">E48+E49+F48+F49</f>
        <v>357.699</v>
      </c>
      <c r="L48" s="149" t="n">
        <f aca="false">H48+H49</f>
        <v>357.12</v>
      </c>
      <c r="M48" s="266" t="n">
        <f aca="false">K48-L48</f>
        <v>0.579000000000008</v>
      </c>
      <c r="N48" s="267" t="n">
        <f aca="false">L48/K48</f>
        <v>0.99838132060755</v>
      </c>
    </row>
    <row r="49" customFormat="false" ht="15.75" hidden="false" customHeight="true" outlineLevel="0" collapsed="false">
      <c r="A49" s="477"/>
      <c r="B49" s="491"/>
      <c r="C49" s="268" t="n">
        <v>41671</v>
      </c>
      <c r="D49" s="269" t="n">
        <v>41851</v>
      </c>
      <c r="E49" s="464" t="n">
        <v>351.992</v>
      </c>
      <c r="F49" s="480" t="n">
        <f aca="false">-110.488+10</f>
        <v>-100.488</v>
      </c>
      <c r="G49" s="270" t="n">
        <f aca="false">E49+F49+I48</f>
        <v>357.699</v>
      </c>
      <c r="H49" s="138" t="n">
        <v>357.12</v>
      </c>
      <c r="I49" s="344" t="n">
        <f aca="false">G49-H49</f>
        <v>0.579000000000008</v>
      </c>
      <c r="J49" s="467" t="n">
        <f aca="false">H49/G49</f>
        <v>0.99838132060755</v>
      </c>
      <c r="K49" s="329"/>
      <c r="L49" s="149"/>
      <c r="M49" s="266"/>
      <c r="N49" s="267"/>
    </row>
    <row r="50" customFormat="false" ht="15.75" hidden="false" customHeight="true" outlineLevel="0" collapsed="false">
      <c r="A50" s="477"/>
      <c r="B50" s="491" t="s">
        <v>159</v>
      </c>
      <c r="C50" s="254" t="n">
        <v>41640</v>
      </c>
      <c r="D50" s="255" t="n">
        <v>41670</v>
      </c>
      <c r="E50" s="458" t="n">
        <v>0.366</v>
      </c>
      <c r="F50" s="256"/>
      <c r="G50" s="256" t="n">
        <f aca="false">E50+F50</f>
        <v>0.366</v>
      </c>
      <c r="H50" s="133"/>
      <c r="I50" s="328" t="n">
        <f aca="false">G50-H50</f>
        <v>0.366</v>
      </c>
      <c r="J50" s="461" t="n">
        <f aca="false">H50/G50</f>
        <v>0</v>
      </c>
      <c r="K50" s="329" t="n">
        <f aca="false">E50+E51+F50+F51</f>
        <v>1.046</v>
      </c>
      <c r="L50" s="149" t="n">
        <f aca="false">H50+H51</f>
        <v>0</v>
      </c>
      <c r="M50" s="266" t="n">
        <f aca="false">K50-L50</f>
        <v>1.046</v>
      </c>
      <c r="N50" s="307" t="n">
        <f aca="false">L50/K50</f>
        <v>0</v>
      </c>
    </row>
    <row r="51" customFormat="false" ht="15.75" hidden="false" customHeight="true" outlineLevel="0" collapsed="false">
      <c r="A51" s="477"/>
      <c r="B51" s="491"/>
      <c r="C51" s="268" t="n">
        <v>41671</v>
      </c>
      <c r="D51" s="269" t="n">
        <v>41851</v>
      </c>
      <c r="E51" s="464" t="n">
        <v>0.68</v>
      </c>
      <c r="F51" s="270"/>
      <c r="G51" s="270" t="n">
        <f aca="false">E51+F51+I50</f>
        <v>1.046</v>
      </c>
      <c r="H51" s="138"/>
      <c r="I51" s="344" t="n">
        <f aca="false">G51-H51</f>
        <v>1.046</v>
      </c>
      <c r="J51" s="467" t="n">
        <f aca="false">H51/G51</f>
        <v>0</v>
      </c>
      <c r="K51" s="329"/>
      <c r="L51" s="149"/>
      <c r="M51" s="266"/>
      <c r="N51" s="307"/>
    </row>
    <row r="52" customFormat="false" ht="15.75" hidden="false" customHeight="true" outlineLevel="0" collapsed="false">
      <c r="A52" s="477"/>
      <c r="B52" s="491" t="s">
        <v>211</v>
      </c>
      <c r="C52" s="254" t="n">
        <v>41640</v>
      </c>
      <c r="D52" s="255" t="n">
        <v>41670</v>
      </c>
      <c r="E52" s="468" t="n">
        <v>352.691</v>
      </c>
      <c r="F52" s="492" t="n">
        <f aca="false">-200-152.663</f>
        <v>-352.663</v>
      </c>
      <c r="G52" s="256" t="n">
        <f aca="false">E52+F52</f>
        <v>0.0279999999999632</v>
      </c>
      <c r="H52" s="133" t="n">
        <v>0.028</v>
      </c>
      <c r="I52" s="493" t="n">
        <f aca="false">G52-H52</f>
        <v>-3.68351182888915E-014</v>
      </c>
      <c r="J52" s="461" t="n">
        <f aca="false">H52/G52</f>
        <v>1.00000000000132</v>
      </c>
      <c r="K52" s="329" t="n">
        <f aca="false">E52+E53+F52+F53</f>
        <v>582.117</v>
      </c>
      <c r="L52" s="149" t="n">
        <f aca="false">H52+H53</f>
        <v>582.117</v>
      </c>
      <c r="M52" s="266" t="n">
        <f aca="false">K52-L52</f>
        <v>0</v>
      </c>
      <c r="N52" s="267" t="n">
        <f aca="false">L52/K52</f>
        <v>1</v>
      </c>
    </row>
    <row r="53" customFormat="false" ht="15.75" hidden="false" customHeight="true" outlineLevel="0" collapsed="false">
      <c r="A53" s="477"/>
      <c r="B53" s="491"/>
      <c r="C53" s="268" t="n">
        <v>41671</v>
      </c>
      <c r="D53" s="269" t="n">
        <v>41851</v>
      </c>
      <c r="E53" s="466" t="n">
        <v>655.075</v>
      </c>
      <c r="F53" s="480" t="n">
        <f aca="false">-72.986</f>
        <v>-72.986</v>
      </c>
      <c r="G53" s="88" t="n">
        <f aca="false">E53+F53+I52</f>
        <v>582.089</v>
      </c>
      <c r="H53" s="138" t="n">
        <v>582.089</v>
      </c>
      <c r="I53" s="344" t="n">
        <f aca="false">G53-H53</f>
        <v>0</v>
      </c>
      <c r="J53" s="467" t="n">
        <f aca="false">H53/G53</f>
        <v>1</v>
      </c>
      <c r="K53" s="329"/>
      <c r="L53" s="149"/>
      <c r="M53" s="266"/>
      <c r="N53" s="267"/>
    </row>
    <row r="54" customFormat="false" ht="15.75" hidden="false" customHeight="true" outlineLevel="0" collapsed="false">
      <c r="A54" s="477"/>
      <c r="B54" s="491" t="s">
        <v>208</v>
      </c>
      <c r="C54" s="254" t="n">
        <v>41640</v>
      </c>
      <c r="D54" s="255" t="n">
        <v>41670</v>
      </c>
      <c r="E54" s="458" t="n">
        <v>106.703</v>
      </c>
      <c r="F54" s="256"/>
      <c r="G54" s="256" t="n">
        <f aca="false">E54+F54</f>
        <v>106.703</v>
      </c>
      <c r="H54" s="485"/>
      <c r="I54" s="328" t="n">
        <f aca="false">G54-H54</f>
        <v>106.703</v>
      </c>
      <c r="J54" s="461" t="n">
        <f aca="false">H54/G54</f>
        <v>0</v>
      </c>
      <c r="K54" s="329" t="n">
        <f aca="false">E54+E55+F54+F55</f>
        <v>304.889</v>
      </c>
      <c r="L54" s="149" t="n">
        <f aca="false">H54+H55</f>
        <v>280.078</v>
      </c>
      <c r="M54" s="266" t="n">
        <f aca="false">K54-L54</f>
        <v>24.811</v>
      </c>
      <c r="N54" s="267" t="n">
        <f aca="false">L54/K54</f>
        <v>0.918622843067477</v>
      </c>
    </row>
    <row r="55" customFormat="false" ht="15.75" hidden="false" customHeight="true" outlineLevel="0" collapsed="false">
      <c r="A55" s="477"/>
      <c r="B55" s="491"/>
      <c r="C55" s="268" t="n">
        <v>41671</v>
      </c>
      <c r="D55" s="269" t="n">
        <v>41851</v>
      </c>
      <c r="E55" s="464" t="n">
        <v>198.186</v>
      </c>
      <c r="F55" s="270"/>
      <c r="G55" s="270" t="n">
        <f aca="false">E55+F55+I54</f>
        <v>304.889</v>
      </c>
      <c r="H55" s="138" t="n">
        <v>280.078</v>
      </c>
      <c r="I55" s="344" t="n">
        <f aca="false">G55-H55</f>
        <v>24.811</v>
      </c>
      <c r="J55" s="467" t="n">
        <f aca="false">H55/G55</f>
        <v>0.918622843067477</v>
      </c>
      <c r="K55" s="329"/>
      <c r="L55" s="149"/>
      <c r="M55" s="266"/>
      <c r="N55" s="267"/>
    </row>
    <row r="56" customFormat="false" ht="15.75" hidden="false" customHeight="true" outlineLevel="0" collapsed="false">
      <c r="A56" s="477"/>
      <c r="B56" s="491" t="s">
        <v>209</v>
      </c>
      <c r="C56" s="254" t="n">
        <v>41640</v>
      </c>
      <c r="D56" s="255" t="n">
        <v>41670</v>
      </c>
      <c r="E56" s="458" t="n">
        <v>2.728</v>
      </c>
      <c r="F56" s="256"/>
      <c r="G56" s="256" t="n">
        <f aca="false">E56+F56</f>
        <v>2.728</v>
      </c>
      <c r="H56" s="485"/>
      <c r="I56" s="328" t="n">
        <f aca="false">G56-H56</f>
        <v>2.728</v>
      </c>
      <c r="J56" s="461" t="n">
        <f aca="false">H56/G56</f>
        <v>0</v>
      </c>
      <c r="K56" s="329" t="n">
        <f aca="false">E56+E57+F56+F57</f>
        <v>7.795</v>
      </c>
      <c r="L56" s="149" t="n">
        <f aca="false">H56+H57</f>
        <v>5.418</v>
      </c>
      <c r="M56" s="266" t="n">
        <f aca="false">K56-L56</f>
        <v>2.377</v>
      </c>
      <c r="N56" s="307" t="n">
        <f aca="false">L56/K56</f>
        <v>0.695060936497755</v>
      </c>
    </row>
    <row r="57" customFormat="false" ht="15.75" hidden="false" customHeight="true" outlineLevel="0" collapsed="false">
      <c r="A57" s="477"/>
      <c r="B57" s="491"/>
      <c r="C57" s="268" t="n">
        <v>41671</v>
      </c>
      <c r="D57" s="269" t="n">
        <v>41851</v>
      </c>
      <c r="E57" s="464" t="n">
        <v>5.067</v>
      </c>
      <c r="F57" s="270"/>
      <c r="G57" s="270" t="n">
        <f aca="false">E57+F57+I56</f>
        <v>7.795</v>
      </c>
      <c r="H57" s="138" t="n">
        <v>5.418</v>
      </c>
      <c r="I57" s="344" t="n">
        <f aca="false">G57-H57</f>
        <v>2.377</v>
      </c>
      <c r="J57" s="467" t="n">
        <f aca="false">H57/G57</f>
        <v>0.695060936497755</v>
      </c>
      <c r="K57" s="329"/>
      <c r="L57" s="149"/>
      <c r="M57" s="266"/>
      <c r="N57" s="307"/>
    </row>
    <row r="58" customFormat="false" ht="15.75" hidden="false" customHeight="true" outlineLevel="0" collapsed="false">
      <c r="A58" s="477"/>
      <c r="B58" s="494" t="s">
        <v>204</v>
      </c>
      <c r="C58" s="254" t="n">
        <v>41640</v>
      </c>
      <c r="D58" s="255" t="n">
        <v>41670</v>
      </c>
      <c r="E58" s="458" t="n">
        <v>0</v>
      </c>
      <c r="F58" s="478" t="n">
        <f aca="false">152.663</f>
        <v>152.663</v>
      </c>
      <c r="G58" s="256" t="n">
        <f aca="false">E58+F58</f>
        <v>152.663</v>
      </c>
      <c r="H58" s="485"/>
      <c r="I58" s="328" t="n">
        <f aca="false">G58-H58</f>
        <v>152.663</v>
      </c>
      <c r="J58" s="461" t="n">
        <f aca="false">H58/G58</f>
        <v>0</v>
      </c>
      <c r="K58" s="329" t="n">
        <f aca="false">E58+E59+F58+F59</f>
        <v>133.649</v>
      </c>
      <c r="L58" s="149" t="n">
        <f aca="false">H58+H59</f>
        <v>0</v>
      </c>
      <c r="M58" s="266" t="n">
        <f aca="false">K58-L58</f>
        <v>133.649</v>
      </c>
      <c r="N58" s="307" t="n">
        <f aca="false">L58/K58</f>
        <v>0</v>
      </c>
    </row>
    <row r="59" customFormat="false" ht="15.75" hidden="false" customHeight="true" outlineLevel="0" collapsed="false">
      <c r="A59" s="477"/>
      <c r="B59" s="494"/>
      <c r="C59" s="268" t="n">
        <v>41671</v>
      </c>
      <c r="D59" s="269" t="n">
        <v>41851</v>
      </c>
      <c r="E59" s="464" t="n">
        <v>0</v>
      </c>
      <c r="F59" s="480" t="n">
        <f aca="false">72.986-92</f>
        <v>-19.014</v>
      </c>
      <c r="G59" s="270" t="n">
        <f aca="false">E59+F59+I58</f>
        <v>133.649</v>
      </c>
      <c r="H59" s="138"/>
      <c r="I59" s="344" t="n">
        <f aca="false">G59-H59</f>
        <v>133.649</v>
      </c>
      <c r="J59" s="467" t="n">
        <f aca="false">H59/G59</f>
        <v>0</v>
      </c>
      <c r="K59" s="329"/>
      <c r="L59" s="149"/>
      <c r="M59" s="266"/>
      <c r="N59" s="307"/>
    </row>
    <row r="60" customFormat="false" ht="24.75" hidden="false" customHeight="true" outlineLevel="0" collapsed="false">
      <c r="A60" s="469"/>
      <c r="B60" s="296"/>
      <c r="C60" s="296"/>
      <c r="D60" s="470"/>
      <c r="E60" s="292"/>
      <c r="F60" s="296"/>
      <c r="G60" s="292"/>
      <c r="H60" s="495"/>
      <c r="I60" s="471"/>
      <c r="J60" s="400"/>
    </row>
    <row r="61" customFormat="false" ht="15.75" hidden="false" customHeight="true" outlineLevel="0" collapsed="false">
      <c r="A61" s="496" t="s">
        <v>212</v>
      </c>
      <c r="B61" s="497" t="s">
        <v>200</v>
      </c>
      <c r="C61" s="254" t="n">
        <v>41640</v>
      </c>
      <c r="D61" s="255" t="n">
        <v>41670</v>
      </c>
      <c r="E61" s="458" t="n">
        <v>5241.956</v>
      </c>
      <c r="F61" s="492" t="n">
        <f aca="false">-144.345-714.215-714.215</f>
        <v>-1572.775</v>
      </c>
      <c r="G61" s="474" t="n">
        <f aca="false">E61+F61</f>
        <v>3669.181</v>
      </c>
      <c r="H61" s="485"/>
      <c r="I61" s="328" t="n">
        <f aca="false">G61-H61</f>
        <v>3669.181</v>
      </c>
      <c r="J61" s="461" t="n">
        <f aca="false">H61/G61</f>
        <v>0</v>
      </c>
      <c r="K61" s="164" t="n">
        <f aca="false">E61+E62+F61+F62</f>
        <v>12711</v>
      </c>
      <c r="L61" s="149" t="n">
        <f aca="false">H61+H62</f>
        <v>8700.712</v>
      </c>
      <c r="M61" s="266" t="n">
        <f aca="false">K61-L61</f>
        <v>4010.288</v>
      </c>
      <c r="N61" s="307" t="n">
        <f aca="false">L61/K61</f>
        <v>0.684502556840532</v>
      </c>
    </row>
    <row r="62" customFormat="false" ht="15.75" hidden="false" customHeight="true" outlineLevel="0" collapsed="false">
      <c r="A62" s="496"/>
      <c r="B62" s="497"/>
      <c r="C62" s="268" t="n">
        <v>41671</v>
      </c>
      <c r="D62" s="269" t="n">
        <v>42004</v>
      </c>
      <c r="E62" s="464" t="n">
        <v>9041.819</v>
      </c>
      <c r="F62" s="270"/>
      <c r="G62" s="475" t="n">
        <f aca="false">E62+F62+I61</f>
        <v>12711</v>
      </c>
      <c r="H62" s="138" t="n">
        <v>8700.712</v>
      </c>
      <c r="I62" s="344" t="n">
        <f aca="false">G62-H62</f>
        <v>4010.288</v>
      </c>
      <c r="J62" s="467" t="n">
        <f aca="false">H62/G62</f>
        <v>0.684502556840532</v>
      </c>
      <c r="K62" s="164"/>
      <c r="L62" s="149"/>
      <c r="M62" s="266"/>
      <c r="N62" s="307"/>
    </row>
    <row r="63" customFormat="false" ht="15.75" hidden="false" customHeight="true" outlineLevel="0" collapsed="false">
      <c r="A63" s="496"/>
      <c r="B63" s="497" t="s">
        <v>159</v>
      </c>
      <c r="C63" s="254" t="n">
        <v>41640</v>
      </c>
      <c r="D63" s="255" t="n">
        <v>41670</v>
      </c>
      <c r="E63" s="458" t="n">
        <v>0.154</v>
      </c>
      <c r="F63" s="478" t="n">
        <f aca="false">714.215</f>
        <v>714.215</v>
      </c>
      <c r="G63" s="474" t="n">
        <f aca="false">E63+F63</f>
        <v>714.369</v>
      </c>
      <c r="H63" s="485"/>
      <c r="I63" s="328" t="n">
        <f aca="false">G63-H63</f>
        <v>714.369</v>
      </c>
      <c r="J63" s="461" t="n">
        <f aca="false">H63/G63</f>
        <v>0</v>
      </c>
      <c r="K63" s="164" t="n">
        <f aca="false">E63+E64+F63+F64</f>
        <v>714.635</v>
      </c>
      <c r="L63" s="149" t="n">
        <f aca="false">H63+H64</f>
        <v>606.649</v>
      </c>
      <c r="M63" s="266" t="n">
        <f aca="false">K63-L63</f>
        <v>107.986</v>
      </c>
      <c r="N63" s="307" t="n">
        <f aca="false">L63/K63</f>
        <v>0.848893491082861</v>
      </c>
    </row>
    <row r="64" customFormat="false" ht="15.75" hidden="false" customHeight="true" outlineLevel="0" collapsed="false">
      <c r="A64" s="496"/>
      <c r="B64" s="497"/>
      <c r="C64" s="268" t="n">
        <v>41671</v>
      </c>
      <c r="D64" s="269" t="n">
        <v>42004</v>
      </c>
      <c r="E64" s="464" t="n">
        <v>0.266</v>
      </c>
      <c r="F64" s="498"/>
      <c r="G64" s="475" t="n">
        <f aca="false">E64+F64+I63</f>
        <v>714.635</v>
      </c>
      <c r="H64" s="138" t="n">
        <v>606.649</v>
      </c>
      <c r="I64" s="344" t="n">
        <f aca="false">G64-H64</f>
        <v>107.986</v>
      </c>
      <c r="J64" s="467" t="n">
        <f aca="false">H64/G64</f>
        <v>0.848893491082861</v>
      </c>
      <c r="K64" s="164"/>
      <c r="L64" s="149"/>
      <c r="M64" s="266"/>
      <c r="N64" s="307"/>
    </row>
    <row r="65" customFormat="false" ht="15.75" hidden="false" customHeight="true" outlineLevel="0" collapsed="false">
      <c r="A65" s="496"/>
      <c r="B65" s="497" t="s">
        <v>201</v>
      </c>
      <c r="C65" s="254" t="n">
        <v>41640</v>
      </c>
      <c r="D65" s="255" t="n">
        <v>41670</v>
      </c>
      <c r="E65" s="458" t="n">
        <v>5.378</v>
      </c>
      <c r="F65" s="478" t="n">
        <f aca="false">-0.4+144.345</f>
        <v>143.945</v>
      </c>
      <c r="G65" s="474" t="n">
        <f aca="false">E65+F65</f>
        <v>149.323</v>
      </c>
      <c r="H65" s="485"/>
      <c r="I65" s="328" t="n">
        <f aca="false">G65-H65</f>
        <v>149.323</v>
      </c>
      <c r="J65" s="461" t="n">
        <f aca="false">H65/G65</f>
        <v>0</v>
      </c>
      <c r="K65" s="164" t="n">
        <f aca="false">E65+E66+F65+F66</f>
        <v>158.6</v>
      </c>
      <c r="L65" s="149" t="n">
        <f aca="false">H65+H66</f>
        <v>115.248</v>
      </c>
      <c r="M65" s="341" t="n">
        <f aca="false">K65-L65</f>
        <v>43.352</v>
      </c>
      <c r="N65" s="342" t="n">
        <f aca="false">L65/K65</f>
        <v>0.726658259773014</v>
      </c>
    </row>
    <row r="66" customFormat="false" ht="15.75" hidden="false" customHeight="true" outlineLevel="0" collapsed="false">
      <c r="A66" s="496"/>
      <c r="B66" s="497"/>
      <c r="C66" s="268" t="n">
        <v>41671</v>
      </c>
      <c r="D66" s="269" t="n">
        <v>42004</v>
      </c>
      <c r="E66" s="464" t="n">
        <v>9.277</v>
      </c>
      <c r="F66" s="270"/>
      <c r="G66" s="475" t="n">
        <f aca="false">E66+F66+I65</f>
        <v>158.6</v>
      </c>
      <c r="H66" s="138" t="n">
        <v>115.248</v>
      </c>
      <c r="I66" s="344" t="n">
        <f aca="false">G66-H66</f>
        <v>43.352</v>
      </c>
      <c r="J66" s="467" t="n">
        <f aca="false">H66/G66</f>
        <v>0.726658259773014</v>
      </c>
      <c r="K66" s="164"/>
      <c r="L66" s="149"/>
      <c r="M66" s="341"/>
      <c r="N66" s="342"/>
    </row>
    <row r="67" customFormat="false" ht="15.75" hidden="false" customHeight="true" outlineLevel="0" collapsed="false">
      <c r="A67" s="496"/>
      <c r="B67" s="497" t="s">
        <v>209</v>
      </c>
      <c r="C67" s="254" t="n">
        <v>41640</v>
      </c>
      <c r="D67" s="255" t="n">
        <v>41670</v>
      </c>
      <c r="E67" s="458" t="n">
        <v>0.422</v>
      </c>
      <c r="F67" s="478" t="n">
        <f aca="false">714.215</f>
        <v>714.215</v>
      </c>
      <c r="G67" s="474" t="n">
        <f aca="false">E67+F67</f>
        <v>714.637</v>
      </c>
      <c r="H67" s="460"/>
      <c r="I67" s="328" t="n">
        <f aca="false">G67-H67</f>
        <v>714.637</v>
      </c>
      <c r="J67" s="461" t="n">
        <f aca="false">H67/G67</f>
        <v>0</v>
      </c>
      <c r="K67" s="164" t="n">
        <f aca="false">E67+E68+F67+F68</f>
        <v>715.365</v>
      </c>
      <c r="L67" s="149" t="n">
        <f aca="false">H67+H68</f>
        <v>520.248</v>
      </c>
      <c r="M67" s="266" t="n">
        <f aca="false">K67-L67</f>
        <v>195.117</v>
      </c>
      <c r="N67" s="307" t="n">
        <f aca="false">L67/K67</f>
        <v>0.727248327776729</v>
      </c>
    </row>
    <row r="68" customFormat="false" ht="15.75" hidden="false" customHeight="true" outlineLevel="0" collapsed="false">
      <c r="A68" s="496"/>
      <c r="B68" s="497"/>
      <c r="C68" s="268" t="n">
        <v>41671</v>
      </c>
      <c r="D68" s="269" t="n">
        <v>42004</v>
      </c>
      <c r="E68" s="464" t="n">
        <v>0.728</v>
      </c>
      <c r="F68" s="270"/>
      <c r="G68" s="475" t="n">
        <f aca="false">E68+F68+I67</f>
        <v>715.365</v>
      </c>
      <c r="H68" s="466" t="n">
        <v>520.248</v>
      </c>
      <c r="I68" s="344" t="n">
        <f aca="false">G68-H68</f>
        <v>195.117</v>
      </c>
      <c r="J68" s="467" t="n">
        <f aca="false">H68/G68</f>
        <v>0.727248327776729</v>
      </c>
      <c r="K68" s="164"/>
      <c r="L68" s="149"/>
      <c r="M68" s="266"/>
      <c r="N68" s="307"/>
    </row>
    <row r="69" customFormat="false" ht="15.75" hidden="false" customHeight="true" outlineLevel="0" collapsed="false">
      <c r="A69" s="496"/>
      <c r="B69" s="499" t="s">
        <v>213</v>
      </c>
      <c r="C69" s="254" t="n">
        <v>41640</v>
      </c>
      <c r="D69" s="255" t="n">
        <v>41670</v>
      </c>
      <c r="E69" s="458" t="n">
        <v>0</v>
      </c>
      <c r="F69" s="478" t="n">
        <f aca="false">0.4</f>
        <v>0.4</v>
      </c>
      <c r="G69" s="474" t="n">
        <f aca="false">E69+F69</f>
        <v>0.4</v>
      </c>
      <c r="H69" s="460"/>
      <c r="I69" s="328" t="n">
        <f aca="false">G69-H69</f>
        <v>0.4</v>
      </c>
      <c r="J69" s="461" t="n">
        <f aca="false">H69/G69</f>
        <v>0</v>
      </c>
      <c r="K69" s="164" t="n">
        <f aca="false">E69+E70+F69+F70</f>
        <v>0.4</v>
      </c>
      <c r="L69" s="149" t="n">
        <f aca="false">H69+H70</f>
        <v>0</v>
      </c>
      <c r="M69" s="266" t="n">
        <f aca="false">K69-L69</f>
        <v>0.4</v>
      </c>
      <c r="N69" s="307" t="n">
        <f aca="false">L69/K69</f>
        <v>0</v>
      </c>
    </row>
    <row r="70" customFormat="false" ht="15.75" hidden="false" customHeight="true" outlineLevel="0" collapsed="false">
      <c r="A70" s="496"/>
      <c r="B70" s="499"/>
      <c r="C70" s="268" t="n">
        <v>41671</v>
      </c>
      <c r="D70" s="269" t="n">
        <v>42004</v>
      </c>
      <c r="E70" s="464" t="n">
        <v>0</v>
      </c>
      <c r="F70" s="270"/>
      <c r="G70" s="475" t="n">
        <f aca="false">E70+F70+I69</f>
        <v>0.4</v>
      </c>
      <c r="H70" s="500"/>
      <c r="I70" s="344" t="n">
        <f aca="false">G70-H70</f>
        <v>0.4</v>
      </c>
      <c r="J70" s="467" t="n">
        <f aca="false">H70/G70</f>
        <v>0</v>
      </c>
      <c r="K70" s="164"/>
      <c r="L70" s="149"/>
      <c r="M70" s="266"/>
      <c r="N70" s="307"/>
    </row>
    <row r="71" customFormat="false" ht="14.4" hidden="false" customHeight="false" outlineLevel="0" collapsed="false">
      <c r="A71" s="469"/>
      <c r="B71" s="296"/>
      <c r="C71" s="296"/>
      <c r="D71" s="470"/>
      <c r="E71" s="292"/>
      <c r="F71" s="296"/>
      <c r="G71" s="292"/>
      <c r="H71" s="490"/>
      <c r="I71" s="471"/>
      <c r="J71" s="400"/>
    </row>
    <row r="72" customFormat="false" ht="15" hidden="false" customHeight="true" outlineLevel="0" collapsed="false">
      <c r="A72" s="501" t="s">
        <v>214</v>
      </c>
      <c r="B72" s="502" t="s">
        <v>73</v>
      </c>
      <c r="C72" s="254" t="n">
        <v>41640</v>
      </c>
      <c r="D72" s="255" t="n">
        <v>41729</v>
      </c>
      <c r="E72" s="458" t="n">
        <v>1235.136</v>
      </c>
      <c r="F72" s="492" t="n">
        <f aca="false">-1235.136+6.442</f>
        <v>-1228.694</v>
      </c>
      <c r="G72" s="474" t="n">
        <f aca="false">E72+F72</f>
        <v>6.44200000000001</v>
      </c>
      <c r="H72" s="379"/>
      <c r="I72" s="328" t="n">
        <f aca="false">G72-H72</f>
        <v>6.44200000000001</v>
      </c>
      <c r="J72" s="461" t="n">
        <f aca="false">H72/G72</f>
        <v>0</v>
      </c>
      <c r="K72" s="382" t="n">
        <f aca="false">E72+E73+F72+F73</f>
        <v>16.1050000000002</v>
      </c>
      <c r="L72" s="149" t="n">
        <f aca="false">H72+H73</f>
        <v>0</v>
      </c>
      <c r="M72" s="266" t="n">
        <f aca="false">K72-L72</f>
        <v>16.1050000000002</v>
      </c>
      <c r="N72" s="307" t="n">
        <f aca="false">L72/K72</f>
        <v>0</v>
      </c>
    </row>
    <row r="73" customFormat="false" ht="15" hidden="false" customHeight="true" outlineLevel="0" collapsed="false">
      <c r="A73" s="501"/>
      <c r="B73" s="502"/>
      <c r="C73" s="268" t="n">
        <v>41365</v>
      </c>
      <c r="D73" s="269" t="n">
        <v>42004</v>
      </c>
      <c r="E73" s="464" t="n">
        <v>1852.704</v>
      </c>
      <c r="F73" s="480" t="n">
        <f aca="false">-1852.704+9.663</f>
        <v>-1843.041</v>
      </c>
      <c r="G73" s="475" t="n">
        <f aca="false">E73+F73+I72</f>
        <v>16.105</v>
      </c>
      <c r="H73" s="384"/>
      <c r="I73" s="344" t="n">
        <f aca="false">G73-H73</f>
        <v>16.105</v>
      </c>
      <c r="J73" s="467" t="n">
        <f aca="false">H73/G73</f>
        <v>0</v>
      </c>
      <c r="K73" s="382"/>
      <c r="L73" s="149"/>
      <c r="M73" s="266"/>
      <c r="N73" s="307"/>
    </row>
    <row r="74" customFormat="false" ht="15" hidden="false" customHeight="true" outlineLevel="0" collapsed="false">
      <c r="A74" s="501"/>
      <c r="B74" s="503" t="s">
        <v>215</v>
      </c>
      <c r="C74" s="254" t="n">
        <v>41640</v>
      </c>
      <c r="D74" s="255" t="n">
        <v>41729</v>
      </c>
      <c r="E74" s="458" t="n">
        <v>895.068</v>
      </c>
      <c r="F74" s="492" t="n">
        <f aca="false">-260.858-634.21+0.294</f>
        <v>-894.774</v>
      </c>
      <c r="G74" s="474" t="n">
        <f aca="false">E74+F74</f>
        <v>0.293999999999983</v>
      </c>
      <c r="H74" s="393" t="n">
        <v>0</v>
      </c>
      <c r="I74" s="328" t="n">
        <f aca="false">G74-H74</f>
        <v>0.293999999999983</v>
      </c>
      <c r="J74" s="461" t="n">
        <f aca="false">H74/G74</f>
        <v>0</v>
      </c>
      <c r="K74" s="504" t="n">
        <f aca="false">E74+E75+F74+F75</f>
        <v>0.705400000000282</v>
      </c>
      <c r="L74" s="287" t="n">
        <f aca="false">H74+H75</f>
        <v>0</v>
      </c>
      <c r="M74" s="311" t="n">
        <f aca="false">K74-L74</f>
        <v>0.705400000000282</v>
      </c>
      <c r="N74" s="289" t="n">
        <f aca="false">L74/K74</f>
        <v>0</v>
      </c>
    </row>
    <row r="75" customFormat="false" ht="15" hidden="false" customHeight="true" outlineLevel="0" collapsed="false">
      <c r="A75" s="501"/>
      <c r="B75" s="503"/>
      <c r="C75" s="290" t="n">
        <v>41365</v>
      </c>
      <c r="D75" s="291" t="n">
        <v>42004</v>
      </c>
      <c r="E75" s="505" t="n">
        <v>1342.602</v>
      </c>
      <c r="F75" s="506" t="n">
        <f aca="false">-1342.1906</f>
        <v>-1342.1906</v>
      </c>
      <c r="G75" s="507" t="n">
        <f aca="false">E75+F75+I74</f>
        <v>0.705400000000168</v>
      </c>
      <c r="H75" s="394"/>
      <c r="I75" s="508" t="n">
        <f aca="false">G75-H75</f>
        <v>0.705400000000168</v>
      </c>
      <c r="J75" s="509" t="n">
        <f aca="false">H75/G75</f>
        <v>0</v>
      </c>
      <c r="K75" s="504"/>
      <c r="L75" s="287"/>
      <c r="M75" s="311"/>
      <c r="N75" s="289"/>
    </row>
    <row r="76" customFormat="false" ht="15" hidden="false" customHeight="true" outlineLevel="0" collapsed="false">
      <c r="A76" s="501"/>
      <c r="B76" s="510" t="s">
        <v>64</v>
      </c>
      <c r="C76" s="254" t="n">
        <v>41640</v>
      </c>
      <c r="D76" s="255" t="n">
        <v>41729</v>
      </c>
      <c r="E76" s="458" t="n">
        <v>2147.343</v>
      </c>
      <c r="F76" s="492" t="n">
        <f aca="false">-0.239-2147.104+0.24</f>
        <v>-2147.103</v>
      </c>
      <c r="G76" s="474" t="n">
        <f aca="false">E76+F76</f>
        <v>0.239999999999782</v>
      </c>
      <c r="H76" s="379" t="n">
        <v>0</v>
      </c>
      <c r="I76" s="328" t="n">
        <f aca="false">G76-H76</f>
        <v>0.239999999999782</v>
      </c>
      <c r="J76" s="461" t="n">
        <f aca="false">H76/G76</f>
        <v>0</v>
      </c>
      <c r="K76" s="382" t="n">
        <f aca="false">E76+E77+F76+F77</f>
        <v>0.239999999999782</v>
      </c>
      <c r="L76" s="149" t="n">
        <f aca="false">H76+H77</f>
        <v>0</v>
      </c>
      <c r="M76" s="266" t="n">
        <f aca="false">K76-L76</f>
        <v>0.239999999999782</v>
      </c>
      <c r="N76" s="307" t="n">
        <f aca="false">L76/K76</f>
        <v>0</v>
      </c>
    </row>
    <row r="77" customFormat="false" ht="15" hidden="false" customHeight="true" outlineLevel="0" collapsed="false">
      <c r="A77" s="501"/>
      <c r="B77" s="510"/>
      <c r="C77" s="268" t="n">
        <v>41365</v>
      </c>
      <c r="D77" s="269" t="n">
        <v>42004</v>
      </c>
      <c r="E77" s="464" t="n">
        <v>3221.014</v>
      </c>
      <c r="F77" s="480" t="n">
        <f aca="false">-3221.014</f>
        <v>-3221.014</v>
      </c>
      <c r="G77" s="475" t="n">
        <f aca="false">E77+F77+I76</f>
        <v>0.239999999999782</v>
      </c>
      <c r="H77" s="384"/>
      <c r="I77" s="344" t="n">
        <f aca="false">G77-H77</f>
        <v>0.239999999999782</v>
      </c>
      <c r="J77" s="467" t="n">
        <f aca="false">H77/G77</f>
        <v>0</v>
      </c>
      <c r="K77" s="382"/>
      <c r="L77" s="149"/>
      <c r="M77" s="266"/>
      <c r="N77" s="307"/>
    </row>
    <row r="78" customFormat="false" ht="15" hidden="false" customHeight="true" outlineLevel="0" collapsed="false">
      <c r="A78" s="501"/>
      <c r="B78" s="502" t="s">
        <v>216</v>
      </c>
      <c r="C78" s="254" t="n">
        <v>41640</v>
      </c>
      <c r="D78" s="255" t="n">
        <v>41729</v>
      </c>
      <c r="E78" s="458" t="n">
        <v>6.442</v>
      </c>
      <c r="F78" s="492" t="n">
        <f aca="false">-6.442</f>
        <v>-6.442</v>
      </c>
      <c r="G78" s="474" t="n">
        <f aca="false">E78+F78</f>
        <v>0</v>
      </c>
      <c r="H78" s="379"/>
      <c r="I78" s="328" t="n">
        <f aca="false">G78-H78</f>
        <v>0</v>
      </c>
      <c r="J78" s="461" t="e">
        <f aca="false">H78/G78</f>
        <v>#DIV/0!</v>
      </c>
      <c r="K78" s="382" t="n">
        <f aca="false">E78+E79+F78+F79</f>
        <v>0</v>
      </c>
      <c r="L78" s="149" t="n">
        <f aca="false">H78+H79</f>
        <v>0</v>
      </c>
      <c r="M78" s="266" t="n">
        <f aca="false">K78-L78</f>
        <v>0</v>
      </c>
      <c r="N78" s="307" t="e">
        <f aca="false">L78/K78</f>
        <v>#DIV/0!</v>
      </c>
    </row>
    <row r="79" customFormat="false" ht="15" hidden="false" customHeight="true" outlineLevel="0" collapsed="false">
      <c r="A79" s="501"/>
      <c r="B79" s="502"/>
      <c r="C79" s="268" t="n">
        <v>41365</v>
      </c>
      <c r="D79" s="269" t="n">
        <v>42004</v>
      </c>
      <c r="E79" s="464" t="n">
        <v>9.663</v>
      </c>
      <c r="F79" s="480" t="n">
        <f aca="false">-9.663</f>
        <v>-9.663</v>
      </c>
      <c r="G79" s="475" t="n">
        <f aca="false">E79+F79+I78</f>
        <v>0</v>
      </c>
      <c r="H79" s="384"/>
      <c r="I79" s="344" t="n">
        <f aca="false">G79-H79</f>
        <v>0</v>
      </c>
      <c r="J79" s="467" t="e">
        <f aca="false">H79/G79</f>
        <v>#DIV/0!</v>
      </c>
      <c r="K79" s="382"/>
      <c r="L79" s="149"/>
      <c r="M79" s="266"/>
      <c r="N79" s="307"/>
    </row>
    <row r="80" customFormat="false" ht="15" hidden="false" customHeight="true" outlineLevel="0" collapsed="false">
      <c r="A80" s="501"/>
      <c r="B80" s="502" t="s">
        <v>75</v>
      </c>
      <c r="C80" s="254" t="n">
        <v>41640</v>
      </c>
      <c r="D80" s="255" t="n">
        <v>41729</v>
      </c>
      <c r="E80" s="458" t="n">
        <v>317.636</v>
      </c>
      <c r="F80" s="492" t="n">
        <f aca="false">-317.636</f>
        <v>-317.636</v>
      </c>
      <c r="G80" s="474" t="n">
        <f aca="false">E80+F80</f>
        <v>0</v>
      </c>
      <c r="H80" s="379"/>
      <c r="I80" s="328" t="n">
        <f aca="false">G80-H80</f>
        <v>0</v>
      </c>
      <c r="J80" s="461" t="e">
        <f aca="false">H80/G80</f>
        <v>#DIV/0!</v>
      </c>
      <c r="K80" s="382" t="n">
        <f aca="false">E80+E81+F80+F81</f>
        <v>0.516999999999996</v>
      </c>
      <c r="L80" s="149" t="n">
        <f aca="false">H80+H81</f>
        <v>0</v>
      </c>
      <c r="M80" s="266" t="n">
        <f aca="false">K80-L80</f>
        <v>0.516999999999996</v>
      </c>
      <c r="N80" s="307" t="n">
        <f aca="false">L80/K80</f>
        <v>0</v>
      </c>
    </row>
    <row r="81" customFormat="false" ht="15" hidden="false" customHeight="true" outlineLevel="0" collapsed="false">
      <c r="A81" s="501"/>
      <c r="B81" s="502"/>
      <c r="C81" s="268" t="n">
        <v>41365</v>
      </c>
      <c r="D81" s="269" t="n">
        <v>42004</v>
      </c>
      <c r="E81" s="464" t="n">
        <v>476.454</v>
      </c>
      <c r="F81" s="480" t="n">
        <f aca="false">-475.937</f>
        <v>-475.937</v>
      </c>
      <c r="G81" s="475" t="n">
        <f aca="false">E81+F81+I80</f>
        <v>0.516999999999996</v>
      </c>
      <c r="H81" s="384"/>
      <c r="I81" s="344" t="n">
        <f aca="false">G81-H81</f>
        <v>0.516999999999996</v>
      </c>
      <c r="J81" s="467" t="n">
        <f aca="false">H81/G81</f>
        <v>0</v>
      </c>
      <c r="K81" s="382"/>
      <c r="L81" s="149"/>
      <c r="M81" s="266"/>
      <c r="N81" s="307"/>
    </row>
    <row r="82" customFormat="false" ht="15" hidden="false" customHeight="true" outlineLevel="0" collapsed="false">
      <c r="A82" s="501"/>
      <c r="B82" s="502" t="s">
        <v>76</v>
      </c>
      <c r="C82" s="254" t="n">
        <v>41640</v>
      </c>
      <c r="D82" s="255" t="n">
        <v>41729</v>
      </c>
      <c r="E82" s="458" t="n">
        <v>1043.678</v>
      </c>
      <c r="F82" s="492" t="n">
        <f aca="false">-1239.368-1239.368-130.46</f>
        <v>-2609.196</v>
      </c>
      <c r="G82" s="511" t="n">
        <f aca="false">E82+F82</f>
        <v>-1565.518</v>
      </c>
      <c r="H82" s="512"/>
      <c r="I82" s="328" t="n">
        <f aca="false">G82-H82</f>
        <v>-1565.518</v>
      </c>
      <c r="J82" s="461" t="n">
        <f aca="false">H82/G82</f>
        <v>-0</v>
      </c>
      <c r="K82" s="382" t="n">
        <f aca="false">E82+E83+F82+F83</f>
        <v>-0.00099999999974898</v>
      </c>
      <c r="L82" s="149" t="n">
        <f aca="false">H82+H83</f>
        <v>0</v>
      </c>
      <c r="M82" s="266" t="n">
        <f aca="false">K82-L82</f>
        <v>-0.00099999999974898</v>
      </c>
      <c r="N82" s="307" t="n">
        <f aca="false">L82/K82</f>
        <v>-0</v>
      </c>
    </row>
    <row r="83" customFormat="false" ht="15" hidden="false" customHeight="true" outlineLevel="0" collapsed="false">
      <c r="A83" s="501"/>
      <c r="B83" s="502"/>
      <c r="C83" s="268" t="n">
        <v>41365</v>
      </c>
      <c r="D83" s="269" t="n">
        <v>42004</v>
      </c>
      <c r="E83" s="464" t="n">
        <v>1565.517</v>
      </c>
      <c r="F83" s="270"/>
      <c r="G83" s="475" t="n">
        <f aca="false">E83+F83+I82</f>
        <v>-0.00099999999974898</v>
      </c>
      <c r="H83" s="513"/>
      <c r="I83" s="344" t="n">
        <f aca="false">G83-H83</f>
        <v>-0.00099999999974898</v>
      </c>
      <c r="J83" s="467" t="n">
        <f aca="false">H83/G83</f>
        <v>-0</v>
      </c>
      <c r="K83" s="382"/>
      <c r="L83" s="149"/>
      <c r="M83" s="266"/>
      <c r="N83" s="307"/>
    </row>
    <row r="84" customFormat="false" ht="15" hidden="false" customHeight="true" outlineLevel="0" collapsed="false">
      <c r="A84" s="501"/>
      <c r="B84" s="510" t="s">
        <v>203</v>
      </c>
      <c r="C84" s="254" t="n">
        <v>41640</v>
      </c>
      <c r="D84" s="255" t="n">
        <v>41729</v>
      </c>
      <c r="E84" s="458" t="n">
        <v>36.173</v>
      </c>
      <c r="F84" s="514" t="n">
        <f aca="false">-1+1239.368-0.24-0.24-0.24+51.001+317.636+24.596+2000-1100-680</f>
        <v>1850.881</v>
      </c>
      <c r="G84" s="474" t="n">
        <f aca="false">E84+F84</f>
        <v>1887.054</v>
      </c>
      <c r="H84" s="89" t="n">
        <v>449.351</v>
      </c>
      <c r="I84" s="328" t="n">
        <f aca="false">G84-H84</f>
        <v>1437.703</v>
      </c>
      <c r="J84" s="461" t="n">
        <f aca="false">H84/G84</f>
        <v>0.238123021386775</v>
      </c>
      <c r="K84" s="382" t="n">
        <f aca="false">E84+E85+F84+F85</f>
        <v>3100.105</v>
      </c>
      <c r="L84" s="149" t="n">
        <f aca="false">H84+H85</f>
        <v>3098.105</v>
      </c>
      <c r="M84" s="515" t="n">
        <f aca="false">K84-L84</f>
        <v>1.99999999999955</v>
      </c>
      <c r="N84" s="516" t="n">
        <f aca="false">L84/K84</f>
        <v>0.999354860561175</v>
      </c>
    </row>
    <row r="85" customFormat="false" ht="15" hidden="false" customHeight="true" outlineLevel="0" collapsed="false">
      <c r="A85" s="501"/>
      <c r="B85" s="510"/>
      <c r="C85" s="268" t="n">
        <v>41365</v>
      </c>
      <c r="D85" s="269" t="n">
        <v>42004</v>
      </c>
      <c r="E85" s="464" t="n">
        <v>54.259</v>
      </c>
      <c r="F85" s="479" t="n">
        <f aca="false">75.961+475.937+36.894+290+400-200+80</f>
        <v>1158.792</v>
      </c>
      <c r="G85" s="517" t="n">
        <f aca="false">E85+F85+I84</f>
        <v>2650.754</v>
      </c>
      <c r="H85" s="88" t="n">
        <v>2648.754</v>
      </c>
      <c r="I85" s="344" t="n">
        <f aca="false">G85-H85</f>
        <v>2</v>
      </c>
      <c r="J85" s="467" t="n">
        <f aca="false">H85/G85</f>
        <v>0.999245497696127</v>
      </c>
      <c r="K85" s="382"/>
      <c r="L85" s="149"/>
      <c r="M85" s="515"/>
      <c r="N85" s="516"/>
    </row>
    <row r="86" customFormat="false" ht="15" hidden="false" customHeight="true" outlineLevel="0" collapsed="false">
      <c r="A86" s="501"/>
      <c r="B86" s="502" t="s">
        <v>217</v>
      </c>
      <c r="C86" s="254" t="n">
        <v>41640</v>
      </c>
      <c r="D86" s="255" t="n">
        <v>41729</v>
      </c>
      <c r="E86" s="458" t="n">
        <v>2.889</v>
      </c>
      <c r="F86" s="492" t="n">
        <f aca="false">-2.889</f>
        <v>-2.889</v>
      </c>
      <c r="G86" s="474" t="n">
        <f aca="false">E86+F86</f>
        <v>0</v>
      </c>
      <c r="H86" s="512"/>
      <c r="I86" s="328" t="n">
        <f aca="false">G86-H86</f>
        <v>0</v>
      </c>
      <c r="J86" s="461" t="e">
        <f aca="false">H86/G86</f>
        <v>#DIV/0!</v>
      </c>
      <c r="K86" s="382" t="n">
        <f aca="false">E86+E87+F86+F87</f>
        <v>0</v>
      </c>
      <c r="L86" s="149" t="n">
        <f aca="false">H86+H87</f>
        <v>0</v>
      </c>
      <c r="M86" s="266" t="n">
        <f aca="false">K86-L86</f>
        <v>0</v>
      </c>
      <c r="N86" s="307" t="e">
        <f aca="false">L86/K86</f>
        <v>#DIV/0!</v>
      </c>
    </row>
    <row r="87" customFormat="false" ht="15" hidden="false" customHeight="true" outlineLevel="0" collapsed="false">
      <c r="A87" s="501"/>
      <c r="B87" s="502"/>
      <c r="C87" s="268" t="n">
        <v>41365</v>
      </c>
      <c r="D87" s="269" t="n">
        <v>42004</v>
      </c>
      <c r="E87" s="464" t="n">
        <v>4.334</v>
      </c>
      <c r="F87" s="480" t="n">
        <f aca="false">-4.334</f>
        <v>-4.334</v>
      </c>
      <c r="G87" s="475" t="n">
        <f aca="false">E87+F87+I86</f>
        <v>0</v>
      </c>
      <c r="H87" s="513"/>
      <c r="I87" s="344" t="n">
        <f aca="false">G87-H87</f>
        <v>0</v>
      </c>
      <c r="J87" s="467" t="e">
        <f aca="false">H87/G87</f>
        <v>#DIV/0!</v>
      </c>
      <c r="K87" s="382"/>
      <c r="L87" s="149"/>
      <c r="M87" s="266"/>
      <c r="N87" s="307"/>
    </row>
    <row r="88" customFormat="false" ht="15" hidden="false" customHeight="true" outlineLevel="0" collapsed="false">
      <c r="A88" s="501"/>
      <c r="B88" s="503" t="s">
        <v>67</v>
      </c>
      <c r="C88" s="254" t="n">
        <v>41640</v>
      </c>
      <c r="D88" s="255" t="n">
        <v>41729</v>
      </c>
      <c r="E88" s="458" t="n">
        <v>51.001</v>
      </c>
      <c r="F88" s="492" t="n">
        <f aca="false">-51.001</f>
        <v>-51.001</v>
      </c>
      <c r="G88" s="474" t="n">
        <f aca="false">E88+F88</f>
        <v>0</v>
      </c>
      <c r="H88" s="512"/>
      <c r="I88" s="328" t="n">
        <f aca="false">G88-H88</f>
        <v>0</v>
      </c>
      <c r="J88" s="461" t="e">
        <f aca="false">H88/G88</f>
        <v>#DIV/0!</v>
      </c>
      <c r="K88" s="504" t="n">
        <f aca="false">E88+E89+F88+F89</f>
        <v>0.540000000000006</v>
      </c>
      <c r="L88" s="287" t="n">
        <f aca="false">H88+H89</f>
        <v>0</v>
      </c>
      <c r="M88" s="311" t="n">
        <f aca="false">K88-L88</f>
        <v>0.540000000000006</v>
      </c>
      <c r="N88" s="289" t="n">
        <f aca="false">L88/K88</f>
        <v>0</v>
      </c>
    </row>
    <row r="89" customFormat="false" ht="15" hidden="false" customHeight="true" outlineLevel="0" collapsed="false">
      <c r="A89" s="501"/>
      <c r="B89" s="503"/>
      <c r="C89" s="290" t="n">
        <v>41365</v>
      </c>
      <c r="D89" s="291" t="n">
        <v>42004</v>
      </c>
      <c r="E89" s="505" t="n">
        <v>76.501</v>
      </c>
      <c r="F89" s="506" t="n">
        <f aca="false">-75.961</f>
        <v>-75.961</v>
      </c>
      <c r="G89" s="507" t="n">
        <f aca="false">E89+F89+I88</f>
        <v>0.540000000000006</v>
      </c>
      <c r="H89" s="518"/>
      <c r="I89" s="508" t="n">
        <f aca="false">G89-H89</f>
        <v>0.540000000000006</v>
      </c>
      <c r="J89" s="509" t="n">
        <f aca="false">H89/G89</f>
        <v>0</v>
      </c>
      <c r="K89" s="504"/>
      <c r="L89" s="287"/>
      <c r="M89" s="311"/>
      <c r="N89" s="289"/>
    </row>
    <row r="90" customFormat="false" ht="15" hidden="false" customHeight="true" outlineLevel="0" collapsed="false">
      <c r="A90" s="501"/>
      <c r="B90" s="510" t="s">
        <v>80</v>
      </c>
      <c r="C90" s="254" t="n">
        <v>41640</v>
      </c>
      <c r="D90" s="255" t="n">
        <v>41729</v>
      </c>
      <c r="E90" s="458" t="n">
        <v>90.501</v>
      </c>
      <c r="F90" s="492" t="n">
        <v>-226.253</v>
      </c>
      <c r="G90" s="511" t="n">
        <f aca="false">E90+F90</f>
        <v>-135.752</v>
      </c>
      <c r="H90" s="55"/>
      <c r="I90" s="328" t="n">
        <f aca="false">G90-H90</f>
        <v>-135.752</v>
      </c>
      <c r="J90" s="461" t="n">
        <f aca="false">H90/G90</f>
        <v>-0</v>
      </c>
      <c r="K90" s="382" t="n">
        <f aca="false">E90+E91+F90+F91</f>
        <v>0</v>
      </c>
      <c r="L90" s="149" t="n">
        <f aca="false">H90+H91</f>
        <v>0</v>
      </c>
      <c r="M90" s="266" t="n">
        <f aca="false">K90-L90</f>
        <v>0</v>
      </c>
      <c r="N90" s="307" t="e">
        <f aca="false">L90/K90</f>
        <v>#DIV/0!</v>
      </c>
    </row>
    <row r="91" customFormat="false" ht="15" hidden="false" customHeight="true" outlineLevel="0" collapsed="false">
      <c r="A91" s="501"/>
      <c r="B91" s="510"/>
      <c r="C91" s="268" t="n">
        <v>41365</v>
      </c>
      <c r="D91" s="269" t="n">
        <v>42004</v>
      </c>
      <c r="E91" s="464" t="n">
        <v>135.752</v>
      </c>
      <c r="F91" s="270"/>
      <c r="G91" s="475" t="n">
        <f aca="false">E91+F91+I90</f>
        <v>0</v>
      </c>
      <c r="H91" s="62"/>
      <c r="I91" s="344" t="n">
        <f aca="false">G91-H91</f>
        <v>0</v>
      </c>
      <c r="J91" s="467" t="e">
        <f aca="false">H91/G91</f>
        <v>#DIV/0!</v>
      </c>
      <c r="K91" s="382"/>
      <c r="L91" s="149"/>
      <c r="M91" s="266"/>
      <c r="N91" s="307"/>
    </row>
    <row r="92" customFormat="false" ht="15" hidden="false" customHeight="true" outlineLevel="0" collapsed="false">
      <c r="A92" s="501"/>
      <c r="B92" s="510" t="s">
        <v>218</v>
      </c>
      <c r="C92" s="254" t="n">
        <v>41640</v>
      </c>
      <c r="D92" s="255" t="n">
        <v>41729</v>
      </c>
      <c r="E92" s="458" t="n">
        <v>451.187</v>
      </c>
      <c r="F92" s="492" t="n">
        <f aca="false">-451.187</f>
        <v>-451.187</v>
      </c>
      <c r="G92" s="474" t="n">
        <f aca="false">E92+F92</f>
        <v>0</v>
      </c>
      <c r="H92" s="512"/>
      <c r="I92" s="328" t="n">
        <f aca="false">G92-H92</f>
        <v>0</v>
      </c>
      <c r="J92" s="461" t="e">
        <f aca="false">H92/G92</f>
        <v>#DIV/0!</v>
      </c>
      <c r="K92" s="382" t="n">
        <f aca="false">E92+E93+F92+F93</f>
        <v>50.9679999999999</v>
      </c>
      <c r="L92" s="149" t="n">
        <f aca="false">H92+H93</f>
        <v>0.017</v>
      </c>
      <c r="M92" s="266" t="n">
        <f aca="false">K92-L92</f>
        <v>50.9509999999998</v>
      </c>
      <c r="N92" s="307" t="n">
        <f aca="false">L92/K92</f>
        <v>0.000333542614974102</v>
      </c>
    </row>
    <row r="93" customFormat="false" ht="15" hidden="false" customHeight="true" outlineLevel="0" collapsed="false">
      <c r="A93" s="501"/>
      <c r="B93" s="510"/>
      <c r="C93" s="268" t="n">
        <v>41365</v>
      </c>
      <c r="D93" s="269" t="n">
        <v>42004</v>
      </c>
      <c r="E93" s="464" t="n">
        <v>676.781</v>
      </c>
      <c r="F93" s="480" t="n">
        <f aca="false">-625.813</f>
        <v>-625.813</v>
      </c>
      <c r="G93" s="475" t="n">
        <f aca="false">E93+F93+I92</f>
        <v>50.968</v>
      </c>
      <c r="H93" s="513" t="n">
        <v>0.017</v>
      </c>
      <c r="I93" s="344" t="n">
        <f aca="false">G93-H93</f>
        <v>50.951</v>
      </c>
      <c r="J93" s="467" t="n">
        <f aca="false">H93/G93</f>
        <v>0.000333542614974102</v>
      </c>
      <c r="K93" s="382"/>
      <c r="L93" s="149"/>
      <c r="M93" s="266"/>
      <c r="N93" s="307"/>
    </row>
    <row r="94" customFormat="false" ht="15" hidden="false" customHeight="true" outlineLevel="0" collapsed="false">
      <c r="A94" s="501"/>
      <c r="B94" s="510" t="s">
        <v>82</v>
      </c>
      <c r="C94" s="254" t="n">
        <v>41640</v>
      </c>
      <c r="D94" s="255" t="n">
        <v>41729</v>
      </c>
      <c r="E94" s="458" t="n">
        <v>282.707</v>
      </c>
      <c r="F94" s="492" t="n">
        <f aca="false">2.889-285.596</f>
        <v>-282.707</v>
      </c>
      <c r="G94" s="474" t="n">
        <f aca="false">E94+F94</f>
        <v>0</v>
      </c>
      <c r="H94" s="512"/>
      <c r="I94" s="328" t="n">
        <f aca="false">G94-H94</f>
        <v>0</v>
      </c>
      <c r="J94" s="461" t="e">
        <f aca="false">H94/G94</f>
        <v>#DIV/0!</v>
      </c>
      <c r="K94" s="382" t="n">
        <f aca="false">E94+E95+F94+F95</f>
        <v>13.18389</v>
      </c>
      <c r="L94" s="149" t="n">
        <f aca="false">H94+H95</f>
        <v>0</v>
      </c>
      <c r="M94" s="266" t="n">
        <f aca="false">K94-L94</f>
        <v>13.18389</v>
      </c>
      <c r="N94" s="307" t="n">
        <f aca="false">L94/K94</f>
        <v>0</v>
      </c>
    </row>
    <row r="95" customFormat="false" ht="15" hidden="false" customHeight="true" outlineLevel="0" collapsed="false">
      <c r="A95" s="501"/>
      <c r="B95" s="510"/>
      <c r="C95" s="268" t="n">
        <v>41365</v>
      </c>
      <c r="D95" s="269" t="n">
        <v>42004</v>
      </c>
      <c r="E95" s="464" t="n">
        <v>424.061</v>
      </c>
      <c r="F95" s="480" t="n">
        <f aca="false">4.334-414.4888-0.24077-0.24077-0.24077</f>
        <v>-410.87711</v>
      </c>
      <c r="G95" s="475" t="n">
        <f aca="false">E95+F95+I94</f>
        <v>13.18389</v>
      </c>
      <c r="H95" s="513"/>
      <c r="I95" s="344" t="n">
        <f aca="false">G95-H95</f>
        <v>13.18389</v>
      </c>
      <c r="J95" s="467" t="n">
        <f aca="false">H95/G95</f>
        <v>0</v>
      </c>
      <c r="K95" s="382"/>
      <c r="L95" s="149"/>
      <c r="M95" s="266"/>
      <c r="N95" s="307"/>
    </row>
    <row r="96" customFormat="false" ht="15" hidden="false" customHeight="true" outlineLevel="0" collapsed="false">
      <c r="A96" s="501"/>
      <c r="B96" s="510" t="s">
        <v>219</v>
      </c>
      <c r="C96" s="254" t="n">
        <v>41640</v>
      </c>
      <c r="D96" s="255" t="n">
        <v>41729</v>
      </c>
      <c r="E96" s="458" t="n">
        <v>68.29</v>
      </c>
      <c r="F96" s="492" t="n">
        <v>-170.725</v>
      </c>
      <c r="G96" s="511" t="n">
        <f aca="false">E96+F96</f>
        <v>-102.435</v>
      </c>
      <c r="H96" s="512"/>
      <c r="I96" s="328" t="n">
        <f aca="false">G96-H96</f>
        <v>-102.435</v>
      </c>
      <c r="J96" s="461" t="n">
        <f aca="false">H96/G96</f>
        <v>-0</v>
      </c>
      <c r="K96" s="382" t="n">
        <f aca="false">E96+E97+F96+F97</f>
        <v>0</v>
      </c>
      <c r="L96" s="149" t="n">
        <f aca="false">H96+H97</f>
        <v>0</v>
      </c>
      <c r="M96" s="266" t="n">
        <f aca="false">K96-L96</f>
        <v>0</v>
      </c>
      <c r="N96" s="307" t="e">
        <f aca="false">L96/K96</f>
        <v>#DIV/0!</v>
      </c>
    </row>
    <row r="97" customFormat="false" ht="15" hidden="false" customHeight="true" outlineLevel="0" collapsed="false">
      <c r="A97" s="501"/>
      <c r="B97" s="510"/>
      <c r="C97" s="268" t="n">
        <v>41365</v>
      </c>
      <c r="D97" s="269" t="n">
        <v>42004</v>
      </c>
      <c r="E97" s="464" t="n">
        <v>102.435</v>
      </c>
      <c r="F97" s="270"/>
      <c r="G97" s="475" t="n">
        <f aca="false">E97+F97+I96</f>
        <v>0</v>
      </c>
      <c r="H97" s="513"/>
      <c r="I97" s="344" t="n">
        <f aca="false">G97-H97</f>
        <v>0</v>
      </c>
      <c r="J97" s="467" t="e">
        <f aca="false">H97/G97</f>
        <v>#DIV/0!</v>
      </c>
      <c r="K97" s="382"/>
      <c r="L97" s="149"/>
      <c r="M97" s="266"/>
      <c r="N97" s="307"/>
    </row>
    <row r="98" customFormat="false" ht="15" hidden="false" customHeight="true" outlineLevel="0" collapsed="false">
      <c r="A98" s="501"/>
      <c r="B98" s="510" t="s">
        <v>68</v>
      </c>
      <c r="C98" s="254" t="n">
        <v>41640</v>
      </c>
      <c r="D98" s="255" t="n">
        <v>41729</v>
      </c>
      <c r="E98" s="458" t="n">
        <v>2015.115</v>
      </c>
      <c r="F98" s="492" t="n">
        <f aca="false">-2015.115</f>
        <v>-2015.115</v>
      </c>
      <c r="G98" s="474" t="n">
        <f aca="false">E98+F98</f>
        <v>0</v>
      </c>
      <c r="H98" s="512"/>
      <c r="I98" s="328" t="n">
        <f aca="false">G98-H98</f>
        <v>0</v>
      </c>
      <c r="J98" s="461" t="e">
        <f aca="false">H98/G98</f>
        <v>#DIV/0!</v>
      </c>
      <c r="K98" s="382" t="n">
        <f aca="false">E98+E99+F98+F99</f>
        <v>37.7870000000003</v>
      </c>
      <c r="L98" s="149" t="n">
        <f aca="false">H98+H99</f>
        <v>0</v>
      </c>
      <c r="M98" s="266" t="n">
        <f aca="false">K98-L98</f>
        <v>37.7870000000003</v>
      </c>
      <c r="N98" s="307" t="n">
        <f aca="false">L98/K98</f>
        <v>0</v>
      </c>
    </row>
    <row r="99" customFormat="false" ht="15" hidden="false" customHeight="true" outlineLevel="0" collapsed="false">
      <c r="A99" s="501"/>
      <c r="B99" s="510"/>
      <c r="C99" s="268" t="n">
        <v>41365</v>
      </c>
      <c r="D99" s="269" t="n">
        <v>42004</v>
      </c>
      <c r="E99" s="464" t="n">
        <v>3022.672</v>
      </c>
      <c r="F99" s="480" t="n">
        <f aca="false">-2984.885</f>
        <v>-2984.885</v>
      </c>
      <c r="G99" s="475" t="n">
        <f aca="false">E99+F99+I98</f>
        <v>37.7869999999998</v>
      </c>
      <c r="H99" s="513"/>
      <c r="I99" s="344" t="n">
        <f aca="false">G99-H99</f>
        <v>37.7869999999998</v>
      </c>
      <c r="J99" s="467" t="n">
        <f aca="false">H99/G99</f>
        <v>0</v>
      </c>
      <c r="K99" s="382"/>
      <c r="L99" s="149"/>
      <c r="M99" s="266"/>
      <c r="N99" s="307"/>
    </row>
    <row r="100" customFormat="false" ht="15" hidden="false" customHeight="true" outlineLevel="0" collapsed="false">
      <c r="A100" s="501"/>
      <c r="B100" s="519" t="s">
        <v>201</v>
      </c>
      <c r="C100" s="290" t="n">
        <v>41640</v>
      </c>
      <c r="D100" s="291" t="n">
        <v>41729</v>
      </c>
      <c r="E100" s="505" t="n">
        <v>34.609</v>
      </c>
      <c r="F100" s="506" t="n">
        <f aca="false">-34.609</f>
        <v>-34.609</v>
      </c>
      <c r="G100" s="507" t="n">
        <f aca="false">E100+F100</f>
        <v>0</v>
      </c>
      <c r="H100" s="518"/>
      <c r="I100" s="508" t="n">
        <f aca="false">G100-H100</f>
        <v>0</v>
      </c>
      <c r="J100" s="509" t="e">
        <f aca="false">H100/G100</f>
        <v>#DIV/0!</v>
      </c>
      <c r="K100" s="520" t="n">
        <f aca="false">E100+E101+F100+F101</f>
        <v>0</v>
      </c>
      <c r="L100" s="151" t="n">
        <f aca="false">H100+H101</f>
        <v>0</v>
      </c>
      <c r="M100" s="324" t="n">
        <f aca="false">K100-L100</f>
        <v>0</v>
      </c>
      <c r="N100" s="325" t="e">
        <f aca="false">L100/K100</f>
        <v>#DIV/0!</v>
      </c>
    </row>
    <row r="101" customFormat="false" ht="15" hidden="false" customHeight="true" outlineLevel="0" collapsed="false">
      <c r="A101" s="501"/>
      <c r="B101" s="519"/>
      <c r="C101" s="290" t="n">
        <v>41365</v>
      </c>
      <c r="D101" s="291" t="n">
        <v>42004</v>
      </c>
      <c r="E101" s="505" t="n">
        <v>51.914</v>
      </c>
      <c r="F101" s="506" t="n">
        <f aca="false">-51.914</f>
        <v>-51.914</v>
      </c>
      <c r="G101" s="507" t="n">
        <f aca="false">E101+F101+I100</f>
        <v>0</v>
      </c>
      <c r="H101" s="518"/>
      <c r="I101" s="508" t="n">
        <f aca="false">G101-H101</f>
        <v>0</v>
      </c>
      <c r="J101" s="509" t="e">
        <f aca="false">H101/G101</f>
        <v>#DIV/0!</v>
      </c>
      <c r="K101" s="520"/>
      <c r="L101" s="151"/>
      <c r="M101" s="324"/>
      <c r="N101" s="325"/>
    </row>
    <row r="102" customFormat="false" ht="15" hidden="false" customHeight="true" outlineLevel="0" collapsed="false">
      <c r="A102" s="501"/>
      <c r="B102" s="521" t="s">
        <v>101</v>
      </c>
      <c r="C102" s="254" t="n">
        <v>41640</v>
      </c>
      <c r="D102" s="255" t="n">
        <v>41729</v>
      </c>
      <c r="E102" s="458" t="n">
        <v>24.596</v>
      </c>
      <c r="F102" s="492" t="n">
        <f aca="false">-24.596</f>
        <v>-24.596</v>
      </c>
      <c r="G102" s="474" t="n">
        <f aca="false">E102+F102</f>
        <v>0</v>
      </c>
      <c r="H102" s="512"/>
      <c r="I102" s="328" t="n">
        <f aca="false">G102-H102</f>
        <v>0</v>
      </c>
      <c r="J102" s="461" t="e">
        <f aca="false">H102/G102</f>
        <v>#DIV/0!</v>
      </c>
      <c r="K102" s="504" t="n">
        <f aca="false">E102+E103+F102+F103</f>
        <v>0</v>
      </c>
      <c r="L102" s="287" t="n">
        <f aca="false">H102+H103</f>
        <v>0</v>
      </c>
      <c r="M102" s="311" t="n">
        <f aca="false">K102-L102</f>
        <v>0</v>
      </c>
      <c r="N102" s="289" t="e">
        <f aca="false">L102/K102</f>
        <v>#DIV/0!</v>
      </c>
    </row>
    <row r="103" customFormat="false" ht="15" hidden="false" customHeight="true" outlineLevel="0" collapsed="false">
      <c r="A103" s="501"/>
      <c r="B103" s="521"/>
      <c r="C103" s="290" t="n">
        <v>41365</v>
      </c>
      <c r="D103" s="291" t="n">
        <v>42004</v>
      </c>
      <c r="E103" s="505" t="n">
        <v>36.894</v>
      </c>
      <c r="F103" s="506" t="n">
        <f aca="false">-36.894</f>
        <v>-36.894</v>
      </c>
      <c r="G103" s="507" t="n">
        <f aca="false">E103+F103+I102</f>
        <v>0</v>
      </c>
      <c r="H103" s="518"/>
      <c r="I103" s="508" t="n">
        <f aca="false">G103-H103</f>
        <v>0</v>
      </c>
      <c r="J103" s="509" t="e">
        <f aca="false">H103/G103</f>
        <v>#DIV/0!</v>
      </c>
      <c r="K103" s="504"/>
      <c r="L103" s="287"/>
      <c r="M103" s="311"/>
      <c r="N103" s="289"/>
    </row>
    <row r="104" customFormat="false" ht="15" hidden="false" customHeight="true" outlineLevel="0" collapsed="false">
      <c r="A104" s="501"/>
      <c r="B104" s="510" t="s">
        <v>102</v>
      </c>
      <c r="C104" s="254" t="n">
        <v>41640</v>
      </c>
      <c r="D104" s="255" t="n">
        <v>41729</v>
      </c>
      <c r="E104" s="458" t="n">
        <v>25.533</v>
      </c>
      <c r="F104" s="492" t="n">
        <v>-63.833</v>
      </c>
      <c r="G104" s="511" t="n">
        <f aca="false">E104+F104</f>
        <v>-38.3</v>
      </c>
      <c r="H104" s="512"/>
      <c r="I104" s="328" t="n">
        <f aca="false">G104-H104</f>
        <v>-38.3</v>
      </c>
      <c r="J104" s="461" t="n">
        <f aca="false">H104/G104</f>
        <v>-0</v>
      </c>
      <c r="K104" s="382" t="n">
        <f aca="false">E104+E105+F104+F105</f>
        <v>0</v>
      </c>
      <c r="L104" s="149" t="n">
        <f aca="false">H104+H105</f>
        <v>0</v>
      </c>
      <c r="M104" s="266" t="n">
        <f aca="false">K104-L104</f>
        <v>0</v>
      </c>
      <c r="N104" s="307" t="e">
        <f aca="false">L104/K104</f>
        <v>#DIV/0!</v>
      </c>
    </row>
    <row r="105" customFormat="false" ht="15" hidden="false" customHeight="true" outlineLevel="0" collapsed="false">
      <c r="A105" s="501"/>
      <c r="B105" s="510"/>
      <c r="C105" s="268" t="n">
        <v>41365</v>
      </c>
      <c r="D105" s="269" t="n">
        <v>42004</v>
      </c>
      <c r="E105" s="464" t="n">
        <v>38.3</v>
      </c>
      <c r="F105" s="270"/>
      <c r="G105" s="475" t="n">
        <f aca="false">E105+F105+I104</f>
        <v>0</v>
      </c>
      <c r="H105" s="513"/>
      <c r="I105" s="344" t="n">
        <f aca="false">G105-H105</f>
        <v>0</v>
      </c>
      <c r="J105" s="467" t="e">
        <f aca="false">H105/G105</f>
        <v>#DIV/0!</v>
      </c>
      <c r="K105" s="382"/>
      <c r="L105" s="149"/>
      <c r="M105" s="266"/>
      <c r="N105" s="307"/>
    </row>
    <row r="106" customFormat="false" ht="15" hidden="false" customHeight="true" outlineLevel="0" collapsed="false">
      <c r="A106" s="501"/>
      <c r="B106" s="519" t="s">
        <v>209</v>
      </c>
      <c r="C106" s="290" t="n">
        <v>41640</v>
      </c>
      <c r="D106" s="291" t="n">
        <v>41729</v>
      </c>
      <c r="E106" s="505" t="n">
        <v>41.784</v>
      </c>
      <c r="F106" s="522" t="n">
        <f aca="false">1239.368+1700+680</f>
        <v>3619.368</v>
      </c>
      <c r="G106" s="507" t="n">
        <f aca="false">E106+F106</f>
        <v>3661.152</v>
      </c>
      <c r="H106" s="518" t="n">
        <v>1486.907</v>
      </c>
      <c r="I106" s="508" t="n">
        <f aca="false">G106-H106</f>
        <v>2174.245</v>
      </c>
      <c r="J106" s="509" t="n">
        <f aca="false">H106/G106</f>
        <v>0.406130911800439</v>
      </c>
      <c r="K106" s="520" t="n">
        <f aca="false">E106+E107+F106+F107</f>
        <v>4613.828</v>
      </c>
      <c r="L106" s="151" t="n">
        <f aca="false">H106+H107</f>
        <v>4966.7</v>
      </c>
      <c r="M106" s="523" t="n">
        <f aca="false">K106-L106</f>
        <v>-352.872</v>
      </c>
      <c r="N106" s="524" t="n">
        <f aca="false">L106/K106</f>
        <v>1.07648139462503</v>
      </c>
    </row>
    <row r="107" customFormat="false" ht="15" hidden="false" customHeight="true" outlineLevel="0" collapsed="false">
      <c r="A107" s="501"/>
      <c r="B107" s="519"/>
      <c r="C107" s="290" t="n">
        <v>41365</v>
      </c>
      <c r="D107" s="291" t="n">
        <v>42004</v>
      </c>
      <c r="E107" s="505" t="n">
        <v>62.676</v>
      </c>
      <c r="F107" s="94" t="n">
        <f aca="false">290+400+200</f>
        <v>890</v>
      </c>
      <c r="G107" s="507" t="n">
        <f aca="false">E107+F107+I106</f>
        <v>3126.921</v>
      </c>
      <c r="H107" s="518" t="n">
        <v>3479.793</v>
      </c>
      <c r="I107" s="508" t="n">
        <f aca="false">G107-H107</f>
        <v>-352.872</v>
      </c>
      <c r="J107" s="509" t="n">
        <f aca="false">H107/G107</f>
        <v>1.11284966905144</v>
      </c>
      <c r="K107" s="520"/>
      <c r="L107" s="151"/>
      <c r="M107" s="523"/>
      <c r="N107" s="524"/>
    </row>
    <row r="108" customFormat="false" ht="15" hidden="false" customHeight="true" outlineLevel="0" collapsed="false">
      <c r="A108" s="501"/>
      <c r="B108" s="510" t="s">
        <v>69</v>
      </c>
      <c r="C108" s="254" t="n">
        <v>41640</v>
      </c>
      <c r="D108" s="411" t="n">
        <v>41729</v>
      </c>
      <c r="E108" s="458" t="n">
        <v>794.31</v>
      </c>
      <c r="F108" s="492" t="n">
        <f aca="false">-0.23913-0.23913-1784.885</f>
        <v>-1785.36326</v>
      </c>
      <c r="G108" s="511" t="n">
        <f aca="false">E108+F108</f>
        <v>-991.05326</v>
      </c>
      <c r="H108" s="525"/>
      <c r="I108" s="328" t="n">
        <f aca="false">G108-H108</f>
        <v>-991.05326</v>
      </c>
      <c r="J108" s="461" t="n">
        <f aca="false">H108/G108</f>
        <v>-0</v>
      </c>
      <c r="K108" s="382" t="n">
        <f aca="false">E108+E109+F108+F109</f>
        <v>200.41174</v>
      </c>
      <c r="L108" s="149" t="n">
        <f aca="false">H108+H109</f>
        <v>0</v>
      </c>
      <c r="M108" s="266" t="n">
        <f aca="false">K108-L108</f>
        <v>200.41174</v>
      </c>
      <c r="N108" s="307" t="n">
        <f aca="false">L108/K108</f>
        <v>0</v>
      </c>
    </row>
    <row r="109" customFormat="false" ht="15" hidden="false" customHeight="true" outlineLevel="0" collapsed="false">
      <c r="A109" s="501"/>
      <c r="B109" s="510"/>
      <c r="C109" s="268" t="n">
        <v>41365</v>
      </c>
      <c r="D109" s="427" t="n">
        <v>42004</v>
      </c>
      <c r="E109" s="464" t="n">
        <v>1191.465</v>
      </c>
      <c r="F109" s="270"/>
      <c r="G109" s="475" t="n">
        <f aca="false">E109+F109+I108</f>
        <v>200.41174</v>
      </c>
      <c r="H109" s="526"/>
      <c r="I109" s="344" t="n">
        <f aca="false">G109-H109</f>
        <v>200.41174</v>
      </c>
      <c r="J109" s="467" t="n">
        <f aca="false">H109/G109</f>
        <v>0</v>
      </c>
      <c r="K109" s="382"/>
      <c r="L109" s="149"/>
      <c r="M109" s="266"/>
      <c r="N109" s="307"/>
    </row>
    <row r="110" customFormat="false" ht="15" hidden="false" customHeight="true" outlineLevel="0" collapsed="false">
      <c r="A110" s="501"/>
      <c r="B110" s="359" t="s">
        <v>220</v>
      </c>
      <c r="C110" s="254" t="n">
        <v>41640</v>
      </c>
      <c r="D110" s="411" t="n">
        <v>41729</v>
      </c>
      <c r="E110" s="458" t="n">
        <v>0</v>
      </c>
      <c r="F110" s="514" t="n">
        <f aca="false">1</f>
        <v>1</v>
      </c>
      <c r="G110" s="474" t="n">
        <f aca="false">E110+F110</f>
        <v>1</v>
      </c>
      <c r="H110" s="525"/>
      <c r="I110" s="328" t="n">
        <f aca="false">G110-H110</f>
        <v>1</v>
      </c>
      <c r="J110" s="461" t="n">
        <f aca="false">H110/G110</f>
        <v>0</v>
      </c>
      <c r="K110" s="382" t="n">
        <f aca="false">E110+E111+F110+F111</f>
        <v>1</v>
      </c>
      <c r="L110" s="149" t="n">
        <f aca="false">H110+H111</f>
        <v>0</v>
      </c>
      <c r="M110" s="266" t="n">
        <f aca="false">K110-L110</f>
        <v>1</v>
      </c>
      <c r="N110" s="307" t="n">
        <f aca="false">L110/K110</f>
        <v>0</v>
      </c>
    </row>
    <row r="111" customFormat="false" ht="15" hidden="false" customHeight="true" outlineLevel="0" collapsed="false">
      <c r="A111" s="501"/>
      <c r="B111" s="359"/>
      <c r="C111" s="268" t="n">
        <v>41365</v>
      </c>
      <c r="D111" s="427" t="n">
        <v>42004</v>
      </c>
      <c r="E111" s="464" t="n">
        <v>0</v>
      </c>
      <c r="F111" s="270"/>
      <c r="G111" s="475" t="n">
        <f aca="false">E111+F111+I110</f>
        <v>1</v>
      </c>
      <c r="H111" s="527"/>
      <c r="I111" s="344" t="n">
        <f aca="false">G111-H111</f>
        <v>1</v>
      </c>
      <c r="J111" s="467" t="n">
        <f aca="false">H111/G111</f>
        <v>0</v>
      </c>
      <c r="K111" s="382"/>
      <c r="L111" s="149"/>
      <c r="M111" s="266"/>
      <c r="N111" s="307"/>
    </row>
    <row r="112" customFormat="false" ht="15" hidden="false" customHeight="true" outlineLevel="0" collapsed="false">
      <c r="A112" s="501"/>
      <c r="B112" s="359" t="s">
        <v>164</v>
      </c>
      <c r="C112" s="254" t="n">
        <v>41640</v>
      </c>
      <c r="D112" s="411" t="n">
        <v>41729</v>
      </c>
      <c r="E112" s="505" t="n">
        <v>0</v>
      </c>
      <c r="F112" s="522" t="n">
        <f aca="false">0.239</f>
        <v>0.239</v>
      </c>
      <c r="G112" s="507" t="n">
        <f aca="false">E112+F112</f>
        <v>0.239</v>
      </c>
      <c r="H112" s="528"/>
      <c r="I112" s="508" t="n">
        <f aca="false">G112-H112</f>
        <v>0.239</v>
      </c>
      <c r="J112" s="509" t="n">
        <f aca="false">H112/G112</f>
        <v>0</v>
      </c>
      <c r="K112" s="382" t="n">
        <f aca="false">E112+E113+F112+F113</f>
        <v>0.239</v>
      </c>
      <c r="L112" s="149" t="n">
        <f aca="false">H112+H113</f>
        <v>0</v>
      </c>
      <c r="M112" s="266" t="n">
        <f aca="false">K112-L112</f>
        <v>0.239</v>
      </c>
      <c r="N112" s="307" t="n">
        <f aca="false">L112/K112</f>
        <v>0</v>
      </c>
    </row>
    <row r="113" customFormat="false" ht="15" hidden="false" customHeight="true" outlineLevel="0" collapsed="false">
      <c r="A113" s="501"/>
      <c r="B113" s="359"/>
      <c r="C113" s="268" t="n">
        <v>41365</v>
      </c>
      <c r="D113" s="427" t="n">
        <v>42004</v>
      </c>
      <c r="E113" s="464" t="n">
        <v>0</v>
      </c>
      <c r="F113" s="270"/>
      <c r="G113" s="475" t="n">
        <f aca="false">E113+F113+I112</f>
        <v>0.239</v>
      </c>
      <c r="H113" s="527"/>
      <c r="I113" s="344" t="n">
        <f aca="false">G113-H113</f>
        <v>0.239</v>
      </c>
      <c r="J113" s="467" t="n">
        <f aca="false">H113/G113</f>
        <v>0</v>
      </c>
      <c r="K113" s="382"/>
      <c r="L113" s="149"/>
      <c r="M113" s="266"/>
      <c r="N113" s="307"/>
    </row>
    <row r="114" customFormat="false" ht="15" hidden="false" customHeight="true" outlineLevel="0" collapsed="false">
      <c r="A114" s="501"/>
      <c r="B114" s="358" t="s">
        <v>221</v>
      </c>
      <c r="C114" s="254" t="n">
        <v>41640</v>
      </c>
      <c r="D114" s="411" t="n">
        <v>41729</v>
      </c>
      <c r="E114" s="256" t="n">
        <v>0</v>
      </c>
      <c r="F114" s="478" t="n">
        <f aca="false">0.23913</f>
        <v>0.23913</v>
      </c>
      <c r="G114" s="507" t="n">
        <f aca="false">E114+F114</f>
        <v>0.23913</v>
      </c>
      <c r="H114" s="379"/>
      <c r="I114" s="508" t="n">
        <f aca="false">G114-H114</f>
        <v>0.23913</v>
      </c>
      <c r="J114" s="509" t="n">
        <f aca="false">H114/G114</f>
        <v>0</v>
      </c>
      <c r="K114" s="382" t="n">
        <f aca="false">E114+E115+F114+F115</f>
        <v>0.23913</v>
      </c>
      <c r="L114" s="149" t="n">
        <f aca="false">H114+H115</f>
        <v>0</v>
      </c>
      <c r="M114" s="266" t="n">
        <f aca="false">K114-L114</f>
        <v>0.23913</v>
      </c>
      <c r="N114" s="307" t="n">
        <f aca="false">L114/K114</f>
        <v>0</v>
      </c>
    </row>
    <row r="115" customFormat="false" ht="15" hidden="false" customHeight="true" outlineLevel="0" collapsed="false">
      <c r="A115" s="501"/>
      <c r="B115" s="358"/>
      <c r="C115" s="268" t="n">
        <v>41365</v>
      </c>
      <c r="D115" s="427" t="n">
        <v>42004</v>
      </c>
      <c r="E115" s="270" t="n">
        <v>0</v>
      </c>
      <c r="F115" s="270"/>
      <c r="G115" s="475" t="n">
        <f aca="false">E115+F115+I114</f>
        <v>0.23913</v>
      </c>
      <c r="H115" s="384"/>
      <c r="I115" s="344" t="n">
        <f aca="false">G115-H115</f>
        <v>0.23913</v>
      </c>
      <c r="J115" s="467" t="n">
        <f aca="false">H115/G115</f>
        <v>0</v>
      </c>
      <c r="K115" s="382"/>
      <c r="L115" s="149"/>
      <c r="M115" s="266"/>
      <c r="N115" s="307"/>
    </row>
    <row r="116" customFormat="false" ht="15" hidden="false" customHeight="true" outlineLevel="0" collapsed="false">
      <c r="A116" s="501"/>
      <c r="B116" s="358" t="s">
        <v>222</v>
      </c>
      <c r="C116" s="254" t="n">
        <v>41640</v>
      </c>
      <c r="D116" s="411" t="n">
        <v>41729</v>
      </c>
      <c r="E116" s="256" t="n">
        <v>0</v>
      </c>
      <c r="F116" s="478" t="n">
        <f aca="false">0.23913</f>
        <v>0.23913</v>
      </c>
      <c r="G116" s="507" t="n">
        <f aca="false">E116+F116</f>
        <v>0.23913</v>
      </c>
      <c r="H116" s="379"/>
      <c r="I116" s="508" t="n">
        <f aca="false">G116-H116</f>
        <v>0.23913</v>
      </c>
      <c r="J116" s="509" t="n">
        <f aca="false">H116/G116</f>
        <v>0</v>
      </c>
      <c r="K116" s="504" t="n">
        <f aca="false">E116+E117+F116+F117</f>
        <v>0.23913</v>
      </c>
      <c r="L116" s="287" t="n">
        <f aca="false">H116+H117</f>
        <v>0</v>
      </c>
      <c r="M116" s="311" t="n">
        <f aca="false">K116-L116</f>
        <v>0.23913</v>
      </c>
      <c r="N116" s="289" t="n">
        <f aca="false">L116/K116</f>
        <v>0</v>
      </c>
    </row>
    <row r="117" customFormat="false" ht="15" hidden="false" customHeight="true" outlineLevel="0" collapsed="false">
      <c r="A117" s="501"/>
      <c r="B117" s="358"/>
      <c r="C117" s="268" t="n">
        <v>41365</v>
      </c>
      <c r="D117" s="427" t="n">
        <v>42004</v>
      </c>
      <c r="E117" s="292" t="n">
        <v>0</v>
      </c>
      <c r="F117" s="292"/>
      <c r="G117" s="507" t="n">
        <f aca="false">E117+F117+I116</f>
        <v>0.23913</v>
      </c>
      <c r="H117" s="383"/>
      <c r="I117" s="508" t="n">
        <f aca="false">G117-H117</f>
        <v>0.23913</v>
      </c>
      <c r="J117" s="509" t="n">
        <f aca="false">H117/G117</f>
        <v>0</v>
      </c>
      <c r="K117" s="504"/>
      <c r="L117" s="287"/>
      <c r="M117" s="311"/>
      <c r="N117" s="289"/>
    </row>
    <row r="118" customFormat="false" ht="15" hidden="false" customHeight="true" outlineLevel="0" collapsed="false">
      <c r="A118" s="501"/>
      <c r="B118" s="359" t="s">
        <v>223</v>
      </c>
      <c r="C118" s="254" t="n">
        <v>41640</v>
      </c>
      <c r="D118" s="411" t="n">
        <v>41729</v>
      </c>
      <c r="E118" s="458" t="n">
        <v>0</v>
      </c>
      <c r="F118" s="256" t="n">
        <f aca="false">0.24-0.24</f>
        <v>0</v>
      </c>
      <c r="G118" s="256" t="n">
        <f aca="false">E118+F118</f>
        <v>0</v>
      </c>
      <c r="H118" s="529"/>
      <c r="I118" s="328" t="n">
        <f aca="false">G118-H118</f>
        <v>0</v>
      </c>
      <c r="J118" s="461" t="e">
        <f aca="false">H118/G118</f>
        <v>#DIV/0!</v>
      </c>
      <c r="K118" s="164" t="n">
        <f aca="false">E118+E119+F118+F119</f>
        <v>0</v>
      </c>
      <c r="L118" s="149" t="n">
        <f aca="false">H118+H119</f>
        <v>0</v>
      </c>
      <c r="M118" s="266" t="n">
        <f aca="false">K118-L118</f>
        <v>0</v>
      </c>
      <c r="N118" s="307" t="e">
        <f aca="false">L118/K118</f>
        <v>#DIV/0!</v>
      </c>
    </row>
    <row r="119" customFormat="false" ht="15" hidden="false" customHeight="true" outlineLevel="0" collapsed="false">
      <c r="A119" s="501"/>
      <c r="B119" s="359"/>
      <c r="C119" s="268" t="n">
        <v>41365</v>
      </c>
      <c r="D119" s="427" t="n">
        <v>42004</v>
      </c>
      <c r="E119" s="464" t="n">
        <v>0</v>
      </c>
      <c r="F119" s="270"/>
      <c r="G119" s="270" t="n">
        <f aca="false">E119+F119+I118</f>
        <v>0</v>
      </c>
      <c r="H119" s="527"/>
      <c r="I119" s="344" t="n">
        <f aca="false">G119-H119</f>
        <v>0</v>
      </c>
      <c r="J119" s="467" t="e">
        <f aca="false">H119/G119</f>
        <v>#DIV/0!</v>
      </c>
      <c r="K119" s="164"/>
      <c r="L119" s="149"/>
      <c r="M119" s="266"/>
      <c r="N119" s="307"/>
    </row>
    <row r="120" customFormat="false" ht="15" hidden="false" customHeight="true" outlineLevel="0" collapsed="false">
      <c r="A120" s="501"/>
      <c r="B120" s="359" t="s">
        <v>163</v>
      </c>
      <c r="C120" s="254" t="n">
        <v>41640</v>
      </c>
      <c r="D120" s="411" t="n">
        <v>41729</v>
      </c>
      <c r="E120" s="458" t="n">
        <v>0</v>
      </c>
      <c r="F120" s="478" t="n">
        <f aca="false">0.24+0.24+0.24</f>
        <v>0.72</v>
      </c>
      <c r="G120" s="256" t="n">
        <f aca="false">E120+F120</f>
        <v>0.72</v>
      </c>
      <c r="H120" s="529"/>
      <c r="I120" s="328" t="n">
        <f aca="false">G120-H120</f>
        <v>0.72</v>
      </c>
      <c r="J120" s="461" t="n">
        <f aca="false">H120/G120</f>
        <v>0</v>
      </c>
      <c r="K120" s="164" t="n">
        <f aca="false">E120+E121+F120+F121</f>
        <v>0.72</v>
      </c>
      <c r="L120" s="149" t="n">
        <f aca="false">H120+H121</f>
        <v>0</v>
      </c>
      <c r="M120" s="266" t="n">
        <f aca="false">K120-L120</f>
        <v>0.72</v>
      </c>
      <c r="N120" s="307" t="n">
        <f aca="false">L120/K120</f>
        <v>0</v>
      </c>
    </row>
    <row r="121" customFormat="false" ht="15" hidden="false" customHeight="true" outlineLevel="0" collapsed="false">
      <c r="A121" s="501"/>
      <c r="B121" s="359"/>
      <c r="C121" s="268" t="n">
        <v>41365</v>
      </c>
      <c r="D121" s="427" t="n">
        <v>42004</v>
      </c>
      <c r="E121" s="464" t="n">
        <v>0</v>
      </c>
      <c r="F121" s="270"/>
      <c r="G121" s="270" t="n">
        <f aca="false">E121+F121+I120</f>
        <v>0.72</v>
      </c>
      <c r="H121" s="527"/>
      <c r="I121" s="344" t="n">
        <f aca="false">G121-H121</f>
        <v>0.72</v>
      </c>
      <c r="J121" s="467" t="n">
        <f aca="false">H121/G121</f>
        <v>0</v>
      </c>
      <c r="K121" s="164"/>
      <c r="L121" s="149"/>
      <c r="M121" s="266"/>
      <c r="N121" s="307"/>
    </row>
    <row r="122" customFormat="false" ht="15" hidden="false" customHeight="true" outlineLevel="0" collapsed="false">
      <c r="A122" s="501"/>
      <c r="B122" s="359" t="s">
        <v>161</v>
      </c>
      <c r="C122" s="254" t="n">
        <v>41640</v>
      </c>
      <c r="D122" s="411" t="n">
        <v>41729</v>
      </c>
      <c r="E122" s="458" t="n">
        <v>0</v>
      </c>
      <c r="F122" s="256" t="n">
        <f aca="false">0.24-0.24</f>
        <v>0</v>
      </c>
      <c r="G122" s="256" t="n">
        <f aca="false">E122+F122</f>
        <v>0</v>
      </c>
      <c r="H122" s="529"/>
      <c r="I122" s="328" t="n">
        <f aca="false">G122-H122</f>
        <v>0</v>
      </c>
      <c r="J122" s="461" t="e">
        <f aca="false">H122/G122</f>
        <v>#DIV/0!</v>
      </c>
      <c r="K122" s="164" t="n">
        <f aca="false">E122+E123+F122+F123</f>
        <v>0</v>
      </c>
      <c r="L122" s="149" t="n">
        <f aca="false">H122+H123</f>
        <v>0</v>
      </c>
      <c r="M122" s="266" t="n">
        <f aca="false">K122-L122</f>
        <v>0</v>
      </c>
      <c r="N122" s="307" t="e">
        <f aca="false">L122/K122</f>
        <v>#DIV/0!</v>
      </c>
    </row>
    <row r="123" customFormat="false" ht="15" hidden="false" customHeight="true" outlineLevel="0" collapsed="false">
      <c r="A123" s="501"/>
      <c r="B123" s="359"/>
      <c r="C123" s="268" t="n">
        <v>41365</v>
      </c>
      <c r="D123" s="427" t="n">
        <v>42004</v>
      </c>
      <c r="E123" s="464" t="n">
        <v>0</v>
      </c>
      <c r="F123" s="270"/>
      <c r="G123" s="270" t="n">
        <f aca="false">E123+F123+I122</f>
        <v>0</v>
      </c>
      <c r="H123" s="527"/>
      <c r="I123" s="344" t="n">
        <f aca="false">G123-H123</f>
        <v>0</v>
      </c>
      <c r="J123" s="467" t="e">
        <f aca="false">H123/G123</f>
        <v>#DIV/0!</v>
      </c>
      <c r="K123" s="164"/>
      <c r="L123" s="149"/>
      <c r="M123" s="266"/>
      <c r="N123" s="307"/>
    </row>
    <row r="124" customFormat="false" ht="15" hidden="false" customHeight="true" outlineLevel="0" collapsed="false">
      <c r="A124" s="501"/>
      <c r="B124" s="359" t="s">
        <v>224</v>
      </c>
      <c r="C124" s="254" t="n">
        <v>41640</v>
      </c>
      <c r="D124" s="411" t="n">
        <v>41729</v>
      </c>
      <c r="E124" s="458" t="n">
        <v>0</v>
      </c>
      <c r="F124" s="478" t="n">
        <f aca="false">260.858-2000+2147.104+634.21-1700+285.596+451.187-0.24+2.413</f>
        <v>81.1279999999998</v>
      </c>
      <c r="G124" s="256" t="n">
        <f aca="false">E124+F124</f>
        <v>81.1279999999998</v>
      </c>
      <c r="H124" s="529" t="n">
        <v>823.286</v>
      </c>
      <c r="I124" s="328" t="n">
        <f aca="false">G124-H124</f>
        <v>-742.158</v>
      </c>
      <c r="J124" s="461" t="n">
        <f aca="false">H124/G124</f>
        <v>10.1479883640667</v>
      </c>
      <c r="K124" s="164" t="n">
        <f aca="false">E124+E125+F124+F125</f>
        <v>4887.9604</v>
      </c>
      <c r="L124" s="149" t="n">
        <f aca="false">H124+H125</f>
        <v>4501.178</v>
      </c>
      <c r="M124" s="164" t="n">
        <f aca="false">K124-L124</f>
        <v>386.7824</v>
      </c>
      <c r="N124" s="307" t="n">
        <f aca="false">L124/K124</f>
        <v>0.920870390030165</v>
      </c>
    </row>
    <row r="125" customFormat="false" ht="15" hidden="false" customHeight="true" outlineLevel="0" collapsed="false">
      <c r="A125" s="501"/>
      <c r="B125" s="359"/>
      <c r="C125" s="268" t="n">
        <v>41365</v>
      </c>
      <c r="D125" s="427" t="n">
        <v>42004</v>
      </c>
      <c r="E125" s="464" t="n">
        <v>0</v>
      </c>
      <c r="F125" s="479" t="n">
        <f aca="false">3221.014+1342.1906+414.4888+625.813-0.293-400-400+3.619</f>
        <v>4806.8324</v>
      </c>
      <c r="G125" s="270" t="n">
        <f aca="false">E125+F125+I124</f>
        <v>4064.6744</v>
      </c>
      <c r="H125" s="527" t="n">
        <v>3677.892</v>
      </c>
      <c r="I125" s="344" t="n">
        <f aca="false">G125-H125</f>
        <v>386.7824</v>
      </c>
      <c r="J125" s="467" t="n">
        <f aca="false">H125/G125</f>
        <v>0.904842956178729</v>
      </c>
      <c r="K125" s="164"/>
      <c r="L125" s="149"/>
      <c r="M125" s="164"/>
      <c r="N125" s="307"/>
    </row>
    <row r="126" customFormat="false" ht="15" hidden="false" customHeight="true" outlineLevel="0" collapsed="false">
      <c r="A126" s="501"/>
      <c r="B126" s="359" t="s">
        <v>225</v>
      </c>
      <c r="C126" s="254" t="n">
        <v>41640</v>
      </c>
      <c r="D126" s="411" t="n">
        <v>41729</v>
      </c>
      <c r="E126" s="256" t="n">
        <v>0</v>
      </c>
      <c r="F126" s="530" t="n">
        <f aca="false">24.596-24.596</f>
        <v>0</v>
      </c>
      <c r="G126" s="256" t="n">
        <f aca="false">E126+F126</f>
        <v>0</v>
      </c>
      <c r="H126" s="529"/>
      <c r="I126" s="328" t="n">
        <f aca="false">G126-H126</f>
        <v>0</v>
      </c>
      <c r="J126" s="461" t="e">
        <f aca="false">H126/G126</f>
        <v>#DIV/0!</v>
      </c>
      <c r="K126" s="164" t="n">
        <f aca="false">E126+E127+F126+F127</f>
        <v>0</v>
      </c>
      <c r="L126" s="149" t="n">
        <f aca="false">H126+H127</f>
        <v>0</v>
      </c>
      <c r="M126" s="164" t="n">
        <f aca="false">K126-L126</f>
        <v>0</v>
      </c>
      <c r="N126" s="307" t="e">
        <f aca="false">L126/K126</f>
        <v>#DIV/0!</v>
      </c>
    </row>
    <row r="127" customFormat="false" ht="15" hidden="false" customHeight="true" outlineLevel="0" collapsed="false">
      <c r="A127" s="501"/>
      <c r="B127" s="359"/>
      <c r="C127" s="268" t="n">
        <v>41365</v>
      </c>
      <c r="D127" s="427" t="n">
        <v>42004</v>
      </c>
      <c r="E127" s="270" t="n">
        <v>0</v>
      </c>
      <c r="F127" s="498" t="n">
        <f aca="false">36.894-36.894</f>
        <v>0</v>
      </c>
      <c r="G127" s="270" t="n">
        <f aca="false">E127+F127+I126</f>
        <v>0</v>
      </c>
      <c r="H127" s="527"/>
      <c r="I127" s="344" t="n">
        <f aca="false">G127-H127</f>
        <v>0</v>
      </c>
      <c r="J127" s="467" t="e">
        <f aca="false">H127/G127</f>
        <v>#DIV/0!</v>
      </c>
      <c r="K127" s="164"/>
      <c r="L127" s="149"/>
      <c r="M127" s="164"/>
      <c r="N127" s="307"/>
    </row>
    <row r="128" customFormat="false" ht="15" hidden="false" customHeight="true" outlineLevel="0" collapsed="false">
      <c r="A128" s="501"/>
      <c r="B128" s="531" t="s">
        <v>200</v>
      </c>
      <c r="C128" s="254" t="n">
        <v>41640</v>
      </c>
      <c r="D128" s="411" t="n">
        <v>41729</v>
      </c>
      <c r="E128" s="256" t="n">
        <v>0</v>
      </c>
      <c r="F128" s="478"/>
      <c r="G128" s="256" t="n">
        <f aca="false">E128+F128</f>
        <v>0</v>
      </c>
      <c r="H128" s="529"/>
      <c r="I128" s="328" t="n">
        <f aca="false">G128-H128</f>
        <v>0</v>
      </c>
      <c r="J128" s="461" t="e">
        <f aca="false">H128/G128</f>
        <v>#DIV/0!</v>
      </c>
      <c r="K128" s="225" t="n">
        <f aca="false">E128+E129+F128+F129</f>
        <v>0</v>
      </c>
      <c r="L128" s="287" t="n">
        <f aca="false">H128+H129</f>
        <v>0</v>
      </c>
      <c r="M128" s="225" t="n">
        <f aca="false">K128-L128</f>
        <v>0</v>
      </c>
      <c r="N128" s="289" t="e">
        <f aca="false">L128/K128</f>
        <v>#DIV/0!</v>
      </c>
    </row>
    <row r="129" customFormat="false" ht="15" hidden="false" customHeight="true" outlineLevel="0" collapsed="false">
      <c r="A129" s="501"/>
      <c r="B129" s="531"/>
      <c r="C129" s="268" t="n">
        <v>41365</v>
      </c>
      <c r="D129" s="427" t="n">
        <v>42004</v>
      </c>
      <c r="E129" s="270" t="n">
        <v>0</v>
      </c>
      <c r="F129" s="498"/>
      <c r="G129" s="270" t="n">
        <f aca="false">E129+F129+I128</f>
        <v>0</v>
      </c>
      <c r="H129" s="527"/>
      <c r="I129" s="344" t="n">
        <f aca="false">G129-H129</f>
        <v>0</v>
      </c>
      <c r="J129" s="467" t="e">
        <f aca="false">H129/G129</f>
        <v>#DIV/0!</v>
      </c>
      <c r="K129" s="225"/>
      <c r="L129" s="287"/>
      <c r="M129" s="225"/>
      <c r="N129" s="289"/>
    </row>
    <row r="130" customFormat="false" ht="15" hidden="false" customHeight="true" outlineLevel="0" collapsed="false">
      <c r="A130" s="501"/>
      <c r="B130" s="357" t="s">
        <v>226</v>
      </c>
      <c r="C130" s="254" t="n">
        <v>41640</v>
      </c>
      <c r="D130" s="411" t="n">
        <v>41729</v>
      </c>
      <c r="E130" s="256" t="n">
        <v>0</v>
      </c>
      <c r="F130" s="478" t="n">
        <f aca="false">0.24077</f>
        <v>0.24077</v>
      </c>
      <c r="G130" s="256" t="n">
        <f aca="false">E130+F130</f>
        <v>0.24077</v>
      </c>
      <c r="H130" s="529"/>
      <c r="I130" s="328" t="n">
        <f aca="false">G130-H130</f>
        <v>0.24077</v>
      </c>
      <c r="J130" s="486" t="n">
        <f aca="false">H130/G130</f>
        <v>0</v>
      </c>
      <c r="K130" s="532" t="n">
        <f aca="false">E130+E131+F130+F131</f>
        <v>0.24077</v>
      </c>
      <c r="L130" s="287" t="n">
        <f aca="false">H130+H131</f>
        <v>0</v>
      </c>
      <c r="M130" s="225" t="n">
        <f aca="false">K130-L130</f>
        <v>0.24077</v>
      </c>
      <c r="N130" s="289" t="n">
        <f aca="false">L130/K130</f>
        <v>0</v>
      </c>
    </row>
    <row r="131" customFormat="false" ht="15" hidden="false" customHeight="true" outlineLevel="0" collapsed="false">
      <c r="A131" s="501"/>
      <c r="B131" s="357"/>
      <c r="C131" s="268" t="n">
        <v>41365</v>
      </c>
      <c r="D131" s="427" t="n">
        <v>42004</v>
      </c>
      <c r="E131" s="270" t="n">
        <v>0</v>
      </c>
      <c r="F131" s="498"/>
      <c r="G131" s="270" t="n">
        <f aca="false">E131+F131+I130</f>
        <v>0.24077</v>
      </c>
      <c r="H131" s="527"/>
      <c r="I131" s="344" t="n">
        <f aca="false">G131-H131</f>
        <v>0.24077</v>
      </c>
      <c r="J131" s="488" t="n">
        <f aca="false">H131/G131</f>
        <v>0</v>
      </c>
      <c r="K131" s="532"/>
      <c r="L131" s="287"/>
      <c r="M131" s="225"/>
      <c r="N131" s="289"/>
    </row>
    <row r="132" customFormat="false" ht="15" hidden="false" customHeight="true" outlineLevel="0" collapsed="false">
      <c r="A132" s="501"/>
      <c r="B132" s="359" t="s">
        <v>227</v>
      </c>
      <c r="C132" s="254" t="n">
        <v>41640</v>
      </c>
      <c r="D132" s="411" t="n">
        <v>41729</v>
      </c>
      <c r="E132" s="256" t="n">
        <v>0</v>
      </c>
      <c r="F132" s="478" t="n">
        <f aca="false">0.24077</f>
        <v>0.24077</v>
      </c>
      <c r="G132" s="256" t="n">
        <f aca="false">E132+F132</f>
        <v>0.24077</v>
      </c>
      <c r="H132" s="529"/>
      <c r="I132" s="328" t="n">
        <f aca="false">G132-H132</f>
        <v>0.24077</v>
      </c>
      <c r="J132" s="486" t="n">
        <f aca="false">H132/G132</f>
        <v>0</v>
      </c>
      <c r="K132" s="208" t="n">
        <f aca="false">E132+E133+F132+F133</f>
        <v>0.24077</v>
      </c>
      <c r="L132" s="202" t="n">
        <f aca="false">H132+H133</f>
        <v>0</v>
      </c>
      <c r="M132" s="225" t="n">
        <f aca="false">K132-L132</f>
        <v>0.24077</v>
      </c>
      <c r="N132" s="289" t="n">
        <f aca="false">L132/K132</f>
        <v>0</v>
      </c>
    </row>
    <row r="133" customFormat="false" ht="15" hidden="false" customHeight="true" outlineLevel="0" collapsed="false">
      <c r="A133" s="501"/>
      <c r="B133" s="359"/>
      <c r="C133" s="268" t="n">
        <v>41365</v>
      </c>
      <c r="D133" s="427" t="n">
        <v>42004</v>
      </c>
      <c r="E133" s="270" t="n">
        <v>0</v>
      </c>
      <c r="F133" s="498"/>
      <c r="G133" s="270" t="n">
        <f aca="false">E133+F133+I132</f>
        <v>0.24077</v>
      </c>
      <c r="H133" s="527"/>
      <c r="I133" s="344" t="n">
        <f aca="false">G133-H133</f>
        <v>0.24077</v>
      </c>
      <c r="J133" s="488" t="n">
        <f aca="false">H133/G133</f>
        <v>0</v>
      </c>
      <c r="K133" s="208"/>
      <c r="L133" s="202"/>
      <c r="M133" s="225"/>
      <c r="N133" s="289"/>
    </row>
    <row r="134" customFormat="false" ht="15" hidden="false" customHeight="true" outlineLevel="0" collapsed="false">
      <c r="A134" s="501"/>
      <c r="B134" s="358" t="s">
        <v>228</v>
      </c>
      <c r="C134" s="254" t="n">
        <v>41640</v>
      </c>
      <c r="D134" s="411" t="n">
        <v>41729</v>
      </c>
      <c r="E134" s="256" t="n">
        <v>0</v>
      </c>
      <c r="F134" s="478" t="n">
        <f aca="false">0.24077</f>
        <v>0.24077</v>
      </c>
      <c r="G134" s="256" t="n">
        <f aca="false">E134+F134</f>
        <v>0.24077</v>
      </c>
      <c r="H134" s="529"/>
      <c r="I134" s="328" t="n">
        <f aca="false">G134-H134</f>
        <v>0.24077</v>
      </c>
      <c r="J134" s="486" t="n">
        <f aca="false">H134/G134</f>
        <v>0</v>
      </c>
      <c r="K134" s="208" t="n">
        <f aca="false">E134+E135+F134+F135</f>
        <v>0.24077</v>
      </c>
      <c r="L134" s="202" t="n">
        <f aca="false">H134+H135</f>
        <v>0</v>
      </c>
      <c r="M134" s="225" t="n">
        <f aca="false">K134-L134</f>
        <v>0.24077</v>
      </c>
      <c r="N134" s="289" t="n">
        <f aca="false">L134/K134</f>
        <v>0</v>
      </c>
    </row>
    <row r="135" customFormat="false" ht="15" hidden="false" customHeight="true" outlineLevel="0" collapsed="false">
      <c r="A135" s="501"/>
      <c r="B135" s="358"/>
      <c r="C135" s="268" t="n">
        <v>41365</v>
      </c>
      <c r="D135" s="427" t="n">
        <v>42004</v>
      </c>
      <c r="E135" s="270" t="n">
        <v>0</v>
      </c>
      <c r="F135" s="498"/>
      <c r="G135" s="270" t="n">
        <f aca="false">E135+F135+I134</f>
        <v>0.24077</v>
      </c>
      <c r="H135" s="527"/>
      <c r="I135" s="344" t="n">
        <f aca="false">G135-H135</f>
        <v>0.24077</v>
      </c>
      <c r="J135" s="488" t="n">
        <f aca="false">H135/G135</f>
        <v>0</v>
      </c>
      <c r="K135" s="208"/>
      <c r="L135" s="202"/>
      <c r="M135" s="225"/>
      <c r="N135" s="289"/>
    </row>
    <row r="136" customFormat="false" ht="15" hidden="false" customHeight="true" outlineLevel="0" collapsed="false">
      <c r="A136" s="501"/>
      <c r="B136" s="359" t="s">
        <v>204</v>
      </c>
      <c r="C136" s="254" t="n">
        <v>41640</v>
      </c>
      <c r="D136" s="411" t="n">
        <v>41729</v>
      </c>
      <c r="E136" s="458" t="n">
        <v>0</v>
      </c>
      <c r="F136" s="478" t="n">
        <f aca="false">34.609-34.609</f>
        <v>0</v>
      </c>
      <c r="G136" s="256" t="n">
        <f aca="false">E136+F136</f>
        <v>0</v>
      </c>
      <c r="H136" s="529"/>
      <c r="I136" s="328" t="n">
        <f aca="false">G136-H136</f>
        <v>0</v>
      </c>
      <c r="J136" s="486" t="e">
        <f aca="false">H136/G136</f>
        <v>#DIV/0!</v>
      </c>
      <c r="K136" s="208" t="n">
        <f aca="false">E136+E137+F136+F137</f>
        <v>6.523</v>
      </c>
      <c r="L136" s="202" t="n">
        <f aca="false">H136+H137</f>
        <v>0</v>
      </c>
      <c r="M136" s="164" t="n">
        <f aca="false">K136-L136</f>
        <v>6.523</v>
      </c>
      <c r="N136" s="307" t="n">
        <f aca="false">L136/K136</f>
        <v>0</v>
      </c>
    </row>
    <row r="137" customFormat="false" ht="15" hidden="false" customHeight="true" outlineLevel="0" collapsed="false">
      <c r="A137" s="501"/>
      <c r="B137" s="359"/>
      <c r="C137" s="268" t="n">
        <v>41365</v>
      </c>
      <c r="D137" s="427" t="n">
        <v>42004</v>
      </c>
      <c r="E137" s="464" t="n">
        <v>0</v>
      </c>
      <c r="F137" s="479" t="n">
        <f aca="false">51.914-45.391</f>
        <v>6.523</v>
      </c>
      <c r="G137" s="270" t="n">
        <f aca="false">E137+F137+I136</f>
        <v>6.523</v>
      </c>
      <c r="H137" s="527"/>
      <c r="I137" s="344" t="n">
        <f aca="false">G137-H137</f>
        <v>6.523</v>
      </c>
      <c r="J137" s="488" t="n">
        <f aca="false">H137/G137</f>
        <v>0</v>
      </c>
      <c r="K137" s="208"/>
      <c r="L137" s="202"/>
      <c r="M137" s="164"/>
      <c r="N137" s="307"/>
    </row>
    <row r="138" customFormat="false" ht="26.25" hidden="false" customHeight="true" outlineLevel="0" collapsed="false">
      <c r="A138" s="296"/>
      <c r="B138" s="296"/>
      <c r="C138" s="296"/>
      <c r="D138" s="470"/>
      <c r="E138" s="292"/>
      <c r="F138" s="296"/>
      <c r="G138" s="292"/>
      <c r="H138" s="490"/>
      <c r="I138" s="508"/>
      <c r="J138" s="296"/>
      <c r="K138" s="298"/>
      <c r="L138" s="298"/>
      <c r="M138" s="301"/>
      <c r="N138" s="298"/>
    </row>
    <row r="139" customFormat="false" ht="14.4" hidden="false" customHeight="true" outlineLevel="0" collapsed="false">
      <c r="A139" s="533" t="s">
        <v>229</v>
      </c>
      <c r="B139" s="531" t="s">
        <v>64</v>
      </c>
      <c r="C139" s="254" t="n">
        <v>41640</v>
      </c>
      <c r="D139" s="255" t="n">
        <v>41729</v>
      </c>
      <c r="E139" s="256" t="n">
        <v>2.413</v>
      </c>
      <c r="F139" s="492" t="n">
        <f aca="false">-2.413</f>
        <v>-2.413</v>
      </c>
      <c r="G139" s="256" t="n">
        <f aca="false">E139+F139</f>
        <v>0</v>
      </c>
      <c r="H139" s="529"/>
      <c r="I139" s="328" t="n">
        <f aca="false">G139-H139</f>
        <v>0</v>
      </c>
      <c r="J139" s="461" t="e">
        <f aca="false">H139/G139</f>
        <v>#DIV/0!</v>
      </c>
      <c r="K139" s="164" t="n">
        <f aca="false">E139+E140+F139+F140</f>
        <v>0</v>
      </c>
      <c r="L139" s="149" t="n">
        <f aca="false">H139+H140</f>
        <v>0</v>
      </c>
      <c r="M139" s="463" t="n">
        <f aca="false">K139-L139</f>
        <v>0</v>
      </c>
      <c r="N139" s="307" t="e">
        <f aca="false">L139/K139</f>
        <v>#DIV/0!</v>
      </c>
    </row>
    <row r="140" customFormat="false" ht="14.4" hidden="false" customHeight="false" outlineLevel="0" collapsed="false">
      <c r="A140" s="533"/>
      <c r="B140" s="531"/>
      <c r="C140" s="268" t="n">
        <v>41365</v>
      </c>
      <c r="D140" s="269" t="n">
        <v>42004</v>
      </c>
      <c r="E140" s="270" t="n">
        <v>3.619</v>
      </c>
      <c r="F140" s="480" t="n">
        <f aca="false">-3.619</f>
        <v>-3.619</v>
      </c>
      <c r="G140" s="270" t="n">
        <f aca="false">E140+F140+I139</f>
        <v>0</v>
      </c>
      <c r="H140" s="527"/>
      <c r="I140" s="344" t="n">
        <f aca="false">G140-H140</f>
        <v>0</v>
      </c>
      <c r="J140" s="467" t="e">
        <f aca="false">H140/G140</f>
        <v>#DIV/0!</v>
      </c>
      <c r="K140" s="164"/>
      <c r="L140" s="149"/>
      <c r="M140" s="463"/>
      <c r="N140" s="307"/>
    </row>
    <row r="141" customFormat="false" ht="14.4" hidden="false" customHeight="true" outlineLevel="0" collapsed="false">
      <c r="A141" s="533"/>
      <c r="B141" s="531" t="s">
        <v>200</v>
      </c>
      <c r="C141" s="254" t="n">
        <v>41640</v>
      </c>
      <c r="D141" s="255" t="n">
        <v>41729</v>
      </c>
      <c r="E141" s="256" t="n">
        <v>4948.445</v>
      </c>
      <c r="F141" s="478" t="n">
        <f aca="false">1784.885+2015.115-937-1777-234.949+3087.84+63.833+170.725+226.253+130.46</f>
        <v>4530.162</v>
      </c>
      <c r="G141" s="256" t="n">
        <f aca="false">E141+F141</f>
        <v>9478.607</v>
      </c>
      <c r="H141" s="525" t="n">
        <v>200.466</v>
      </c>
      <c r="I141" s="328" t="n">
        <f aca="false">G141-H141</f>
        <v>9278.141</v>
      </c>
      <c r="J141" s="461" t="n">
        <f aca="false">H141/G141</f>
        <v>0.0211493102309232</v>
      </c>
      <c r="K141" s="164" t="n">
        <f aca="false">E141+E142+F141+F142</f>
        <v>19886.16</v>
      </c>
      <c r="L141" s="149" t="n">
        <f aca="false">H141+H142</f>
        <v>19877.484</v>
      </c>
      <c r="M141" s="463" t="n">
        <f aca="false">K141-L141</f>
        <v>8.67600000000311</v>
      </c>
      <c r="N141" s="267" t="n">
        <f aca="false">L141/K141</f>
        <v>0.999563716675316</v>
      </c>
    </row>
    <row r="142" customFormat="false" ht="14.4" hidden="false" customHeight="false" outlineLevel="0" collapsed="false">
      <c r="A142" s="533"/>
      <c r="B142" s="531"/>
      <c r="C142" s="268" t="n">
        <v>41365</v>
      </c>
      <c r="D142" s="269" t="n">
        <v>42004</v>
      </c>
      <c r="E142" s="270" t="n">
        <v>7422.668</v>
      </c>
      <c r="F142" s="479" t="n">
        <f aca="false">2984.885</f>
        <v>2984.885</v>
      </c>
      <c r="G142" s="270" t="n">
        <f aca="false">E142+F142+I141</f>
        <v>19685.694</v>
      </c>
      <c r="H142" s="527" t="n">
        <v>19677.018</v>
      </c>
      <c r="I142" s="344" t="n">
        <f aca="false">G142-H142</f>
        <v>8.67599999999948</v>
      </c>
      <c r="J142" s="467" t="n">
        <f aca="false">H142/G142</f>
        <v>0.999559273856436</v>
      </c>
      <c r="K142" s="164"/>
      <c r="L142" s="149"/>
      <c r="M142" s="463"/>
      <c r="N142" s="267"/>
    </row>
    <row r="143" customFormat="false" ht="14.4" hidden="false" customHeight="true" outlineLevel="0" collapsed="false">
      <c r="A143" s="533"/>
      <c r="B143" s="531" t="s">
        <v>159</v>
      </c>
      <c r="C143" s="254" t="n">
        <v>41640</v>
      </c>
      <c r="D143" s="255" t="n">
        <v>41729</v>
      </c>
      <c r="E143" s="256" t="n">
        <v>37.716</v>
      </c>
      <c r="F143" s="478" t="n">
        <f aca="false">1100+937</f>
        <v>2037</v>
      </c>
      <c r="G143" s="256" t="n">
        <f aca="false">E143+F143</f>
        <v>2074.716</v>
      </c>
      <c r="H143" s="485" t="n">
        <v>2.413</v>
      </c>
      <c r="I143" s="328" t="n">
        <f aca="false">G143-H143</f>
        <v>2072.303</v>
      </c>
      <c r="J143" s="461" t="n">
        <f aca="false">H143/G143</f>
        <v>0.00116305075007857</v>
      </c>
      <c r="K143" s="164" t="n">
        <f aca="false">E143+E144+F143+F144</f>
        <v>2341.291</v>
      </c>
      <c r="L143" s="149" t="n">
        <f aca="false">H143+H144</f>
        <v>2339.611</v>
      </c>
      <c r="M143" s="463" t="n">
        <f aca="false">K143-L143</f>
        <v>1.68000000000029</v>
      </c>
      <c r="N143" s="267" t="n">
        <f aca="false">L143/K143</f>
        <v>0.999282447162698</v>
      </c>
    </row>
    <row r="144" customFormat="false" ht="14.4" hidden="false" customHeight="false" outlineLevel="0" collapsed="false">
      <c r="A144" s="533"/>
      <c r="B144" s="531"/>
      <c r="C144" s="268" t="n">
        <v>41365</v>
      </c>
      <c r="D144" s="269" t="n">
        <v>42004</v>
      </c>
      <c r="E144" s="270" t="n">
        <v>56.575</v>
      </c>
      <c r="F144" s="479" t="n">
        <f aca="false">500-290</f>
        <v>210</v>
      </c>
      <c r="G144" s="270" t="n">
        <f aca="false">E144+F144+I143</f>
        <v>2338.878</v>
      </c>
      <c r="H144" s="138" t="n">
        <v>2337.198</v>
      </c>
      <c r="I144" s="344" t="n">
        <f aca="false">G144-H144</f>
        <v>1.67999999999984</v>
      </c>
      <c r="J144" s="467" t="n">
        <f aca="false">H144/G144</f>
        <v>0.999281706869704</v>
      </c>
      <c r="K144" s="164"/>
      <c r="L144" s="149"/>
      <c r="M144" s="463"/>
      <c r="N144" s="267"/>
    </row>
    <row r="145" customFormat="false" ht="14.4" hidden="false" customHeight="true" outlineLevel="0" collapsed="false">
      <c r="A145" s="533"/>
      <c r="B145" s="531" t="s">
        <v>201</v>
      </c>
      <c r="C145" s="254" t="n">
        <v>41640</v>
      </c>
      <c r="D145" s="255" t="n">
        <v>41729</v>
      </c>
      <c r="E145" s="256" t="n">
        <v>1243.031</v>
      </c>
      <c r="F145" s="492" t="n">
        <f aca="false">-0.4+234.949-500-353.354</f>
        <v>-618.805</v>
      </c>
      <c r="G145" s="256" t="n">
        <f aca="false">E145+F145</f>
        <v>624.226</v>
      </c>
      <c r="H145" s="529" t="n">
        <v>8.412</v>
      </c>
      <c r="I145" s="328" t="n">
        <f aca="false">G145-H145</f>
        <v>615.814</v>
      </c>
      <c r="J145" s="461" t="n">
        <f aca="false">H145/G145</f>
        <v>0.0134758885403684</v>
      </c>
      <c r="K145" s="164" t="n">
        <f aca="false">E145+E146+F145+F146</f>
        <v>2488.772</v>
      </c>
      <c r="L145" s="149" t="n">
        <f aca="false">H145+H146</f>
        <v>2488.772</v>
      </c>
      <c r="M145" s="463" t="n">
        <f aca="false">K145-L145</f>
        <v>0</v>
      </c>
      <c r="N145" s="267" t="n">
        <f aca="false">L145/K145</f>
        <v>1</v>
      </c>
    </row>
    <row r="146" customFormat="false" ht="14.4" hidden="false" customHeight="false" outlineLevel="0" collapsed="false">
      <c r="A146" s="533"/>
      <c r="B146" s="531"/>
      <c r="C146" s="268" t="n">
        <v>41365</v>
      </c>
      <c r="D146" s="269" t="n">
        <v>42004</v>
      </c>
      <c r="E146" s="270" t="n">
        <v>1864.546</v>
      </c>
      <c r="F146" s="480"/>
      <c r="G146" s="270" t="n">
        <f aca="false">E146+F146+I145</f>
        <v>2480.36</v>
      </c>
      <c r="H146" s="527" t="n">
        <v>2480.36</v>
      </c>
      <c r="I146" s="344" t="n">
        <f aca="false">G146-H146</f>
        <v>0</v>
      </c>
      <c r="J146" s="467" t="n">
        <f aca="false">H146/G146</f>
        <v>1</v>
      </c>
      <c r="K146" s="164"/>
      <c r="L146" s="149"/>
      <c r="M146" s="463"/>
      <c r="N146" s="267"/>
    </row>
    <row r="147" customFormat="false" ht="14.4" hidden="false" customHeight="true" outlineLevel="0" collapsed="false">
      <c r="A147" s="533"/>
      <c r="B147" s="531" t="s">
        <v>209</v>
      </c>
      <c r="C147" s="254" t="n">
        <v>41640</v>
      </c>
      <c r="D147" s="255" t="n">
        <v>41729</v>
      </c>
      <c r="E147" s="256" t="n">
        <v>144.366</v>
      </c>
      <c r="F147" s="478" t="n">
        <f aca="false">1777</f>
        <v>1777</v>
      </c>
      <c r="G147" s="256" t="n">
        <f aca="false">E147+F147</f>
        <v>1921.366</v>
      </c>
      <c r="H147" s="525" t="n">
        <v>8.82</v>
      </c>
      <c r="I147" s="328" t="n">
        <f aca="false">G147-H147</f>
        <v>1912.546</v>
      </c>
      <c r="J147" s="461" t="n">
        <f aca="false">H147/G147</f>
        <v>0.00459048406186016</v>
      </c>
      <c r="K147" s="225" t="n">
        <f aca="false">E147+E148+F147+F148</f>
        <v>2201.265</v>
      </c>
      <c r="L147" s="287" t="n">
        <f aca="false">H147+H148</f>
        <v>1845.78</v>
      </c>
      <c r="M147" s="534" t="n">
        <f aca="false">K147-L147</f>
        <v>355.485</v>
      </c>
      <c r="N147" s="461" t="n">
        <f aca="false">L147/K147</f>
        <v>0.838508766550143</v>
      </c>
    </row>
    <row r="148" customFormat="false" ht="14.4" hidden="false" customHeight="false" outlineLevel="0" collapsed="false">
      <c r="A148" s="533"/>
      <c r="B148" s="531"/>
      <c r="C148" s="268" t="n">
        <v>41365</v>
      </c>
      <c r="D148" s="269" t="n">
        <v>42004</v>
      </c>
      <c r="E148" s="270" t="n">
        <v>216.549</v>
      </c>
      <c r="F148" s="479" t="n">
        <f aca="false">-290+353.35</f>
        <v>63.35</v>
      </c>
      <c r="G148" s="270" t="n">
        <f aca="false">E148+F148+I147</f>
        <v>2192.445</v>
      </c>
      <c r="H148" s="138" t="n">
        <v>1836.96</v>
      </c>
      <c r="I148" s="344" t="n">
        <f aca="false">G148-H148</f>
        <v>355.485</v>
      </c>
      <c r="J148" s="467" t="n">
        <f aca="false">H148/G148</f>
        <v>0.837859102508843</v>
      </c>
      <c r="K148" s="225"/>
      <c r="L148" s="287"/>
      <c r="M148" s="534"/>
      <c r="N148" s="461"/>
    </row>
    <row r="149" customFormat="false" ht="14.4" hidden="false" customHeight="true" outlineLevel="0" collapsed="false">
      <c r="A149" s="533"/>
      <c r="B149" s="535" t="s">
        <v>230</v>
      </c>
      <c r="C149" s="254" t="n">
        <v>41640</v>
      </c>
      <c r="D149" s="255" t="n">
        <v>41729</v>
      </c>
      <c r="E149" s="256" t="n">
        <v>0</v>
      </c>
      <c r="F149" s="478" t="n">
        <f aca="false">0.4</f>
        <v>0.4</v>
      </c>
      <c r="G149" s="256" t="n">
        <f aca="false">E149+F149</f>
        <v>0.4</v>
      </c>
      <c r="H149" s="529" t="n">
        <v>0</v>
      </c>
      <c r="I149" s="328" t="n">
        <f aca="false">G149-H149</f>
        <v>0.4</v>
      </c>
      <c r="J149" s="461" t="n">
        <f aca="false">H149/G149</f>
        <v>0</v>
      </c>
      <c r="K149" s="504" t="n">
        <f aca="false">E149+E150+F149+F150</f>
        <v>0.4</v>
      </c>
      <c r="L149" s="287" t="n">
        <f aca="false">H149+H150</f>
        <v>0</v>
      </c>
      <c r="M149" s="534" t="n">
        <f aca="false">K149-L149</f>
        <v>0.4</v>
      </c>
      <c r="N149" s="289" t="n">
        <f aca="false">L149/K149</f>
        <v>0</v>
      </c>
    </row>
    <row r="150" customFormat="false" ht="14.4" hidden="false" customHeight="false" outlineLevel="0" collapsed="false">
      <c r="A150" s="533"/>
      <c r="B150" s="535"/>
      <c r="C150" s="290" t="n">
        <v>41365</v>
      </c>
      <c r="D150" s="291" t="n">
        <v>42004</v>
      </c>
      <c r="E150" s="292" t="n">
        <v>0</v>
      </c>
      <c r="F150" s="292"/>
      <c r="G150" s="292" t="n">
        <f aca="false">E150+F150+I149</f>
        <v>0.4</v>
      </c>
      <c r="H150" s="536" t="n">
        <v>0</v>
      </c>
      <c r="I150" s="508" t="n">
        <f aca="false">G150-H150</f>
        <v>0.4</v>
      </c>
      <c r="J150" s="509" t="n">
        <f aca="false">H150/G150</f>
        <v>0</v>
      </c>
      <c r="K150" s="504"/>
      <c r="L150" s="287"/>
      <c r="M150" s="534"/>
      <c r="N150" s="289"/>
    </row>
    <row r="151" customFormat="false" ht="14.4" hidden="false" customHeight="true" outlineLevel="0" collapsed="false">
      <c r="A151" s="533"/>
      <c r="B151" s="537" t="s">
        <v>193</v>
      </c>
      <c r="C151" s="411" t="n">
        <v>41640</v>
      </c>
      <c r="D151" s="411" t="n">
        <v>41729</v>
      </c>
      <c r="E151" s="256" t="n">
        <v>0</v>
      </c>
      <c r="F151" s="478" t="n">
        <f aca="false">2.413-2.413</f>
        <v>0</v>
      </c>
      <c r="G151" s="256" t="n">
        <f aca="false">E151+F151</f>
        <v>0</v>
      </c>
      <c r="H151" s="529" t="n">
        <v>0</v>
      </c>
      <c r="I151" s="328" t="n">
        <f aca="false">G151-H151</f>
        <v>0</v>
      </c>
      <c r="J151" s="461" t="e">
        <f aca="false">H151/G151</f>
        <v>#DIV/0!</v>
      </c>
      <c r="K151" s="382" t="n">
        <f aca="false">E151+E152+F151+F152</f>
        <v>0</v>
      </c>
      <c r="L151" s="149" t="n">
        <f aca="false">H151+H152</f>
        <v>0</v>
      </c>
      <c r="M151" s="463" t="n">
        <f aca="false">K151-L151</f>
        <v>0</v>
      </c>
      <c r="N151" s="307" t="e">
        <f aca="false">L151/K151</f>
        <v>#DIV/0!</v>
      </c>
    </row>
    <row r="152" customFormat="false" ht="14.4" hidden="false" customHeight="false" outlineLevel="0" collapsed="false">
      <c r="A152" s="533"/>
      <c r="B152" s="537"/>
      <c r="C152" s="427" t="n">
        <v>41365</v>
      </c>
      <c r="D152" s="427" t="n">
        <v>42004</v>
      </c>
      <c r="E152" s="270" t="n">
        <v>0</v>
      </c>
      <c r="F152" s="479" t="n">
        <f aca="false">3.619-3.619</f>
        <v>0</v>
      </c>
      <c r="G152" s="292" t="n">
        <f aca="false">E152+F152+I151</f>
        <v>0</v>
      </c>
      <c r="H152" s="487" t="n">
        <v>0</v>
      </c>
      <c r="I152" s="344" t="n">
        <f aca="false">G152-H152</f>
        <v>0</v>
      </c>
      <c r="J152" s="467" t="e">
        <f aca="false">H152/G152</f>
        <v>#DIV/0!</v>
      </c>
      <c r="K152" s="382"/>
      <c r="L152" s="149"/>
      <c r="M152" s="463"/>
      <c r="N152" s="307"/>
    </row>
    <row r="153" customFormat="false" ht="14.4" hidden="false" customHeight="true" outlineLevel="0" collapsed="false">
      <c r="A153" s="533"/>
      <c r="B153" s="537" t="s">
        <v>204</v>
      </c>
      <c r="C153" s="411" t="n">
        <v>41640</v>
      </c>
      <c r="D153" s="411" t="n">
        <v>41729</v>
      </c>
      <c r="E153" s="256" t="n">
        <v>0</v>
      </c>
      <c r="F153" s="478" t="n">
        <f aca="false">353.354-353.35</f>
        <v>0.00399999999996226</v>
      </c>
      <c r="G153" s="474" t="n">
        <f aca="false">E153+F153</f>
        <v>0.00399999999996226</v>
      </c>
      <c r="H153" s="529" t="n">
        <v>0</v>
      </c>
      <c r="I153" s="328" t="n">
        <f aca="false">G153-H153</f>
        <v>0.00399999999996226</v>
      </c>
      <c r="J153" s="461" t="n">
        <f aca="false">H153/G153</f>
        <v>0</v>
      </c>
      <c r="K153" s="382" t="n">
        <f aca="false">E153+E154+F153+F154</f>
        <v>0.00399999999996226</v>
      </c>
      <c r="L153" s="149" t="n">
        <f aca="false">H153+H154</f>
        <v>0</v>
      </c>
      <c r="M153" s="463" t="n">
        <f aca="false">K153-L153</f>
        <v>0.00399999999996226</v>
      </c>
      <c r="N153" s="307" t="n">
        <f aca="false">L153/K153</f>
        <v>0</v>
      </c>
    </row>
    <row r="154" customFormat="false" ht="14.4" hidden="false" customHeight="false" outlineLevel="0" collapsed="false">
      <c r="A154" s="533"/>
      <c r="B154" s="537"/>
      <c r="C154" s="427" t="n">
        <v>41365</v>
      </c>
      <c r="D154" s="427" t="n">
        <v>42004</v>
      </c>
      <c r="E154" s="270" t="n">
        <v>0</v>
      </c>
      <c r="F154" s="479"/>
      <c r="G154" s="475" t="n">
        <f aca="false">E154+F154+I153</f>
        <v>0.00399999999996226</v>
      </c>
      <c r="H154" s="487" t="n">
        <v>0</v>
      </c>
      <c r="I154" s="344" t="n">
        <f aca="false">G154-H154</f>
        <v>0.00399999999996226</v>
      </c>
      <c r="J154" s="467" t="n">
        <f aca="false">H154/G154</f>
        <v>0</v>
      </c>
      <c r="K154" s="382"/>
      <c r="L154" s="149"/>
      <c r="M154" s="463"/>
      <c r="N154" s="307"/>
    </row>
    <row r="155" customFormat="false" ht="25.5" hidden="false" customHeight="true" outlineLevel="0" collapsed="false">
      <c r="A155" s="469"/>
      <c r="B155" s="296"/>
      <c r="C155" s="296"/>
      <c r="D155" s="470"/>
      <c r="E155" s="292"/>
      <c r="F155" s="296"/>
      <c r="G155" s="292"/>
      <c r="H155" s="490"/>
      <c r="I155" s="471"/>
      <c r="J155" s="400"/>
    </row>
    <row r="156" customFormat="false" ht="15" hidden="false" customHeight="true" outlineLevel="0" collapsed="false">
      <c r="A156" s="538" t="s">
        <v>231</v>
      </c>
      <c r="B156" s="358" t="s">
        <v>73</v>
      </c>
      <c r="C156" s="254" t="n">
        <v>41640</v>
      </c>
      <c r="D156" s="255" t="n">
        <v>41851</v>
      </c>
      <c r="E156" s="256" t="n">
        <v>71.026</v>
      </c>
      <c r="F156" s="492" t="n">
        <f aca="false">-71.026</f>
        <v>-71.026</v>
      </c>
      <c r="G156" s="89" t="n">
        <f aca="false">E156+F156</f>
        <v>0</v>
      </c>
      <c r="H156" s="468"/>
      <c r="I156" s="539" t="n">
        <f aca="false">G156-H156</f>
        <v>0</v>
      </c>
      <c r="J156" s="540" t="e">
        <f aca="false">H156/G156</f>
        <v>#DIV/0!</v>
      </c>
      <c r="K156" s="463" t="n">
        <f aca="false">E156+E157+F156+F157</f>
        <v>0</v>
      </c>
      <c r="L156" s="463" t="n">
        <f aca="false">H156+H157</f>
        <v>0</v>
      </c>
      <c r="M156" s="463" t="n">
        <f aca="false">K156-L156</f>
        <v>0</v>
      </c>
      <c r="N156" s="307" t="e">
        <f aca="false">L156/K156</f>
        <v>#DIV/0!</v>
      </c>
    </row>
    <row r="157" customFormat="false" ht="15" hidden="false" customHeight="true" outlineLevel="0" collapsed="false">
      <c r="A157" s="538"/>
      <c r="B157" s="358"/>
      <c r="C157" s="268" t="n">
        <v>41487</v>
      </c>
      <c r="D157" s="269" t="n">
        <v>42004</v>
      </c>
      <c r="E157" s="270" t="n">
        <v>23.675</v>
      </c>
      <c r="F157" s="480" t="n">
        <f aca="false">-23.675</f>
        <v>-23.675</v>
      </c>
      <c r="G157" s="88" t="n">
        <f aca="false">E157+F157+I156</f>
        <v>0</v>
      </c>
      <c r="H157" s="466"/>
      <c r="I157" s="541" t="n">
        <f aca="false">G157-H157</f>
        <v>0</v>
      </c>
      <c r="J157" s="542" t="e">
        <f aca="false">H157/G157</f>
        <v>#DIV/0!</v>
      </c>
      <c r="K157" s="463"/>
      <c r="L157" s="463"/>
      <c r="M157" s="463"/>
      <c r="N157" s="307"/>
    </row>
    <row r="158" customFormat="false" ht="15" hidden="false" customHeight="true" outlineLevel="0" collapsed="false">
      <c r="A158" s="538"/>
      <c r="B158" s="358" t="s">
        <v>232</v>
      </c>
      <c r="C158" s="254" t="n">
        <v>41640</v>
      </c>
      <c r="D158" s="255" t="n">
        <v>41851</v>
      </c>
      <c r="E158" s="256" t="n">
        <v>14.658</v>
      </c>
      <c r="F158" s="492" t="n">
        <f aca="false">-14.658</f>
        <v>-14.658</v>
      </c>
      <c r="G158" s="89" t="n">
        <f aca="false">E158+F158</f>
        <v>0</v>
      </c>
      <c r="H158" s="543"/>
      <c r="I158" s="539" t="n">
        <f aca="false">G158-H158</f>
        <v>0</v>
      </c>
      <c r="J158" s="540" t="e">
        <f aca="false">H158/G158</f>
        <v>#DIV/0!</v>
      </c>
      <c r="K158" s="463" t="n">
        <f aca="false">E158+E159+F158+F159</f>
        <v>0</v>
      </c>
      <c r="L158" s="463" t="n">
        <f aca="false">H158+H159</f>
        <v>0</v>
      </c>
      <c r="M158" s="463" t="n">
        <f aca="false">K158-L158</f>
        <v>0</v>
      </c>
      <c r="N158" s="307" t="e">
        <f aca="false">L158/K158</f>
        <v>#DIV/0!</v>
      </c>
    </row>
    <row r="159" customFormat="false" ht="15" hidden="false" customHeight="true" outlineLevel="0" collapsed="false">
      <c r="A159" s="538"/>
      <c r="B159" s="358"/>
      <c r="C159" s="268" t="n">
        <v>41487</v>
      </c>
      <c r="D159" s="269" t="n">
        <v>42004</v>
      </c>
      <c r="E159" s="270" t="n">
        <v>4.886</v>
      </c>
      <c r="F159" s="480" t="n">
        <f aca="false">-4.886</f>
        <v>-4.886</v>
      </c>
      <c r="G159" s="88" t="n">
        <f aca="false">E159+F159+I158</f>
        <v>0</v>
      </c>
      <c r="H159" s="543"/>
      <c r="I159" s="541" t="n">
        <f aca="false">G159-H159</f>
        <v>0</v>
      </c>
      <c r="J159" s="542" t="e">
        <f aca="false">H159/G159</f>
        <v>#DIV/0!</v>
      </c>
      <c r="K159" s="463"/>
      <c r="L159" s="463"/>
      <c r="M159" s="463"/>
      <c r="N159" s="307"/>
    </row>
    <row r="160" customFormat="false" ht="15" hidden="false" customHeight="true" outlineLevel="0" collapsed="false">
      <c r="A160" s="538"/>
      <c r="B160" s="358" t="s">
        <v>181</v>
      </c>
      <c r="C160" s="254" t="n">
        <v>41640</v>
      </c>
      <c r="D160" s="255" t="n">
        <v>41851</v>
      </c>
      <c r="E160" s="256" t="n">
        <v>0.626</v>
      </c>
      <c r="F160" s="492" t="n">
        <f aca="false">-0.11166</f>
        <v>-0.11166</v>
      </c>
      <c r="G160" s="89" t="n">
        <f aca="false">E160+F160</f>
        <v>0.51434</v>
      </c>
      <c r="H160" s="468"/>
      <c r="I160" s="539" t="n">
        <f aca="false">G160-H160</f>
        <v>0.51434</v>
      </c>
      <c r="J160" s="540" t="n">
        <f aca="false">H160/G160</f>
        <v>0</v>
      </c>
      <c r="K160" s="463" t="n">
        <f aca="false">E160+E161+F160+F161</f>
        <v>0.72334</v>
      </c>
      <c r="L160" s="463" t="n">
        <f aca="false">H160+H161</f>
        <v>0</v>
      </c>
      <c r="M160" s="463" t="n">
        <f aca="false">K160-L160</f>
        <v>0.72334</v>
      </c>
      <c r="N160" s="307" t="n">
        <f aca="false">L160/K160</f>
        <v>0</v>
      </c>
    </row>
    <row r="161" customFormat="false" ht="15" hidden="false" customHeight="true" outlineLevel="0" collapsed="false">
      <c r="A161" s="538"/>
      <c r="B161" s="358"/>
      <c r="C161" s="268" t="n">
        <v>41487</v>
      </c>
      <c r="D161" s="269" t="n">
        <v>42004</v>
      </c>
      <c r="E161" s="270" t="n">
        <v>0.209</v>
      </c>
      <c r="F161" s="270"/>
      <c r="G161" s="88" t="n">
        <f aca="false">E161+F161+I160</f>
        <v>0.72334</v>
      </c>
      <c r="H161" s="466"/>
      <c r="I161" s="541" t="n">
        <f aca="false">G161-H161</f>
        <v>0.72334</v>
      </c>
      <c r="J161" s="542" t="n">
        <f aca="false">H161/G161</f>
        <v>0</v>
      </c>
      <c r="K161" s="463"/>
      <c r="L161" s="463"/>
      <c r="M161" s="463"/>
      <c r="N161" s="307"/>
    </row>
    <row r="162" customFormat="false" ht="15" hidden="false" customHeight="true" outlineLevel="0" collapsed="false">
      <c r="A162" s="538"/>
      <c r="B162" s="357" t="s">
        <v>233</v>
      </c>
      <c r="C162" s="290" t="n">
        <v>41640</v>
      </c>
      <c r="D162" s="291" t="n">
        <v>41851</v>
      </c>
      <c r="E162" s="292" t="n">
        <v>2474.344</v>
      </c>
      <c r="F162" s="506" t="n">
        <f aca="false">-2474.344</f>
        <v>-2474.344</v>
      </c>
      <c r="G162" s="293" t="n">
        <f aca="false">E162+F162</f>
        <v>0</v>
      </c>
      <c r="H162" s="543" t="n">
        <v>0</v>
      </c>
      <c r="I162" s="544" t="n">
        <f aca="false">G162-H162</f>
        <v>0</v>
      </c>
      <c r="J162" s="545" t="e">
        <f aca="false">H162/G162</f>
        <v>#DIV/0!</v>
      </c>
      <c r="K162" s="546" t="n">
        <f aca="false">E162+E163+F162+F163</f>
        <v>0.241700000000037</v>
      </c>
      <c r="L162" s="463" t="n">
        <f aca="false">H162+H163</f>
        <v>0</v>
      </c>
      <c r="M162" s="546" t="n">
        <f aca="false">K162-L162</f>
        <v>0.241700000000037</v>
      </c>
      <c r="N162" s="325" t="n">
        <f aca="false">L162/K162</f>
        <v>0</v>
      </c>
    </row>
    <row r="163" customFormat="false" ht="15" hidden="false" customHeight="true" outlineLevel="0" collapsed="false">
      <c r="A163" s="538"/>
      <c r="B163" s="357"/>
      <c r="C163" s="290" t="n">
        <v>41487</v>
      </c>
      <c r="D163" s="291" t="n">
        <v>42004</v>
      </c>
      <c r="E163" s="292" t="n">
        <v>824.781</v>
      </c>
      <c r="F163" s="506" t="n">
        <f aca="false">-824.651+0.1117</f>
        <v>-824.5393</v>
      </c>
      <c r="G163" s="293" t="n">
        <f aca="false">E163+F163+I162</f>
        <v>0.241700000000037</v>
      </c>
      <c r="H163" s="543"/>
      <c r="I163" s="544" t="n">
        <f aca="false">G163-H163</f>
        <v>0.241700000000037</v>
      </c>
      <c r="J163" s="545" t="n">
        <f aca="false">H163/G163</f>
        <v>0</v>
      </c>
      <c r="K163" s="546"/>
      <c r="L163" s="463"/>
      <c r="M163" s="546"/>
      <c r="N163" s="325"/>
    </row>
    <row r="164" customFormat="false" ht="15" hidden="false" customHeight="true" outlineLevel="0" collapsed="false">
      <c r="A164" s="538"/>
      <c r="B164" s="358" t="s">
        <v>234</v>
      </c>
      <c r="C164" s="254" t="n">
        <v>41640</v>
      </c>
      <c r="D164" s="255" t="n">
        <v>41851</v>
      </c>
      <c r="E164" s="256" t="n">
        <v>2599.833</v>
      </c>
      <c r="F164" s="492" t="n">
        <f aca="false">-2599.833+0.112</f>
        <v>-2599.721</v>
      </c>
      <c r="G164" s="89" t="n">
        <f aca="false">E164+F164</f>
        <v>0.11200000000008</v>
      </c>
      <c r="H164" s="468" t="n">
        <v>0</v>
      </c>
      <c r="I164" s="539" t="n">
        <f aca="false">G164-H164</f>
        <v>0.11200000000008</v>
      </c>
      <c r="J164" s="540" t="n">
        <f aca="false">H164/G164</f>
        <v>0</v>
      </c>
      <c r="K164" s="463" t="n">
        <f aca="false">E164+E165+F164+F165</f>
        <v>0.111999999999966</v>
      </c>
      <c r="L164" s="463" t="n">
        <f aca="false">H164+H165</f>
        <v>0</v>
      </c>
      <c r="M164" s="463" t="n">
        <f aca="false">K164-L164</f>
        <v>0.111999999999966</v>
      </c>
      <c r="N164" s="307" t="n">
        <f aca="false">L164/K164</f>
        <v>0</v>
      </c>
    </row>
    <row r="165" customFormat="false" ht="15" hidden="false" customHeight="true" outlineLevel="0" collapsed="false">
      <c r="A165" s="538"/>
      <c r="B165" s="358"/>
      <c r="C165" s="268" t="n">
        <v>41487</v>
      </c>
      <c r="D165" s="269" t="n">
        <v>42004</v>
      </c>
      <c r="E165" s="270" t="n">
        <v>866.611</v>
      </c>
      <c r="F165" s="480" t="n">
        <f aca="false">-866.611</f>
        <v>-866.611</v>
      </c>
      <c r="G165" s="88" t="n">
        <f aca="false">E165+F165+I164</f>
        <v>0.11200000000008</v>
      </c>
      <c r="H165" s="466"/>
      <c r="I165" s="541" t="n">
        <f aca="false">G165-H165</f>
        <v>0.11200000000008</v>
      </c>
      <c r="J165" s="542" t="n">
        <f aca="false">H165/G165</f>
        <v>0</v>
      </c>
      <c r="K165" s="463"/>
      <c r="L165" s="463"/>
      <c r="M165" s="463"/>
      <c r="N165" s="307"/>
    </row>
    <row r="166" customFormat="false" ht="15" hidden="false" customHeight="true" outlineLevel="0" collapsed="false">
      <c r="A166" s="538"/>
      <c r="B166" s="357" t="s">
        <v>226</v>
      </c>
      <c r="C166" s="290" t="n">
        <v>41640</v>
      </c>
      <c r="D166" s="291" t="n">
        <v>41851</v>
      </c>
      <c r="E166" s="292" t="n">
        <v>55.764</v>
      </c>
      <c r="F166" s="522" t="n">
        <f aca="false">142.093+144.648</f>
        <v>286.741</v>
      </c>
      <c r="G166" s="293" t="n">
        <f aca="false">E166+F166</f>
        <v>342.505</v>
      </c>
      <c r="H166" s="543" t="n">
        <v>202.79</v>
      </c>
      <c r="I166" s="544" t="n">
        <f aca="false">G166-H166</f>
        <v>139.715</v>
      </c>
      <c r="J166" s="545" t="n">
        <f aca="false">H166/G166</f>
        <v>0.592078947752588</v>
      </c>
      <c r="K166" s="546" t="n">
        <f aca="false">E166+E167+F166+F167</f>
        <v>453.80853</v>
      </c>
      <c r="L166" s="463" t="n">
        <f aca="false">H166+H167</f>
        <v>452.735</v>
      </c>
      <c r="M166" s="546" t="n">
        <f aca="false">K166-L166</f>
        <v>1.07352999999995</v>
      </c>
      <c r="N166" s="547" t="n">
        <f aca="false">L166/K166</f>
        <v>0.997634398806915</v>
      </c>
    </row>
    <row r="167" customFormat="false" ht="15" hidden="false" customHeight="true" outlineLevel="0" collapsed="false">
      <c r="A167" s="538"/>
      <c r="B167" s="357"/>
      <c r="C167" s="290" t="n">
        <v>41487</v>
      </c>
      <c r="D167" s="291" t="n">
        <v>42004</v>
      </c>
      <c r="E167" s="292" t="n">
        <v>18.588</v>
      </c>
      <c r="F167" s="522" t="n">
        <f aca="false">47.364+45.35153</f>
        <v>92.71553</v>
      </c>
      <c r="G167" s="293" t="n">
        <f aca="false">E167+F167+I166</f>
        <v>251.01853</v>
      </c>
      <c r="H167" s="543" t="n">
        <v>249.945</v>
      </c>
      <c r="I167" s="544" t="n">
        <f aca="false">G167-H167</f>
        <v>1.07353000000001</v>
      </c>
      <c r="J167" s="545" t="n">
        <f aca="false">H167/G167</f>
        <v>0.99572330377363</v>
      </c>
      <c r="K167" s="546"/>
      <c r="L167" s="463"/>
      <c r="M167" s="546"/>
      <c r="N167" s="547"/>
    </row>
    <row r="168" customFormat="false" ht="15" hidden="false" customHeight="true" outlineLevel="0" collapsed="false">
      <c r="A168" s="538"/>
      <c r="B168" s="358" t="s">
        <v>228</v>
      </c>
      <c r="C168" s="254" t="n">
        <v>41640</v>
      </c>
      <c r="D168" s="255" t="n">
        <v>41851</v>
      </c>
      <c r="E168" s="256" t="n">
        <v>70.755</v>
      </c>
      <c r="F168" s="478" t="n">
        <f aca="false">44.521</f>
        <v>44.521</v>
      </c>
      <c r="G168" s="89" t="n">
        <f aca="false">E168+F168</f>
        <v>115.276</v>
      </c>
      <c r="H168" s="468" t="n">
        <v>86.898</v>
      </c>
      <c r="I168" s="539" t="n">
        <f aca="false">G168-H168</f>
        <v>28.378</v>
      </c>
      <c r="J168" s="540" t="n">
        <f aca="false">H168/G168</f>
        <v>0.753825601165898</v>
      </c>
      <c r="K168" s="463" t="n">
        <f aca="false">E168+E169+F168+F169</f>
        <v>153.701</v>
      </c>
      <c r="L168" s="463" t="n">
        <f aca="false">H168+H169</f>
        <v>155.505</v>
      </c>
      <c r="M168" s="463" t="n">
        <f aca="false">K168-L168</f>
        <v>-1.804</v>
      </c>
      <c r="N168" s="548" t="n">
        <f aca="false">L168/K168</f>
        <v>1.01173707392925</v>
      </c>
    </row>
    <row r="169" customFormat="false" ht="15" hidden="false" customHeight="true" outlineLevel="0" collapsed="false">
      <c r="A169" s="538"/>
      <c r="B169" s="358"/>
      <c r="C169" s="268" t="n">
        <v>41487</v>
      </c>
      <c r="D169" s="269" t="n">
        <v>42004</v>
      </c>
      <c r="E169" s="270" t="n">
        <v>23.585</v>
      </c>
      <c r="F169" s="479" t="n">
        <f aca="false">14.84</f>
        <v>14.84</v>
      </c>
      <c r="G169" s="88" t="n">
        <f aca="false">E169+F169+I168</f>
        <v>66.803</v>
      </c>
      <c r="H169" s="466" t="n">
        <v>68.607</v>
      </c>
      <c r="I169" s="541" t="n">
        <f aca="false">G169-H169</f>
        <v>-1.804</v>
      </c>
      <c r="J169" s="542" t="n">
        <f aca="false">H169/G169</f>
        <v>1.02700477523465</v>
      </c>
      <c r="K169" s="463"/>
      <c r="L169" s="463"/>
      <c r="M169" s="463"/>
      <c r="N169" s="548"/>
    </row>
    <row r="170" customFormat="false" ht="15" hidden="false" customHeight="true" outlineLevel="0" collapsed="false">
      <c r="A170" s="538"/>
      <c r="B170" s="357" t="s">
        <v>167</v>
      </c>
      <c r="C170" s="290" t="n">
        <v>41640</v>
      </c>
      <c r="D170" s="291" t="n">
        <v>41851</v>
      </c>
      <c r="E170" s="292" t="n">
        <v>88.415</v>
      </c>
      <c r="F170" s="522" t="n">
        <f aca="false">14.658+247.618+116.756+14.658+15.3+71.026</f>
        <v>480.016</v>
      </c>
      <c r="G170" s="293" t="n">
        <f aca="false">E170+F170</f>
        <v>568.431</v>
      </c>
      <c r="H170" s="543" t="n">
        <v>273.224</v>
      </c>
      <c r="I170" s="544" t="n">
        <f aca="false">G170-H170</f>
        <v>295.207</v>
      </c>
      <c r="J170" s="545" t="n">
        <f aca="false">H170/G170</f>
        <v>0.480663440241648</v>
      </c>
      <c r="K170" s="546" t="n">
        <f aca="false">E170+E171+F170+F171</f>
        <v>750.597</v>
      </c>
      <c r="L170" s="463" t="n">
        <f aca="false">H170+H171</f>
        <v>749.762</v>
      </c>
      <c r="M170" s="546" t="n">
        <f aca="false">K170-L170</f>
        <v>0.835000000000036</v>
      </c>
      <c r="N170" s="547" t="n">
        <f aca="false">L170/K170</f>
        <v>0.998887552175135</v>
      </c>
    </row>
    <row r="171" customFormat="false" ht="15" hidden="false" customHeight="true" outlineLevel="0" collapsed="false">
      <c r="A171" s="538"/>
      <c r="B171" s="357"/>
      <c r="C171" s="290" t="n">
        <v>41487</v>
      </c>
      <c r="D171" s="291" t="n">
        <v>42004</v>
      </c>
      <c r="E171" s="292" t="n">
        <v>29.472</v>
      </c>
      <c r="F171" s="522" t="n">
        <f aca="false">4.886+80.328+38.919+4.886+23.675</f>
        <v>152.694</v>
      </c>
      <c r="G171" s="293" t="n">
        <f aca="false">E171+F171+I170</f>
        <v>477.373</v>
      </c>
      <c r="H171" s="543" t="n">
        <v>476.538</v>
      </c>
      <c r="I171" s="544" t="n">
        <f aca="false">G171-H171</f>
        <v>0.835000000000036</v>
      </c>
      <c r="J171" s="545" t="n">
        <f aca="false">H171/G171</f>
        <v>0.99825084367989</v>
      </c>
      <c r="K171" s="546"/>
      <c r="L171" s="463"/>
      <c r="M171" s="546"/>
      <c r="N171" s="547"/>
    </row>
    <row r="172" customFormat="false" ht="15" hidden="false" customHeight="true" outlineLevel="0" collapsed="false">
      <c r="A172" s="538"/>
      <c r="B172" s="358" t="s">
        <v>235</v>
      </c>
      <c r="C172" s="254" t="n">
        <v>41640</v>
      </c>
      <c r="D172" s="255" t="n">
        <v>41851</v>
      </c>
      <c r="E172" s="256" t="n">
        <v>144.648</v>
      </c>
      <c r="F172" s="492" t="n">
        <f aca="false">-144.648</f>
        <v>-144.648</v>
      </c>
      <c r="G172" s="89" t="n">
        <f aca="false">E172+F172</f>
        <v>0</v>
      </c>
      <c r="H172" s="133"/>
      <c r="I172" s="539" t="n">
        <f aca="false">G172-H172</f>
        <v>0</v>
      </c>
      <c r="J172" s="540" t="e">
        <f aca="false">H172/G172</f>
        <v>#DIV/0!</v>
      </c>
      <c r="K172" s="463" t="n">
        <f aca="false">E172+E173+F172+F173</f>
        <v>2.86447000000001</v>
      </c>
      <c r="L172" s="463" t="n">
        <f aca="false">H172+H173</f>
        <v>0.762</v>
      </c>
      <c r="M172" s="463" t="n">
        <f aca="false">K172-L172</f>
        <v>2.10247000000001</v>
      </c>
      <c r="N172" s="307" t="n">
        <f aca="false">L172/K172</f>
        <v>0.266017797358673</v>
      </c>
    </row>
    <row r="173" customFormat="false" ht="15" hidden="false" customHeight="true" outlineLevel="0" collapsed="false">
      <c r="A173" s="538"/>
      <c r="B173" s="358"/>
      <c r="C173" s="268" t="n">
        <v>41487</v>
      </c>
      <c r="D173" s="269" t="n">
        <v>42004</v>
      </c>
      <c r="E173" s="270" t="n">
        <v>48.216</v>
      </c>
      <c r="F173" s="480" t="n">
        <f aca="false">-45.35153</f>
        <v>-45.35153</v>
      </c>
      <c r="G173" s="88" t="n">
        <f aca="false">E173+F173+I172</f>
        <v>2.86447</v>
      </c>
      <c r="H173" s="138" t="n">
        <v>0.762</v>
      </c>
      <c r="I173" s="541" t="n">
        <f aca="false">G173-H173</f>
        <v>2.10247</v>
      </c>
      <c r="J173" s="542" t="n">
        <f aca="false">H173/G173</f>
        <v>0.266017797358673</v>
      </c>
      <c r="K173" s="463"/>
      <c r="L173" s="463"/>
      <c r="M173" s="463"/>
      <c r="N173" s="307"/>
    </row>
    <row r="174" customFormat="false" ht="15" hidden="false" customHeight="true" outlineLevel="0" collapsed="false">
      <c r="A174" s="538"/>
      <c r="B174" s="549" t="s">
        <v>236</v>
      </c>
      <c r="C174" s="290" t="n">
        <v>41640</v>
      </c>
      <c r="D174" s="291" t="n">
        <v>41851</v>
      </c>
      <c r="E174" s="292" t="n">
        <v>247.618</v>
      </c>
      <c r="F174" s="506" t="n">
        <f aca="false">-247.618</f>
        <v>-247.618</v>
      </c>
      <c r="G174" s="293" t="n">
        <f aca="false">E174+F174</f>
        <v>0</v>
      </c>
      <c r="H174" s="136"/>
      <c r="I174" s="544" t="n">
        <f aca="false">G174-H174</f>
        <v>0</v>
      </c>
      <c r="J174" s="545" t="e">
        <f aca="false">H174/G174</f>
        <v>#DIV/0!</v>
      </c>
      <c r="K174" s="546" t="n">
        <f aca="false">E174+E175+F174+F175</f>
        <v>0.210999999999984</v>
      </c>
      <c r="L174" s="534" t="n">
        <f aca="false">H174+H175</f>
        <v>0</v>
      </c>
      <c r="M174" s="546" t="n">
        <f aca="false">K174-L174</f>
        <v>0.210999999999984</v>
      </c>
      <c r="N174" s="325" t="n">
        <f aca="false">L174/K174</f>
        <v>0</v>
      </c>
    </row>
    <row r="175" customFormat="false" ht="15" hidden="false" customHeight="true" outlineLevel="0" collapsed="false">
      <c r="A175" s="538"/>
      <c r="B175" s="549"/>
      <c r="C175" s="290" t="n">
        <v>41487</v>
      </c>
      <c r="D175" s="291" t="n">
        <v>42004</v>
      </c>
      <c r="E175" s="292" t="n">
        <v>82.539</v>
      </c>
      <c r="F175" s="506" t="n">
        <f aca="false">-80.328-2</f>
        <v>-82.328</v>
      </c>
      <c r="G175" s="293" t="n">
        <f aca="false">E175+F175+I174</f>
        <v>0.210999999999999</v>
      </c>
      <c r="H175" s="136"/>
      <c r="I175" s="544" t="n">
        <f aca="false">G175-H175</f>
        <v>0.210999999999999</v>
      </c>
      <c r="J175" s="545" t="n">
        <f aca="false">H175/G175</f>
        <v>0</v>
      </c>
      <c r="K175" s="546"/>
      <c r="L175" s="546"/>
      <c r="M175" s="546"/>
      <c r="N175" s="325"/>
    </row>
    <row r="176" customFormat="false" ht="15" hidden="false" customHeight="true" outlineLevel="0" collapsed="false">
      <c r="A176" s="538"/>
      <c r="B176" s="358" t="s">
        <v>159</v>
      </c>
      <c r="C176" s="254" t="n">
        <v>41640</v>
      </c>
      <c r="D176" s="411" t="n">
        <v>41851</v>
      </c>
      <c r="E176" s="256" t="n">
        <v>1431.168</v>
      </c>
      <c r="F176" s="56" t="n">
        <f aca="false">-10-0.177-0.111-0.111-1000</f>
        <v>-1010.399</v>
      </c>
      <c r="G176" s="459" t="n">
        <f aca="false">E176+F176</f>
        <v>420.769</v>
      </c>
      <c r="H176" s="133" t="n">
        <v>50.124</v>
      </c>
      <c r="I176" s="539" t="n">
        <f aca="false">G176-H176</f>
        <v>370.645</v>
      </c>
      <c r="J176" s="486" t="n">
        <f aca="false">H176/G176</f>
        <v>0.119124745406625</v>
      </c>
      <c r="K176" s="463" t="n">
        <f aca="false">E176+E177+F176+F177</f>
        <v>1101.935</v>
      </c>
      <c r="L176" s="463" t="n">
        <f aca="false">H176+H177</f>
        <v>1067.754</v>
      </c>
      <c r="M176" s="463" t="n">
        <f aca="false">K176-L176</f>
        <v>34.181</v>
      </c>
      <c r="N176" s="342" t="n">
        <f aca="false">L176/K176</f>
        <v>0.968980929002164</v>
      </c>
    </row>
    <row r="177" customFormat="false" ht="15" hidden="false" customHeight="true" outlineLevel="0" collapsed="false">
      <c r="A177" s="538"/>
      <c r="B177" s="358"/>
      <c r="C177" s="268" t="n">
        <v>41487</v>
      </c>
      <c r="D177" s="427" t="n">
        <v>42004</v>
      </c>
      <c r="E177" s="270" t="n">
        <v>477.056</v>
      </c>
      <c r="F177" s="62" t="n">
        <f aca="false">140+64.11</f>
        <v>204.11</v>
      </c>
      <c r="G177" s="465" t="n">
        <f aca="false">E177+F177+I176</f>
        <v>1051.811</v>
      </c>
      <c r="H177" s="138" t="n">
        <v>1017.63</v>
      </c>
      <c r="I177" s="541" t="n">
        <f aca="false">G177-H177</f>
        <v>34.1809999999997</v>
      </c>
      <c r="J177" s="488" t="n">
        <f aca="false">H177/G177</f>
        <v>0.967502716742837</v>
      </c>
      <c r="K177" s="463"/>
      <c r="L177" s="463"/>
      <c r="M177" s="463"/>
      <c r="N177" s="342"/>
    </row>
    <row r="178" customFormat="false" ht="15" hidden="false" customHeight="true" outlineLevel="0" collapsed="false">
      <c r="A178" s="538"/>
      <c r="B178" s="549" t="s">
        <v>78</v>
      </c>
      <c r="C178" s="290" t="n">
        <v>41640</v>
      </c>
      <c r="D178" s="291" t="n">
        <v>41851</v>
      </c>
      <c r="E178" s="292" t="n">
        <v>14.658</v>
      </c>
      <c r="F178" s="506" t="n">
        <f aca="false">-14.658</f>
        <v>-14.658</v>
      </c>
      <c r="G178" s="293" t="n">
        <f aca="false">E178+F178</f>
        <v>0</v>
      </c>
      <c r="H178" s="543"/>
      <c r="I178" s="544" t="n">
        <f aca="false">G178-H178</f>
        <v>0</v>
      </c>
      <c r="J178" s="545" t="e">
        <f aca="false">H178/G178</f>
        <v>#DIV/0!</v>
      </c>
      <c r="K178" s="546" t="n">
        <f aca="false">E178+E179+F178+F179</f>
        <v>0</v>
      </c>
      <c r="L178" s="550" t="n">
        <f aca="false">H178+H179</f>
        <v>0</v>
      </c>
      <c r="M178" s="546" t="n">
        <f aca="false">K178-L178</f>
        <v>0</v>
      </c>
      <c r="N178" s="325" t="e">
        <f aca="false">L178/K178</f>
        <v>#DIV/0!</v>
      </c>
    </row>
    <row r="179" customFormat="false" ht="15" hidden="false" customHeight="true" outlineLevel="0" collapsed="false">
      <c r="A179" s="538"/>
      <c r="B179" s="549"/>
      <c r="C179" s="290" t="n">
        <v>41487</v>
      </c>
      <c r="D179" s="291" t="n">
        <v>42004</v>
      </c>
      <c r="E179" s="292" t="n">
        <v>4.886</v>
      </c>
      <c r="F179" s="506" t="n">
        <f aca="false">-4.886</f>
        <v>-4.886</v>
      </c>
      <c r="G179" s="293" t="n">
        <f aca="false">E179+F179+I178</f>
        <v>0</v>
      </c>
      <c r="H179" s="543"/>
      <c r="I179" s="544" t="n">
        <f aca="false">G179-H179</f>
        <v>0</v>
      </c>
      <c r="J179" s="545" t="e">
        <f aca="false">H179/G179</f>
        <v>#DIV/0!</v>
      </c>
      <c r="K179" s="546"/>
      <c r="L179" s="550"/>
      <c r="M179" s="546"/>
      <c r="N179" s="325"/>
    </row>
    <row r="180" customFormat="false" ht="15" hidden="false" customHeight="true" outlineLevel="0" collapsed="false">
      <c r="A180" s="538"/>
      <c r="B180" s="358" t="s">
        <v>92</v>
      </c>
      <c r="C180" s="254" t="n">
        <v>41640</v>
      </c>
      <c r="D180" s="255" t="n">
        <v>41851</v>
      </c>
      <c r="E180" s="256" t="n">
        <v>2.336</v>
      </c>
      <c r="F180" s="256"/>
      <c r="G180" s="89" t="n">
        <f aca="false">E180+F180</f>
        <v>2.336</v>
      </c>
      <c r="H180" s="468" t="n">
        <v>0.053</v>
      </c>
      <c r="I180" s="539" t="n">
        <f aca="false">G180-H180</f>
        <v>2.283</v>
      </c>
      <c r="J180" s="540" t="n">
        <f aca="false">H180/G180</f>
        <v>0.0226883561643836</v>
      </c>
      <c r="K180" s="463" t="n">
        <f aca="false">E180+E181+F180+F181</f>
        <v>3.115</v>
      </c>
      <c r="L180" s="463" t="n">
        <f aca="false">H180+H181</f>
        <v>2.273</v>
      </c>
      <c r="M180" s="463" t="n">
        <f aca="false">K180-L180</f>
        <v>0.842</v>
      </c>
      <c r="N180" s="307" t="n">
        <f aca="false">L180/K180</f>
        <v>0.729695024077047</v>
      </c>
    </row>
    <row r="181" customFormat="false" ht="15" hidden="false" customHeight="true" outlineLevel="0" collapsed="false">
      <c r="A181" s="538"/>
      <c r="B181" s="358"/>
      <c r="C181" s="268" t="n">
        <v>41487</v>
      </c>
      <c r="D181" s="269" t="n">
        <v>42004</v>
      </c>
      <c r="E181" s="270" t="n">
        <v>0.779</v>
      </c>
      <c r="F181" s="270"/>
      <c r="G181" s="88" t="n">
        <f aca="false">E181+F181+I180</f>
        <v>3.062</v>
      </c>
      <c r="H181" s="466" t="n">
        <v>2.22</v>
      </c>
      <c r="I181" s="541" t="n">
        <f aca="false">G181-H181</f>
        <v>0.842</v>
      </c>
      <c r="J181" s="542" t="n">
        <f aca="false">H181/G181</f>
        <v>0.725016329196604</v>
      </c>
      <c r="K181" s="463"/>
      <c r="L181" s="463"/>
      <c r="M181" s="463"/>
      <c r="N181" s="307"/>
    </row>
    <row r="182" customFormat="false" ht="15" hidden="false" customHeight="true" outlineLevel="0" collapsed="false">
      <c r="A182" s="538"/>
      <c r="B182" s="358" t="s">
        <v>81</v>
      </c>
      <c r="C182" s="254" t="n">
        <v>41640</v>
      </c>
      <c r="D182" s="255" t="n">
        <v>41851</v>
      </c>
      <c r="E182" s="256" t="n">
        <v>615.288</v>
      </c>
      <c r="F182" s="56" t="n">
        <f aca="false">-49.07540775</f>
        <v>-49.07540775</v>
      </c>
      <c r="G182" s="89" t="n">
        <f aca="false">E182+F182</f>
        <v>566.21259225</v>
      </c>
      <c r="H182" s="468" t="n">
        <v>0.016</v>
      </c>
      <c r="I182" s="539" t="n">
        <f aca="false">G182-H182</f>
        <v>566.19659225</v>
      </c>
      <c r="J182" s="540" t="n">
        <f aca="false">H182/G182</f>
        <v>2.82579374231499E-005</v>
      </c>
      <c r="K182" s="463" t="n">
        <f aca="false">E182+E183+F182+F183</f>
        <v>10.9501230000001</v>
      </c>
      <c r="L182" s="463" t="n">
        <f aca="false">H182+H183</f>
        <v>0.016</v>
      </c>
      <c r="M182" s="463" t="n">
        <f aca="false">K182-L182</f>
        <v>10.9341230000001</v>
      </c>
      <c r="N182" s="307" t="n">
        <f aca="false">L182/K182</f>
        <v>0.00146117080146039</v>
      </c>
    </row>
    <row r="183" customFormat="false" ht="15" hidden="false" customHeight="true" outlineLevel="0" collapsed="false">
      <c r="A183" s="538"/>
      <c r="B183" s="358"/>
      <c r="C183" s="268" t="n">
        <v>41487</v>
      </c>
      <c r="D183" s="269" t="n">
        <v>42004</v>
      </c>
      <c r="E183" s="270" t="n">
        <v>205.096</v>
      </c>
      <c r="F183" s="63" t="n">
        <f aca="false">-16.35846925-744</f>
        <v>-760.35846925</v>
      </c>
      <c r="G183" s="88" t="n">
        <f aca="false">E183+F183+I182</f>
        <v>10.9341230000001</v>
      </c>
      <c r="H183" s="466"/>
      <c r="I183" s="541" t="n">
        <f aca="false">G183-H183</f>
        <v>10.9341230000001</v>
      </c>
      <c r="J183" s="542" t="n">
        <f aca="false">H183/G183</f>
        <v>0</v>
      </c>
      <c r="K183" s="463"/>
      <c r="L183" s="463"/>
      <c r="M183" s="463"/>
      <c r="N183" s="307"/>
    </row>
    <row r="184" customFormat="false" ht="15" hidden="false" customHeight="true" outlineLevel="0" collapsed="false">
      <c r="A184" s="538"/>
      <c r="B184" s="549" t="s">
        <v>237</v>
      </c>
      <c r="C184" s="290" t="n">
        <v>41640</v>
      </c>
      <c r="D184" s="291" t="n">
        <v>41851</v>
      </c>
      <c r="E184" s="292" t="n">
        <v>142.093</v>
      </c>
      <c r="F184" s="506" t="n">
        <f aca="false">-142.093</f>
        <v>-142.093</v>
      </c>
      <c r="G184" s="293" t="n">
        <f aca="false">E184+F184</f>
        <v>0</v>
      </c>
      <c r="H184" s="551"/>
      <c r="I184" s="544" t="n">
        <f aca="false">G184-H184</f>
        <v>0</v>
      </c>
      <c r="J184" s="545" t="e">
        <f aca="false">H184/G184</f>
        <v>#DIV/0!</v>
      </c>
      <c r="K184" s="546" t="n">
        <f aca="false">E184+E185+F184+F185</f>
        <v>0</v>
      </c>
      <c r="L184" s="463" t="n">
        <f aca="false">H184+H185</f>
        <v>0</v>
      </c>
      <c r="M184" s="546" t="n">
        <f aca="false">K184-L184</f>
        <v>0</v>
      </c>
      <c r="N184" s="325" t="e">
        <f aca="false">L184/K184</f>
        <v>#DIV/0!</v>
      </c>
    </row>
    <row r="185" customFormat="false" ht="15" hidden="false" customHeight="true" outlineLevel="0" collapsed="false">
      <c r="A185" s="538"/>
      <c r="B185" s="549"/>
      <c r="C185" s="290" t="n">
        <v>41487</v>
      </c>
      <c r="D185" s="291" t="n">
        <v>42004</v>
      </c>
      <c r="E185" s="292" t="n">
        <v>47.364</v>
      </c>
      <c r="F185" s="506" t="n">
        <f aca="false">-47.364</f>
        <v>-47.364</v>
      </c>
      <c r="G185" s="293" t="n">
        <f aca="false">E185+F185+I184</f>
        <v>0</v>
      </c>
      <c r="H185" s="551"/>
      <c r="I185" s="544" t="n">
        <f aca="false">G185-H185</f>
        <v>0</v>
      </c>
      <c r="J185" s="545" t="e">
        <f aca="false">H185/G185</f>
        <v>#DIV/0!</v>
      </c>
      <c r="K185" s="546"/>
      <c r="L185" s="463"/>
      <c r="M185" s="546"/>
      <c r="N185" s="325"/>
    </row>
    <row r="186" customFormat="false" ht="15" hidden="false" customHeight="true" outlineLevel="0" collapsed="false">
      <c r="A186" s="538"/>
      <c r="B186" s="358" t="s">
        <v>100</v>
      </c>
      <c r="C186" s="254" t="n">
        <v>41640</v>
      </c>
      <c r="D186" s="255" t="n">
        <v>41851</v>
      </c>
      <c r="E186" s="256" t="n">
        <v>44.521</v>
      </c>
      <c r="F186" s="492" t="n">
        <f aca="false">-44.521</f>
        <v>-44.521</v>
      </c>
      <c r="G186" s="89" t="n">
        <f aca="false">E186+F186</f>
        <v>0</v>
      </c>
      <c r="H186" s="468"/>
      <c r="I186" s="539" t="n">
        <f aca="false">G186-H186</f>
        <v>0</v>
      </c>
      <c r="J186" s="540" t="e">
        <f aca="false">H186/G186</f>
        <v>#DIV/0!</v>
      </c>
      <c r="K186" s="463" t="n">
        <f aca="false">E186+E187+F186+F187</f>
        <v>0</v>
      </c>
      <c r="L186" s="463" t="n">
        <f aca="false">H186+H187</f>
        <v>0</v>
      </c>
      <c r="M186" s="463" t="n">
        <f aca="false">K186-L186</f>
        <v>0</v>
      </c>
      <c r="N186" s="307" t="e">
        <f aca="false">L186/K186</f>
        <v>#DIV/0!</v>
      </c>
    </row>
    <row r="187" customFormat="false" ht="15" hidden="false" customHeight="true" outlineLevel="0" collapsed="false">
      <c r="A187" s="538"/>
      <c r="B187" s="358"/>
      <c r="C187" s="268" t="n">
        <v>41487</v>
      </c>
      <c r="D187" s="269" t="n">
        <v>42004</v>
      </c>
      <c r="E187" s="270" t="n">
        <v>14.84</v>
      </c>
      <c r="F187" s="480" t="n">
        <f aca="false">-14.84</f>
        <v>-14.84</v>
      </c>
      <c r="G187" s="88" t="n">
        <f aca="false">E187+F187+I186</f>
        <v>0</v>
      </c>
      <c r="H187" s="466"/>
      <c r="I187" s="541" t="n">
        <f aca="false">G187-H187</f>
        <v>0</v>
      </c>
      <c r="J187" s="542" t="e">
        <f aca="false">H187/G187</f>
        <v>#DIV/0!</v>
      </c>
      <c r="K187" s="463"/>
      <c r="L187" s="463"/>
      <c r="M187" s="463"/>
      <c r="N187" s="307"/>
    </row>
    <row r="188" customFormat="false" ht="15" hidden="false" customHeight="true" outlineLevel="0" collapsed="false">
      <c r="A188" s="538"/>
      <c r="B188" s="549" t="s">
        <v>68</v>
      </c>
      <c r="C188" s="290" t="n">
        <v>41640</v>
      </c>
      <c r="D188" s="291" t="n">
        <v>41851</v>
      </c>
      <c r="E188" s="292" t="n">
        <v>53.446</v>
      </c>
      <c r="F188" s="94" t="n">
        <f aca="false">49.07540775</f>
        <v>49.07540775</v>
      </c>
      <c r="G188" s="293" t="n">
        <f aca="false">E188+F188</f>
        <v>102.52140775</v>
      </c>
      <c r="H188" s="551"/>
      <c r="I188" s="544" t="n">
        <f aca="false">G188-H188</f>
        <v>102.52140775</v>
      </c>
      <c r="J188" s="545" t="n">
        <f aca="false">H188/G188</f>
        <v>0</v>
      </c>
      <c r="K188" s="546" t="n">
        <f aca="false">E188+E189+F188+F189</f>
        <v>136.694877</v>
      </c>
      <c r="L188" s="463" t="n">
        <f aca="false">H188+H189</f>
        <v>0</v>
      </c>
      <c r="M188" s="546" t="n">
        <f aca="false">K188-L188</f>
        <v>136.694877</v>
      </c>
      <c r="N188" s="325" t="n">
        <f aca="false">L188/K188</f>
        <v>0</v>
      </c>
    </row>
    <row r="189" customFormat="false" ht="15" hidden="false" customHeight="true" outlineLevel="0" collapsed="false">
      <c r="A189" s="538"/>
      <c r="B189" s="549"/>
      <c r="C189" s="290" t="n">
        <v>41487</v>
      </c>
      <c r="D189" s="291" t="n">
        <v>42004</v>
      </c>
      <c r="E189" s="292" t="n">
        <v>17.815</v>
      </c>
      <c r="F189" s="94" t="n">
        <f aca="false">16.35846925</f>
        <v>16.35846925</v>
      </c>
      <c r="G189" s="293" t="n">
        <f aca="false">E189+F189+I188</f>
        <v>136.694877</v>
      </c>
      <c r="H189" s="551"/>
      <c r="I189" s="544" t="n">
        <f aca="false">G189-H189</f>
        <v>136.694877</v>
      </c>
      <c r="J189" s="545" t="n">
        <f aca="false">H189/G189</f>
        <v>0</v>
      </c>
      <c r="K189" s="546"/>
      <c r="L189" s="463"/>
      <c r="M189" s="546"/>
      <c r="N189" s="325"/>
    </row>
    <row r="190" customFormat="false" ht="15" hidden="false" customHeight="true" outlineLevel="0" collapsed="false">
      <c r="A190" s="538"/>
      <c r="B190" s="358" t="s">
        <v>201</v>
      </c>
      <c r="C190" s="254" t="n">
        <v>41640</v>
      </c>
      <c r="D190" s="255" t="n">
        <v>41851</v>
      </c>
      <c r="E190" s="256" t="n">
        <v>48.082</v>
      </c>
      <c r="F190" s="492" t="n">
        <f aca="false">-48.082</f>
        <v>-48.082</v>
      </c>
      <c r="G190" s="89" t="n">
        <f aca="false">E190+F190</f>
        <v>0</v>
      </c>
      <c r="H190" s="525" t="n">
        <v>0</v>
      </c>
      <c r="I190" s="539" t="n">
        <f aca="false">G190-H190</f>
        <v>0</v>
      </c>
      <c r="J190" s="540" t="e">
        <f aca="false">H190/G190</f>
        <v>#DIV/0!</v>
      </c>
      <c r="K190" s="463" t="n">
        <f aca="false">E190+E191+F190+F191</f>
        <v>0.00100000000000833</v>
      </c>
      <c r="L190" s="463" t="n">
        <f aca="false">H190+H191</f>
        <v>0</v>
      </c>
      <c r="M190" s="463" t="n">
        <f aca="false">K190-L190</f>
        <v>0.00100000000000833</v>
      </c>
      <c r="N190" s="307" t="n">
        <f aca="false">L190/K190</f>
        <v>0</v>
      </c>
    </row>
    <row r="191" customFormat="false" ht="15" hidden="false" customHeight="true" outlineLevel="0" collapsed="false">
      <c r="A191" s="538"/>
      <c r="B191" s="358"/>
      <c r="C191" s="268" t="n">
        <v>41487</v>
      </c>
      <c r="D191" s="269" t="n">
        <v>42004</v>
      </c>
      <c r="E191" s="270" t="n">
        <v>16.027</v>
      </c>
      <c r="F191" s="480" t="n">
        <f aca="false">-16.026</f>
        <v>-16.026</v>
      </c>
      <c r="G191" s="88" t="n">
        <f aca="false">E191+F191+I190</f>
        <v>0.00100000000000122</v>
      </c>
      <c r="H191" s="526"/>
      <c r="I191" s="541" t="n">
        <f aca="false">G191-H191</f>
        <v>0.00100000000000122</v>
      </c>
      <c r="J191" s="542" t="n">
        <f aca="false">H191/G191</f>
        <v>0</v>
      </c>
      <c r="K191" s="463"/>
      <c r="L191" s="463"/>
      <c r="M191" s="463"/>
      <c r="N191" s="307"/>
    </row>
    <row r="192" customFormat="false" ht="15" hidden="false" customHeight="true" outlineLevel="0" collapsed="false">
      <c r="A192" s="538"/>
      <c r="B192" s="549" t="s">
        <v>238</v>
      </c>
      <c r="C192" s="290" t="n">
        <v>41640</v>
      </c>
      <c r="D192" s="291" t="n">
        <v>41851</v>
      </c>
      <c r="E192" s="292" t="n">
        <v>116.756</v>
      </c>
      <c r="F192" s="506" t="n">
        <f aca="false">-116.756</f>
        <v>-116.756</v>
      </c>
      <c r="G192" s="293" t="n">
        <f aca="false">E192+F192</f>
        <v>0</v>
      </c>
      <c r="H192" s="551"/>
      <c r="I192" s="544" t="n">
        <f aca="false">G192-H192</f>
        <v>0</v>
      </c>
      <c r="J192" s="545" t="e">
        <f aca="false">H192/G192</f>
        <v>#DIV/0!</v>
      </c>
      <c r="K192" s="546" t="n">
        <f aca="false">E192+E193+F192+F193</f>
        <v>0</v>
      </c>
      <c r="L192" s="463" t="n">
        <f aca="false">H192+H193</f>
        <v>0</v>
      </c>
      <c r="M192" s="546" t="n">
        <f aca="false">K192-L192</f>
        <v>0</v>
      </c>
      <c r="N192" s="325" t="e">
        <f aca="false">L192/K192</f>
        <v>#DIV/0!</v>
      </c>
    </row>
    <row r="193" customFormat="false" ht="15" hidden="false" customHeight="true" outlineLevel="0" collapsed="false">
      <c r="A193" s="538"/>
      <c r="B193" s="549"/>
      <c r="C193" s="290" t="n">
        <v>41487</v>
      </c>
      <c r="D193" s="291" t="n">
        <v>42004</v>
      </c>
      <c r="E193" s="292" t="n">
        <v>38.919</v>
      </c>
      <c r="F193" s="506" t="n">
        <f aca="false">-38.919</f>
        <v>-38.919</v>
      </c>
      <c r="G193" s="293" t="n">
        <f aca="false">E193+F193+I192</f>
        <v>0</v>
      </c>
      <c r="H193" s="551"/>
      <c r="I193" s="544" t="n">
        <f aca="false">G193-H193</f>
        <v>0</v>
      </c>
      <c r="J193" s="545" t="e">
        <f aca="false">H193/G193</f>
        <v>#DIV/0!</v>
      </c>
      <c r="K193" s="546"/>
      <c r="L193" s="463"/>
      <c r="M193" s="546"/>
      <c r="N193" s="325"/>
    </row>
    <row r="194" customFormat="false" ht="15" hidden="false" customHeight="true" outlineLevel="0" collapsed="false">
      <c r="A194" s="538"/>
      <c r="B194" s="358" t="s">
        <v>239</v>
      </c>
      <c r="C194" s="254" t="n">
        <v>41640</v>
      </c>
      <c r="D194" s="255" t="n">
        <v>41851</v>
      </c>
      <c r="E194" s="256" t="n">
        <v>138.466</v>
      </c>
      <c r="F194" s="256"/>
      <c r="G194" s="89" t="n">
        <f aca="false">E194+F194</f>
        <v>138.466</v>
      </c>
      <c r="H194" s="525" t="n">
        <v>39.794</v>
      </c>
      <c r="I194" s="539" t="n">
        <f aca="false">G194-H194</f>
        <v>98.672</v>
      </c>
      <c r="J194" s="540" t="n">
        <f aca="false">H194/G194</f>
        <v>0.287391850707033</v>
      </c>
      <c r="K194" s="534" t="n">
        <f aca="false">E194+E195+F194+F195</f>
        <v>44.621</v>
      </c>
      <c r="L194" s="463" t="n">
        <f aca="false">H194+H195</f>
        <v>39.794</v>
      </c>
      <c r="M194" s="534" t="n">
        <f aca="false">K194-L194</f>
        <v>4.82700000000001</v>
      </c>
      <c r="N194" s="289" t="n">
        <f aca="false">L194/K194</f>
        <v>0.891822236166827</v>
      </c>
    </row>
    <row r="195" customFormat="false" ht="15" hidden="false" customHeight="true" outlineLevel="0" collapsed="false">
      <c r="A195" s="538"/>
      <c r="B195" s="358"/>
      <c r="C195" s="268" t="n">
        <v>41487</v>
      </c>
      <c r="D195" s="269" t="n">
        <v>42004</v>
      </c>
      <c r="E195" s="270" t="n">
        <v>46.155</v>
      </c>
      <c r="F195" s="506" t="n">
        <f aca="false">-140</f>
        <v>-140</v>
      </c>
      <c r="G195" s="88" t="n">
        <f aca="false">E195+F195+I194</f>
        <v>4.82700000000001</v>
      </c>
      <c r="H195" s="526"/>
      <c r="I195" s="541" t="n">
        <f aca="false">G195-H195</f>
        <v>4.82700000000001</v>
      </c>
      <c r="J195" s="545" t="n">
        <f aca="false">H195/G195</f>
        <v>0</v>
      </c>
      <c r="K195" s="534"/>
      <c r="L195" s="463"/>
      <c r="M195" s="534"/>
      <c r="N195" s="289"/>
    </row>
    <row r="196" customFormat="false" ht="15" hidden="false" customHeight="true" outlineLevel="0" collapsed="false">
      <c r="A196" s="538"/>
      <c r="B196" s="359" t="s">
        <v>220</v>
      </c>
      <c r="C196" s="254" t="n">
        <v>41640</v>
      </c>
      <c r="D196" s="255" t="n">
        <v>41851</v>
      </c>
      <c r="E196" s="256" t="n">
        <v>0</v>
      </c>
      <c r="F196" s="100" t="n">
        <f aca="false">10</f>
        <v>10</v>
      </c>
      <c r="G196" s="89" t="n">
        <f aca="false">E196+F196</f>
        <v>10</v>
      </c>
      <c r="H196" s="525"/>
      <c r="I196" s="552" t="n">
        <f aca="false">G196-H196</f>
        <v>10</v>
      </c>
      <c r="J196" s="553" t="n">
        <f aca="false">H196/G196</f>
        <v>0</v>
      </c>
      <c r="K196" s="554" t="n">
        <f aca="false">E196+E197+F196+F197</f>
        <v>10</v>
      </c>
      <c r="L196" s="463" t="n">
        <f aca="false">H196+H197</f>
        <v>0.035</v>
      </c>
      <c r="M196" s="554" t="n">
        <f aca="false">K196-L196</f>
        <v>9.965</v>
      </c>
      <c r="N196" s="555" t="n">
        <f aca="false">L196/K196</f>
        <v>0.0035</v>
      </c>
    </row>
    <row r="197" customFormat="false" ht="15" hidden="false" customHeight="true" outlineLevel="0" collapsed="false">
      <c r="A197" s="538"/>
      <c r="B197" s="359"/>
      <c r="C197" s="268" t="n">
        <v>41487</v>
      </c>
      <c r="D197" s="269" t="n">
        <v>42004</v>
      </c>
      <c r="E197" s="270" t="n">
        <v>0</v>
      </c>
      <c r="F197" s="270"/>
      <c r="G197" s="88" t="n">
        <f aca="false">E197+F197+I196</f>
        <v>10</v>
      </c>
      <c r="H197" s="526" t="n">
        <v>0.035</v>
      </c>
      <c r="I197" s="556" t="n">
        <f aca="false">G197-H197</f>
        <v>9.965</v>
      </c>
      <c r="J197" s="557" t="n">
        <f aca="false">H197/G197</f>
        <v>0.0035</v>
      </c>
      <c r="K197" s="554"/>
      <c r="L197" s="463"/>
      <c r="M197" s="554"/>
      <c r="N197" s="555"/>
    </row>
    <row r="198" customFormat="false" ht="14.4" hidden="false" customHeight="true" outlineLevel="0" collapsed="false">
      <c r="A198" s="538"/>
      <c r="B198" s="359" t="s">
        <v>240</v>
      </c>
      <c r="C198" s="254" t="n">
        <v>41640</v>
      </c>
      <c r="D198" s="255" t="n">
        <v>41851</v>
      </c>
      <c r="E198" s="558" t="n">
        <v>0</v>
      </c>
      <c r="F198" s="559" t="n">
        <f aca="false">0.177+0.111+0.111</f>
        <v>0.399</v>
      </c>
      <c r="G198" s="512" t="n">
        <f aca="false">E198+F198</f>
        <v>0.399</v>
      </c>
      <c r="H198" s="560"/>
      <c r="I198" s="561" t="n">
        <f aca="false">G198-H198</f>
        <v>0.399</v>
      </c>
      <c r="J198" s="553" t="n">
        <f aca="false">H198/G198</f>
        <v>0</v>
      </c>
      <c r="K198" s="554" t="n">
        <f aca="false">E198+E199+F198+F199</f>
        <v>0.399</v>
      </c>
      <c r="L198" s="463" t="n">
        <f aca="false">H198+H199</f>
        <v>0</v>
      </c>
      <c r="M198" s="554" t="n">
        <f aca="false">K198-L198</f>
        <v>0.399</v>
      </c>
      <c r="N198" s="555" t="n">
        <f aca="false">L198/K198</f>
        <v>0</v>
      </c>
    </row>
    <row r="199" customFormat="false" ht="14.4" hidden="false" customHeight="false" outlineLevel="0" collapsed="false">
      <c r="A199" s="538"/>
      <c r="B199" s="359"/>
      <c r="C199" s="268" t="n">
        <v>41487</v>
      </c>
      <c r="D199" s="269" t="n">
        <v>42004</v>
      </c>
      <c r="E199" s="562" t="n">
        <v>0</v>
      </c>
      <c r="F199" s="563"/>
      <c r="G199" s="513" t="n">
        <f aca="false">E199+F199+I198</f>
        <v>0.399</v>
      </c>
      <c r="H199" s="564"/>
      <c r="I199" s="565" t="n">
        <f aca="false">G199-H199</f>
        <v>0.399</v>
      </c>
      <c r="J199" s="557" t="n">
        <f aca="false">H199/G199</f>
        <v>0</v>
      </c>
      <c r="K199" s="554"/>
      <c r="L199" s="463"/>
      <c r="M199" s="554"/>
      <c r="N199" s="555"/>
    </row>
    <row r="200" customFormat="false" ht="14.4" hidden="false" customHeight="true" outlineLevel="0" collapsed="false">
      <c r="A200" s="538"/>
      <c r="B200" s="359" t="s">
        <v>164</v>
      </c>
      <c r="C200" s="254" t="n">
        <v>41640</v>
      </c>
      <c r="D200" s="255" t="n">
        <v>41851</v>
      </c>
      <c r="E200" s="558" t="n">
        <v>0</v>
      </c>
      <c r="F200" s="559" t="n">
        <f aca="false">0.11166</f>
        <v>0.11166</v>
      </c>
      <c r="G200" s="512" t="n">
        <f aca="false">E200+F200</f>
        <v>0.11166</v>
      </c>
      <c r="H200" s="525" t="n">
        <v>0.013</v>
      </c>
      <c r="I200" s="566" t="n">
        <f aca="false">G200-H200</f>
        <v>0.09866</v>
      </c>
      <c r="J200" s="553" t="n">
        <f aca="false">H200/G200</f>
        <v>0.116424861185742</v>
      </c>
      <c r="K200" s="567" t="n">
        <f aca="false">E200+E201+F200+F201</f>
        <v>0.11166</v>
      </c>
      <c r="L200" s="463" t="n">
        <f aca="false">H200+H201</f>
        <v>0.013</v>
      </c>
      <c r="M200" s="567" t="n">
        <f aca="false">K200-L200</f>
        <v>0.09866</v>
      </c>
      <c r="N200" s="568" t="n">
        <f aca="false">L200/K200</f>
        <v>0.116424861185742</v>
      </c>
    </row>
    <row r="201" customFormat="false" ht="14.4" hidden="false" customHeight="false" outlineLevel="0" collapsed="false">
      <c r="A201" s="538"/>
      <c r="B201" s="359"/>
      <c r="C201" s="268" t="n">
        <v>41487</v>
      </c>
      <c r="D201" s="269" t="n">
        <v>42004</v>
      </c>
      <c r="E201" s="562" t="n">
        <v>0</v>
      </c>
      <c r="F201" s="569"/>
      <c r="G201" s="513" t="n">
        <f aca="false">E201+F201+I200</f>
        <v>0.09866</v>
      </c>
      <c r="H201" s="564"/>
      <c r="I201" s="570" t="n">
        <f aca="false">G201-H201</f>
        <v>0.09866</v>
      </c>
      <c r="J201" s="571" t="n">
        <f aca="false">H201/G201</f>
        <v>0</v>
      </c>
      <c r="K201" s="567"/>
      <c r="L201" s="463"/>
      <c r="M201" s="567"/>
      <c r="N201" s="568"/>
    </row>
    <row r="202" customFormat="false" ht="14.4" hidden="false" customHeight="true" outlineLevel="0" collapsed="false">
      <c r="A202" s="538"/>
      <c r="B202" s="359" t="s">
        <v>223</v>
      </c>
      <c r="C202" s="254" t="n">
        <v>41640</v>
      </c>
      <c r="D202" s="255" t="n">
        <v>41851</v>
      </c>
      <c r="E202" s="558" t="n">
        <v>0</v>
      </c>
      <c r="F202" s="559" t="n">
        <f aca="false">0.111-0.111</f>
        <v>0</v>
      </c>
      <c r="G202" s="512" t="n">
        <f aca="false">E202+F202</f>
        <v>0</v>
      </c>
      <c r="H202" s="560"/>
      <c r="I202" s="572" t="n">
        <f aca="false">G202-H202</f>
        <v>0</v>
      </c>
      <c r="J202" s="553" t="e">
        <f aca="false">H202/G202</f>
        <v>#DIV/0!</v>
      </c>
      <c r="K202" s="554" t="n">
        <f aca="false">E202+E203+F202+F203</f>
        <v>0</v>
      </c>
      <c r="L202" s="463" t="n">
        <f aca="false">H202+H203</f>
        <v>0</v>
      </c>
      <c r="M202" s="554" t="n">
        <f aca="false">K202-L202</f>
        <v>0</v>
      </c>
      <c r="N202" s="555" t="e">
        <f aca="false">L202/K202</f>
        <v>#DIV/0!</v>
      </c>
    </row>
    <row r="203" customFormat="false" ht="14.4" hidden="false" customHeight="false" outlineLevel="0" collapsed="false">
      <c r="A203" s="538"/>
      <c r="B203" s="359"/>
      <c r="C203" s="268" t="n">
        <v>41487</v>
      </c>
      <c r="D203" s="269" t="n">
        <v>42004</v>
      </c>
      <c r="E203" s="562" t="n">
        <v>0</v>
      </c>
      <c r="F203" s="569"/>
      <c r="G203" s="513" t="n">
        <f aca="false">E203+F203+I202</f>
        <v>0</v>
      </c>
      <c r="H203" s="564"/>
      <c r="I203" s="573" t="n">
        <f aca="false">G203-H203</f>
        <v>0</v>
      </c>
      <c r="J203" s="557" t="e">
        <f aca="false">H203/G203</f>
        <v>#DIV/0!</v>
      </c>
      <c r="K203" s="554"/>
      <c r="L203" s="463"/>
      <c r="M203" s="554"/>
      <c r="N203" s="555"/>
    </row>
    <row r="204" customFormat="false" ht="14.4" hidden="false" customHeight="true" outlineLevel="0" collapsed="false">
      <c r="A204" s="538"/>
      <c r="B204" s="359" t="s">
        <v>161</v>
      </c>
      <c r="C204" s="254" t="n">
        <v>41640</v>
      </c>
      <c r="D204" s="255" t="n">
        <v>41851</v>
      </c>
      <c r="E204" s="558" t="n">
        <v>0</v>
      </c>
      <c r="F204" s="574" t="n">
        <f aca="false">0.111-0.111</f>
        <v>0</v>
      </c>
      <c r="G204" s="512" t="n">
        <f aca="false">E204+F204</f>
        <v>0</v>
      </c>
      <c r="H204" s="560"/>
      <c r="I204" s="566" t="n">
        <f aca="false">G204-H204</f>
        <v>0</v>
      </c>
      <c r="J204" s="553" t="e">
        <f aca="false">H204/G204</f>
        <v>#DIV/0!</v>
      </c>
      <c r="K204" s="554" t="n">
        <f aca="false">E204+E205+F204+F205</f>
        <v>0</v>
      </c>
      <c r="L204" s="463" t="n">
        <f aca="false">H204+H205</f>
        <v>0</v>
      </c>
      <c r="M204" s="554" t="n">
        <f aca="false">K204-L204</f>
        <v>0</v>
      </c>
      <c r="N204" s="555" t="e">
        <f aca="false">L204/K204</f>
        <v>#DIV/0!</v>
      </c>
    </row>
    <row r="205" customFormat="false" ht="14.4" hidden="false" customHeight="false" outlineLevel="0" collapsed="false">
      <c r="A205" s="538"/>
      <c r="B205" s="359"/>
      <c r="C205" s="268" t="n">
        <v>41487</v>
      </c>
      <c r="D205" s="269" t="n">
        <v>42004</v>
      </c>
      <c r="E205" s="562" t="n">
        <v>0</v>
      </c>
      <c r="F205" s="569"/>
      <c r="G205" s="513" t="n">
        <f aca="false">E205+F205+I204</f>
        <v>0</v>
      </c>
      <c r="H205" s="564"/>
      <c r="I205" s="570" t="n">
        <f aca="false">G205-H205</f>
        <v>0</v>
      </c>
      <c r="J205" s="557" t="e">
        <f aca="false">H205/G205</f>
        <v>#DIV/0!</v>
      </c>
      <c r="K205" s="554"/>
      <c r="L205" s="463"/>
      <c r="M205" s="554"/>
      <c r="N205" s="555"/>
    </row>
    <row r="206" customFormat="false" ht="14.4" hidden="false" customHeight="true" outlineLevel="0" collapsed="false">
      <c r="A206" s="538"/>
      <c r="B206" s="359" t="s">
        <v>241</v>
      </c>
      <c r="C206" s="254" t="n">
        <v>41640</v>
      </c>
      <c r="D206" s="255" t="n">
        <v>41851</v>
      </c>
      <c r="E206" s="558" t="n">
        <v>0</v>
      </c>
      <c r="F206" s="575" t="n">
        <f aca="false">2599.833+1000+2474.344-0.78162-0.11166-0.1117-0.112-0.1117</f>
        <v>6072.94832</v>
      </c>
      <c r="G206" s="512" t="n">
        <f aca="false">E206+F206</f>
        <v>6072.94832</v>
      </c>
      <c r="H206" s="525" t="n">
        <v>6273.516</v>
      </c>
      <c r="I206" s="572" t="n">
        <f aca="false">G206-H206</f>
        <v>-200.56768</v>
      </c>
      <c r="J206" s="553" t="n">
        <f aca="false">H206/G206</f>
        <v>1.03302640981473</v>
      </c>
      <c r="K206" s="554" t="n">
        <f aca="false">E206+E207+F206+F207</f>
        <v>8498.16032</v>
      </c>
      <c r="L206" s="463" t="n">
        <f aca="false">H206+H207</f>
        <v>8416.578</v>
      </c>
      <c r="M206" s="554" t="n">
        <f aca="false">K206-L206</f>
        <v>81.5823199999995</v>
      </c>
      <c r="N206" s="576" t="n">
        <f aca="false">L206/K206</f>
        <v>0.990400002244251</v>
      </c>
    </row>
    <row r="207" customFormat="false" ht="14.4" hidden="false" customHeight="false" outlineLevel="0" collapsed="false">
      <c r="A207" s="538"/>
      <c r="B207" s="359"/>
      <c r="C207" s="268" t="n">
        <v>41487</v>
      </c>
      <c r="D207" s="269" t="n">
        <v>42004</v>
      </c>
      <c r="E207" s="562" t="n">
        <v>0</v>
      </c>
      <c r="F207" s="577" t="n">
        <f aca="false">866.611+824.651+744-10.05</f>
        <v>2425.212</v>
      </c>
      <c r="G207" s="513" t="n">
        <f aca="false">E207+F207+I206</f>
        <v>2224.64432</v>
      </c>
      <c r="H207" s="526" t="n">
        <v>2143.062</v>
      </c>
      <c r="I207" s="573" t="n">
        <f aca="false">G207-H207</f>
        <v>81.5823199999995</v>
      </c>
      <c r="J207" s="557" t="n">
        <f aca="false">H207/G207</f>
        <v>0.963327926506472</v>
      </c>
      <c r="K207" s="554"/>
      <c r="L207" s="463"/>
      <c r="M207" s="554"/>
      <c r="N207" s="576"/>
    </row>
    <row r="208" customFormat="false" ht="14.4" hidden="false" customHeight="true" outlineLevel="0" collapsed="false">
      <c r="A208" s="538"/>
      <c r="B208" s="359" t="s">
        <v>242</v>
      </c>
      <c r="C208" s="254" t="n">
        <v>41640</v>
      </c>
      <c r="D208" s="255" t="n">
        <v>41851</v>
      </c>
      <c r="E208" s="558" t="n">
        <v>0</v>
      </c>
      <c r="F208" s="559" t="n">
        <f aca="false">0.78162</f>
        <v>0.78162</v>
      </c>
      <c r="G208" s="512" t="n">
        <f aca="false">E208+F208</f>
        <v>0.78162</v>
      </c>
      <c r="H208" s="525" t="n">
        <v>0.04</v>
      </c>
      <c r="I208" s="572" t="n">
        <f aca="false">G208-H208</f>
        <v>0.74162</v>
      </c>
      <c r="J208" s="553" t="n">
        <f aca="false">H208/G208</f>
        <v>0.0511757631585681</v>
      </c>
      <c r="K208" s="554" t="n">
        <f aca="false">E208+E209+F208+F209</f>
        <v>10.83162</v>
      </c>
      <c r="L208" s="463" t="n">
        <f aca="false">H208+H209</f>
        <v>1.767</v>
      </c>
      <c r="M208" s="554" t="n">
        <f aca="false">K208-L208</f>
        <v>9.06462</v>
      </c>
      <c r="N208" s="555" t="n">
        <f aca="false">L208/K208</f>
        <v>0.163133492496967</v>
      </c>
    </row>
    <row r="209" customFormat="false" ht="14.4" hidden="false" customHeight="false" outlineLevel="0" collapsed="false">
      <c r="A209" s="538"/>
      <c r="B209" s="359"/>
      <c r="C209" s="268" t="n">
        <v>41487</v>
      </c>
      <c r="D209" s="269" t="n">
        <v>42004</v>
      </c>
      <c r="E209" s="562" t="n">
        <v>0</v>
      </c>
      <c r="F209" s="577" t="n">
        <f aca="false">10.05</f>
        <v>10.05</v>
      </c>
      <c r="G209" s="513" t="n">
        <f aca="false">E209+F209+I208</f>
        <v>10.79162</v>
      </c>
      <c r="H209" s="526" t="n">
        <v>1.727</v>
      </c>
      <c r="I209" s="573" t="n">
        <f aca="false">G209-H209</f>
        <v>9.06462</v>
      </c>
      <c r="J209" s="557" t="n">
        <f aca="false">H209/G209</f>
        <v>0.160031580059342</v>
      </c>
      <c r="K209" s="554"/>
      <c r="L209" s="463"/>
      <c r="M209" s="554"/>
      <c r="N209" s="555"/>
    </row>
    <row r="210" customFormat="false" ht="14.4" hidden="false" customHeight="true" outlineLevel="0" collapsed="false">
      <c r="A210" s="538"/>
      <c r="B210" s="359" t="s">
        <v>170</v>
      </c>
      <c r="C210" s="254" t="n">
        <v>41640</v>
      </c>
      <c r="D210" s="255" t="n">
        <v>41851</v>
      </c>
      <c r="E210" s="458" t="n">
        <v>0</v>
      </c>
      <c r="F210" s="559" t="n">
        <f aca="false">0.11166</f>
        <v>0.11166</v>
      </c>
      <c r="G210" s="512" t="n">
        <f aca="false">E210+F210</f>
        <v>0.11166</v>
      </c>
      <c r="H210" s="525"/>
      <c r="I210" s="572" t="n">
        <f aca="false">G210-H210</f>
        <v>0.11166</v>
      </c>
      <c r="J210" s="553" t="n">
        <f aca="false">H210/G210</f>
        <v>0</v>
      </c>
      <c r="K210" s="554" t="n">
        <f aca="false">E210+E211+F210+F211</f>
        <v>0.11166</v>
      </c>
      <c r="L210" s="463" t="n">
        <f aca="false">H210+H211</f>
        <v>0</v>
      </c>
      <c r="M210" s="554" t="n">
        <f aca="false">K210-L210</f>
        <v>0.11166</v>
      </c>
      <c r="N210" s="555" t="n">
        <f aca="false">L210/K210</f>
        <v>0</v>
      </c>
    </row>
    <row r="211" customFormat="false" ht="14.4" hidden="false" customHeight="false" outlineLevel="0" collapsed="false">
      <c r="A211" s="538"/>
      <c r="B211" s="359"/>
      <c r="C211" s="268" t="n">
        <v>41487</v>
      </c>
      <c r="D211" s="269" t="n">
        <v>42004</v>
      </c>
      <c r="E211" s="464" t="n">
        <v>0</v>
      </c>
      <c r="F211" s="577"/>
      <c r="G211" s="513" t="n">
        <f aca="false">E211+F211+I210</f>
        <v>0.11166</v>
      </c>
      <c r="H211" s="564"/>
      <c r="I211" s="573" t="n">
        <f aca="false">G211-H211</f>
        <v>0.11166</v>
      </c>
      <c r="J211" s="557" t="n">
        <f aca="false">H211/G211</f>
        <v>0</v>
      </c>
      <c r="K211" s="554"/>
      <c r="L211" s="463"/>
      <c r="M211" s="554"/>
      <c r="N211" s="555"/>
    </row>
    <row r="212" customFormat="false" ht="14.4" hidden="false" customHeight="true" outlineLevel="0" collapsed="false">
      <c r="A212" s="538"/>
      <c r="B212" s="359" t="s">
        <v>169</v>
      </c>
      <c r="C212" s="254" t="n">
        <v>41640</v>
      </c>
      <c r="D212" s="255" t="n">
        <v>41851</v>
      </c>
      <c r="E212" s="458" t="n">
        <v>0</v>
      </c>
      <c r="F212" s="559" t="n">
        <f aca="false">0.1117</f>
        <v>0.1117</v>
      </c>
      <c r="G212" s="512" t="n">
        <f aca="false">E212+F212</f>
        <v>0.1117</v>
      </c>
      <c r="H212" s="525"/>
      <c r="I212" s="572" t="n">
        <f aca="false">G212-H212</f>
        <v>0.1117</v>
      </c>
      <c r="J212" s="553" t="n">
        <f aca="false">H212/G212</f>
        <v>0</v>
      </c>
      <c r="K212" s="554" t="n">
        <f aca="false">E212+E213+F212+F213</f>
        <v>0.1117</v>
      </c>
      <c r="L212" s="463" t="n">
        <f aca="false">H212+H213</f>
        <v>0</v>
      </c>
      <c r="M212" s="554" t="n">
        <f aca="false">K212-L212</f>
        <v>0.1117</v>
      </c>
      <c r="N212" s="555" t="n">
        <f aca="false">L212/K212</f>
        <v>0</v>
      </c>
    </row>
    <row r="213" customFormat="false" ht="14.4" hidden="false" customHeight="false" outlineLevel="0" collapsed="false">
      <c r="A213" s="538"/>
      <c r="B213" s="359"/>
      <c r="C213" s="268" t="n">
        <v>41487</v>
      </c>
      <c r="D213" s="269" t="n">
        <v>42004</v>
      </c>
      <c r="E213" s="464" t="n">
        <v>0</v>
      </c>
      <c r="F213" s="577"/>
      <c r="G213" s="513" t="n">
        <f aca="false">E213+F213+I212</f>
        <v>0.1117</v>
      </c>
      <c r="H213" s="564"/>
      <c r="I213" s="573" t="n">
        <f aca="false">G213-H213</f>
        <v>0.1117</v>
      </c>
      <c r="J213" s="557" t="n">
        <f aca="false">H213/G213</f>
        <v>0</v>
      </c>
      <c r="K213" s="554"/>
      <c r="L213" s="463"/>
      <c r="M213" s="554"/>
      <c r="N213" s="555"/>
    </row>
    <row r="214" customFormat="false" ht="14.4" hidden="false" customHeight="true" outlineLevel="0" collapsed="false">
      <c r="A214" s="538"/>
      <c r="B214" s="359" t="s">
        <v>204</v>
      </c>
      <c r="C214" s="254" t="n">
        <v>41640</v>
      </c>
      <c r="D214" s="255" t="n">
        <v>41851</v>
      </c>
      <c r="E214" s="458" t="n">
        <v>0</v>
      </c>
      <c r="F214" s="559" t="n">
        <f aca="false">48.028</f>
        <v>48.028</v>
      </c>
      <c r="G214" s="512" t="n">
        <f aca="false">E214+F214</f>
        <v>48.028</v>
      </c>
      <c r="H214" s="525"/>
      <c r="I214" s="572" t="n">
        <f aca="false">G214-H214</f>
        <v>48.028</v>
      </c>
      <c r="J214" s="553" t="n">
        <f aca="false">H214/G214</f>
        <v>0</v>
      </c>
      <c r="K214" s="554" t="n">
        <f aca="false">E214+E215+F214+F215</f>
        <v>-0.0560000000000045</v>
      </c>
      <c r="L214" s="463" t="n">
        <f aca="false">H214+H215</f>
        <v>0</v>
      </c>
      <c r="M214" s="554" t="n">
        <f aca="false">K214-L214</f>
        <v>-0.0560000000000045</v>
      </c>
      <c r="N214" s="555" t="n">
        <f aca="false">L214/K214</f>
        <v>-0</v>
      </c>
    </row>
    <row r="215" customFormat="false" ht="14.4" hidden="false" customHeight="false" outlineLevel="0" collapsed="false">
      <c r="A215" s="538"/>
      <c r="B215" s="359"/>
      <c r="C215" s="268" t="n">
        <v>41487</v>
      </c>
      <c r="D215" s="269" t="n">
        <v>42004</v>
      </c>
      <c r="E215" s="464" t="n">
        <v>0</v>
      </c>
      <c r="F215" s="578" t="n">
        <f aca="false">16.026-64.11</f>
        <v>-48.084</v>
      </c>
      <c r="G215" s="513" t="n">
        <f aca="false">E215+F215+I214</f>
        <v>-0.0560000000000045</v>
      </c>
      <c r="H215" s="564"/>
      <c r="I215" s="573" t="n">
        <f aca="false">G215-H215</f>
        <v>-0.0560000000000045</v>
      </c>
      <c r="J215" s="557" t="n">
        <f aca="false">H215/G215</f>
        <v>-0</v>
      </c>
      <c r="K215" s="554"/>
      <c r="L215" s="463"/>
      <c r="M215" s="554"/>
      <c r="N215" s="555"/>
    </row>
  </sheetData>
  <mergeCells count="518">
    <mergeCell ref="B2:L3"/>
    <mergeCell ref="C5:D5"/>
    <mergeCell ref="E5:G5"/>
    <mergeCell ref="H5:J5"/>
    <mergeCell ref="K5:N5"/>
    <mergeCell ref="A7:A18"/>
    <mergeCell ref="B7:B8"/>
    <mergeCell ref="K7:K8"/>
    <mergeCell ref="L7:L8"/>
    <mergeCell ref="M7:M8"/>
    <mergeCell ref="N7:N8"/>
    <mergeCell ref="B9:B10"/>
    <mergeCell ref="K9:K10"/>
    <mergeCell ref="L9:L10"/>
    <mergeCell ref="M9:M10"/>
    <mergeCell ref="N9:N10"/>
    <mergeCell ref="B11:B12"/>
    <mergeCell ref="K11:K12"/>
    <mergeCell ref="L11:L12"/>
    <mergeCell ref="M11:M12"/>
    <mergeCell ref="N11:N12"/>
    <mergeCell ref="B13:B14"/>
    <mergeCell ref="K13:K14"/>
    <mergeCell ref="L13:L14"/>
    <mergeCell ref="M13:M14"/>
    <mergeCell ref="N13:N14"/>
    <mergeCell ref="B15:B16"/>
    <mergeCell ref="K15:K16"/>
    <mergeCell ref="L15:L16"/>
    <mergeCell ref="M15:M16"/>
    <mergeCell ref="N15:N16"/>
    <mergeCell ref="B17:B18"/>
    <mergeCell ref="K17:K18"/>
    <mergeCell ref="L17:L18"/>
    <mergeCell ref="M17:M18"/>
    <mergeCell ref="N17:N18"/>
    <mergeCell ref="A20:A31"/>
    <mergeCell ref="B20:B21"/>
    <mergeCell ref="K20:K21"/>
    <mergeCell ref="L20:L21"/>
    <mergeCell ref="M20:M21"/>
    <mergeCell ref="N20:N21"/>
    <mergeCell ref="B22:B23"/>
    <mergeCell ref="K22:K23"/>
    <mergeCell ref="L22:L23"/>
    <mergeCell ref="M22:M23"/>
    <mergeCell ref="N22:N23"/>
    <mergeCell ref="B24:B25"/>
    <mergeCell ref="K24:K25"/>
    <mergeCell ref="L24:L25"/>
    <mergeCell ref="M24:M25"/>
    <mergeCell ref="N24:N25"/>
    <mergeCell ref="B26:B27"/>
    <mergeCell ref="K26:K27"/>
    <mergeCell ref="L26:L27"/>
    <mergeCell ref="M26:M27"/>
    <mergeCell ref="N26:N27"/>
    <mergeCell ref="B28:B29"/>
    <mergeCell ref="K28:K29"/>
    <mergeCell ref="L28:L29"/>
    <mergeCell ref="M28:M29"/>
    <mergeCell ref="N28:N29"/>
    <mergeCell ref="B30:B31"/>
    <mergeCell ref="K30:K31"/>
    <mergeCell ref="L30:L31"/>
    <mergeCell ref="M30:M31"/>
    <mergeCell ref="N30:N31"/>
    <mergeCell ref="A33:A46"/>
    <mergeCell ref="B33:B34"/>
    <mergeCell ref="K33:K34"/>
    <mergeCell ref="L33:L34"/>
    <mergeCell ref="M33:M34"/>
    <mergeCell ref="N33:N34"/>
    <mergeCell ref="B35:B36"/>
    <mergeCell ref="K35:K36"/>
    <mergeCell ref="L35:L36"/>
    <mergeCell ref="M35:M36"/>
    <mergeCell ref="N35:N36"/>
    <mergeCell ref="B37:B38"/>
    <mergeCell ref="K37:K38"/>
    <mergeCell ref="L37:L38"/>
    <mergeCell ref="M37:M38"/>
    <mergeCell ref="N37:N38"/>
    <mergeCell ref="B39:B40"/>
    <mergeCell ref="K39:K40"/>
    <mergeCell ref="L39:L40"/>
    <mergeCell ref="M39:M40"/>
    <mergeCell ref="N39:N40"/>
    <mergeCell ref="B41:B42"/>
    <mergeCell ref="K41:K42"/>
    <mergeCell ref="L41:L42"/>
    <mergeCell ref="M41:M42"/>
    <mergeCell ref="N41:N42"/>
    <mergeCell ref="B43:B44"/>
    <mergeCell ref="K43:K44"/>
    <mergeCell ref="L43:L44"/>
    <mergeCell ref="M43:M44"/>
    <mergeCell ref="N43:N44"/>
    <mergeCell ref="B45:B46"/>
    <mergeCell ref="K45:K46"/>
    <mergeCell ref="L45:L46"/>
    <mergeCell ref="M45:M46"/>
    <mergeCell ref="N45:N46"/>
    <mergeCell ref="A48:A59"/>
    <mergeCell ref="B48:B49"/>
    <mergeCell ref="K48:K49"/>
    <mergeCell ref="L48:L49"/>
    <mergeCell ref="M48:M49"/>
    <mergeCell ref="N48:N49"/>
    <mergeCell ref="B50:B51"/>
    <mergeCell ref="K50:K51"/>
    <mergeCell ref="L50:L51"/>
    <mergeCell ref="M50:M51"/>
    <mergeCell ref="N50:N51"/>
    <mergeCell ref="B52:B53"/>
    <mergeCell ref="K52:K53"/>
    <mergeCell ref="L52:L53"/>
    <mergeCell ref="M52:M53"/>
    <mergeCell ref="N52:N53"/>
    <mergeCell ref="B54:B55"/>
    <mergeCell ref="K54:K55"/>
    <mergeCell ref="L54:L55"/>
    <mergeCell ref="M54:M55"/>
    <mergeCell ref="N54:N55"/>
    <mergeCell ref="B56:B57"/>
    <mergeCell ref="K56:K57"/>
    <mergeCell ref="L56:L57"/>
    <mergeCell ref="M56:M57"/>
    <mergeCell ref="N56:N57"/>
    <mergeCell ref="B58:B59"/>
    <mergeCell ref="K58:K59"/>
    <mergeCell ref="L58:L59"/>
    <mergeCell ref="M58:M59"/>
    <mergeCell ref="N58:N59"/>
    <mergeCell ref="A61:A70"/>
    <mergeCell ref="B61:B62"/>
    <mergeCell ref="K61:K62"/>
    <mergeCell ref="L61:L62"/>
    <mergeCell ref="M61:M62"/>
    <mergeCell ref="N61:N62"/>
    <mergeCell ref="B63:B64"/>
    <mergeCell ref="K63:K64"/>
    <mergeCell ref="L63:L64"/>
    <mergeCell ref="M63:M64"/>
    <mergeCell ref="N63:N64"/>
    <mergeCell ref="B65:B66"/>
    <mergeCell ref="K65:K66"/>
    <mergeCell ref="L65:L66"/>
    <mergeCell ref="M65:M66"/>
    <mergeCell ref="N65:N66"/>
    <mergeCell ref="B67:B68"/>
    <mergeCell ref="K67:K68"/>
    <mergeCell ref="L67:L68"/>
    <mergeCell ref="M67:M68"/>
    <mergeCell ref="N67:N68"/>
    <mergeCell ref="B69:B70"/>
    <mergeCell ref="K69:K70"/>
    <mergeCell ref="L69:L70"/>
    <mergeCell ref="M69:M70"/>
    <mergeCell ref="N69:N70"/>
    <mergeCell ref="A72:A137"/>
    <mergeCell ref="B72:B73"/>
    <mergeCell ref="K72:K73"/>
    <mergeCell ref="L72:L73"/>
    <mergeCell ref="M72:M73"/>
    <mergeCell ref="N72:N73"/>
    <mergeCell ref="B74:B75"/>
    <mergeCell ref="K74:K75"/>
    <mergeCell ref="L74:L75"/>
    <mergeCell ref="M74:M75"/>
    <mergeCell ref="N74:N75"/>
    <mergeCell ref="B76:B77"/>
    <mergeCell ref="K76:K77"/>
    <mergeCell ref="L76:L77"/>
    <mergeCell ref="M76:M77"/>
    <mergeCell ref="N76:N77"/>
    <mergeCell ref="B78:B79"/>
    <mergeCell ref="K78:K79"/>
    <mergeCell ref="L78:L79"/>
    <mergeCell ref="M78:M79"/>
    <mergeCell ref="N78:N79"/>
    <mergeCell ref="B80:B81"/>
    <mergeCell ref="K80:K81"/>
    <mergeCell ref="L80:L81"/>
    <mergeCell ref="M80:M81"/>
    <mergeCell ref="N80:N81"/>
    <mergeCell ref="B82:B83"/>
    <mergeCell ref="K82:K83"/>
    <mergeCell ref="L82:L83"/>
    <mergeCell ref="M82:M83"/>
    <mergeCell ref="N82:N83"/>
    <mergeCell ref="B84:B85"/>
    <mergeCell ref="K84:K85"/>
    <mergeCell ref="L84:L85"/>
    <mergeCell ref="M84:M85"/>
    <mergeCell ref="N84:N85"/>
    <mergeCell ref="B86:B87"/>
    <mergeCell ref="K86:K87"/>
    <mergeCell ref="L86:L87"/>
    <mergeCell ref="M86:M87"/>
    <mergeCell ref="N86:N87"/>
    <mergeCell ref="B88:B89"/>
    <mergeCell ref="K88:K89"/>
    <mergeCell ref="L88:L89"/>
    <mergeCell ref="M88:M89"/>
    <mergeCell ref="N88:N89"/>
    <mergeCell ref="B90:B91"/>
    <mergeCell ref="K90:K91"/>
    <mergeCell ref="L90:L91"/>
    <mergeCell ref="M90:M91"/>
    <mergeCell ref="N90:N91"/>
    <mergeCell ref="B92:B93"/>
    <mergeCell ref="K92:K93"/>
    <mergeCell ref="L92:L93"/>
    <mergeCell ref="M92:M93"/>
    <mergeCell ref="N92:N93"/>
    <mergeCell ref="B94:B95"/>
    <mergeCell ref="K94:K95"/>
    <mergeCell ref="L94:L95"/>
    <mergeCell ref="M94:M95"/>
    <mergeCell ref="N94:N95"/>
    <mergeCell ref="B96:B97"/>
    <mergeCell ref="K96:K97"/>
    <mergeCell ref="L96:L97"/>
    <mergeCell ref="M96:M97"/>
    <mergeCell ref="N96:N97"/>
    <mergeCell ref="B98:B99"/>
    <mergeCell ref="K98:K99"/>
    <mergeCell ref="L98:L99"/>
    <mergeCell ref="M98:M99"/>
    <mergeCell ref="N98:N99"/>
    <mergeCell ref="B100:B101"/>
    <mergeCell ref="K100:K101"/>
    <mergeCell ref="L100:L101"/>
    <mergeCell ref="M100:M101"/>
    <mergeCell ref="N100:N101"/>
    <mergeCell ref="B102:B103"/>
    <mergeCell ref="K102:K103"/>
    <mergeCell ref="L102:L103"/>
    <mergeCell ref="M102:M103"/>
    <mergeCell ref="N102:N103"/>
    <mergeCell ref="B104:B105"/>
    <mergeCell ref="K104:K105"/>
    <mergeCell ref="L104:L105"/>
    <mergeCell ref="M104:M105"/>
    <mergeCell ref="N104:N105"/>
    <mergeCell ref="B106:B107"/>
    <mergeCell ref="K106:K107"/>
    <mergeCell ref="L106:L107"/>
    <mergeCell ref="M106:M107"/>
    <mergeCell ref="N106:N107"/>
    <mergeCell ref="B108:B109"/>
    <mergeCell ref="K108:K109"/>
    <mergeCell ref="L108:L109"/>
    <mergeCell ref="M108:M109"/>
    <mergeCell ref="N108:N109"/>
    <mergeCell ref="B110:B111"/>
    <mergeCell ref="K110:K111"/>
    <mergeCell ref="L110:L111"/>
    <mergeCell ref="M110:M111"/>
    <mergeCell ref="N110:N111"/>
    <mergeCell ref="B112:B113"/>
    <mergeCell ref="K112:K113"/>
    <mergeCell ref="L112:L113"/>
    <mergeCell ref="M112:M113"/>
    <mergeCell ref="N112:N113"/>
    <mergeCell ref="B114:B115"/>
    <mergeCell ref="K114:K115"/>
    <mergeCell ref="L114:L115"/>
    <mergeCell ref="M114:M115"/>
    <mergeCell ref="N114:N115"/>
    <mergeCell ref="B116:B117"/>
    <mergeCell ref="K116:K117"/>
    <mergeCell ref="L116:L117"/>
    <mergeCell ref="M116:M117"/>
    <mergeCell ref="N116:N117"/>
    <mergeCell ref="B118:B119"/>
    <mergeCell ref="K118:K119"/>
    <mergeCell ref="L118:L119"/>
    <mergeCell ref="M118:M119"/>
    <mergeCell ref="N118:N119"/>
    <mergeCell ref="B120:B121"/>
    <mergeCell ref="K120:K121"/>
    <mergeCell ref="L120:L121"/>
    <mergeCell ref="M120:M121"/>
    <mergeCell ref="N120:N121"/>
    <mergeCell ref="B122:B123"/>
    <mergeCell ref="K122:K123"/>
    <mergeCell ref="L122:L123"/>
    <mergeCell ref="M122:M123"/>
    <mergeCell ref="N122:N123"/>
    <mergeCell ref="B124:B125"/>
    <mergeCell ref="K124:K125"/>
    <mergeCell ref="L124:L125"/>
    <mergeCell ref="M124:M125"/>
    <mergeCell ref="N124:N125"/>
    <mergeCell ref="B126:B127"/>
    <mergeCell ref="K126:K127"/>
    <mergeCell ref="L126:L127"/>
    <mergeCell ref="M126:M127"/>
    <mergeCell ref="N126:N127"/>
    <mergeCell ref="B128:B129"/>
    <mergeCell ref="K128:K129"/>
    <mergeCell ref="L128:L129"/>
    <mergeCell ref="M128:M129"/>
    <mergeCell ref="N128:N129"/>
    <mergeCell ref="B130:B131"/>
    <mergeCell ref="K130:K131"/>
    <mergeCell ref="L130:L131"/>
    <mergeCell ref="M130:M131"/>
    <mergeCell ref="N130:N131"/>
    <mergeCell ref="B132:B133"/>
    <mergeCell ref="K132:K133"/>
    <mergeCell ref="L132:L133"/>
    <mergeCell ref="M132:M133"/>
    <mergeCell ref="N132:N133"/>
    <mergeCell ref="B134:B135"/>
    <mergeCell ref="K134:K135"/>
    <mergeCell ref="L134:L135"/>
    <mergeCell ref="M134:M135"/>
    <mergeCell ref="N134:N135"/>
    <mergeCell ref="B136:B137"/>
    <mergeCell ref="K136:K137"/>
    <mergeCell ref="L136:L137"/>
    <mergeCell ref="M136:M137"/>
    <mergeCell ref="N136:N137"/>
    <mergeCell ref="A139:A154"/>
    <mergeCell ref="B139:B140"/>
    <mergeCell ref="K139:K140"/>
    <mergeCell ref="L139:L140"/>
    <mergeCell ref="M139:M140"/>
    <mergeCell ref="N139:N140"/>
    <mergeCell ref="B141:B142"/>
    <mergeCell ref="K141:K142"/>
    <mergeCell ref="L141:L142"/>
    <mergeCell ref="M141:M142"/>
    <mergeCell ref="N141:N142"/>
    <mergeCell ref="B143:B144"/>
    <mergeCell ref="K143:K144"/>
    <mergeCell ref="L143:L144"/>
    <mergeCell ref="M143:M144"/>
    <mergeCell ref="N143:N144"/>
    <mergeCell ref="B145:B146"/>
    <mergeCell ref="K145:K146"/>
    <mergeCell ref="L145:L146"/>
    <mergeCell ref="M145:M146"/>
    <mergeCell ref="N145:N146"/>
    <mergeCell ref="B147:B148"/>
    <mergeCell ref="K147:K148"/>
    <mergeCell ref="L147:L148"/>
    <mergeCell ref="M147:M148"/>
    <mergeCell ref="N147:N148"/>
    <mergeCell ref="B149:B150"/>
    <mergeCell ref="K149:K150"/>
    <mergeCell ref="L149:L150"/>
    <mergeCell ref="M149:M150"/>
    <mergeCell ref="N149:N150"/>
    <mergeCell ref="B151:B152"/>
    <mergeCell ref="K151:K152"/>
    <mergeCell ref="L151:L152"/>
    <mergeCell ref="M151:M152"/>
    <mergeCell ref="N151:N152"/>
    <mergeCell ref="B153:B154"/>
    <mergeCell ref="K153:K154"/>
    <mergeCell ref="L153:L154"/>
    <mergeCell ref="M153:M154"/>
    <mergeCell ref="N153:N154"/>
    <mergeCell ref="A156:A215"/>
    <mergeCell ref="B156:B157"/>
    <mergeCell ref="K156:K157"/>
    <mergeCell ref="L156:L157"/>
    <mergeCell ref="M156:M157"/>
    <mergeCell ref="N156:N157"/>
    <mergeCell ref="B158:B159"/>
    <mergeCell ref="K158:K159"/>
    <mergeCell ref="L158:L159"/>
    <mergeCell ref="M158:M159"/>
    <mergeCell ref="N158:N159"/>
    <mergeCell ref="B160:B161"/>
    <mergeCell ref="K160:K161"/>
    <mergeCell ref="L160:L161"/>
    <mergeCell ref="M160:M161"/>
    <mergeCell ref="N160:N161"/>
    <mergeCell ref="B162:B163"/>
    <mergeCell ref="K162:K163"/>
    <mergeCell ref="L162:L163"/>
    <mergeCell ref="M162:M163"/>
    <mergeCell ref="N162:N163"/>
    <mergeCell ref="B164:B165"/>
    <mergeCell ref="K164:K165"/>
    <mergeCell ref="L164:L165"/>
    <mergeCell ref="M164:M165"/>
    <mergeCell ref="N164:N165"/>
    <mergeCell ref="B166:B167"/>
    <mergeCell ref="K166:K167"/>
    <mergeCell ref="L166:L167"/>
    <mergeCell ref="M166:M167"/>
    <mergeCell ref="N166:N167"/>
    <mergeCell ref="B168:B169"/>
    <mergeCell ref="K168:K169"/>
    <mergeCell ref="L168:L169"/>
    <mergeCell ref="M168:M169"/>
    <mergeCell ref="N168:N169"/>
    <mergeCell ref="B170:B171"/>
    <mergeCell ref="K170:K171"/>
    <mergeCell ref="L170:L171"/>
    <mergeCell ref="M170:M171"/>
    <mergeCell ref="N170:N171"/>
    <mergeCell ref="B172:B173"/>
    <mergeCell ref="K172:K173"/>
    <mergeCell ref="L172:L173"/>
    <mergeCell ref="M172:M173"/>
    <mergeCell ref="N172:N173"/>
    <mergeCell ref="B174:B175"/>
    <mergeCell ref="K174:K175"/>
    <mergeCell ref="L174:L175"/>
    <mergeCell ref="M174:M175"/>
    <mergeCell ref="N174:N175"/>
    <mergeCell ref="B176:B177"/>
    <mergeCell ref="K176:K177"/>
    <mergeCell ref="L176:L177"/>
    <mergeCell ref="M176:M177"/>
    <mergeCell ref="N176:N177"/>
    <mergeCell ref="B178:B179"/>
    <mergeCell ref="K178:K179"/>
    <mergeCell ref="L178:L179"/>
    <mergeCell ref="M178:M179"/>
    <mergeCell ref="N178:N179"/>
    <mergeCell ref="B180:B181"/>
    <mergeCell ref="K180:K181"/>
    <mergeCell ref="L180:L181"/>
    <mergeCell ref="M180:M181"/>
    <mergeCell ref="N180:N181"/>
    <mergeCell ref="B182:B183"/>
    <mergeCell ref="K182:K183"/>
    <mergeCell ref="L182:L183"/>
    <mergeCell ref="M182:M183"/>
    <mergeCell ref="N182:N183"/>
    <mergeCell ref="B184:B185"/>
    <mergeCell ref="K184:K185"/>
    <mergeCell ref="L184:L185"/>
    <mergeCell ref="M184:M185"/>
    <mergeCell ref="N184:N185"/>
    <mergeCell ref="B186:B187"/>
    <mergeCell ref="K186:K187"/>
    <mergeCell ref="L186:L187"/>
    <mergeCell ref="M186:M187"/>
    <mergeCell ref="N186:N187"/>
    <mergeCell ref="B188:B189"/>
    <mergeCell ref="K188:K189"/>
    <mergeCell ref="L188:L189"/>
    <mergeCell ref="M188:M189"/>
    <mergeCell ref="N188:N189"/>
    <mergeCell ref="B190:B191"/>
    <mergeCell ref="K190:K191"/>
    <mergeCell ref="L190:L191"/>
    <mergeCell ref="M190:M191"/>
    <mergeCell ref="N190:N191"/>
    <mergeCell ref="B192:B193"/>
    <mergeCell ref="K192:K193"/>
    <mergeCell ref="L192:L193"/>
    <mergeCell ref="M192:M193"/>
    <mergeCell ref="N192:N193"/>
    <mergeCell ref="B194:B195"/>
    <mergeCell ref="K194:K195"/>
    <mergeCell ref="L194:L195"/>
    <mergeCell ref="M194:M195"/>
    <mergeCell ref="N194:N195"/>
    <mergeCell ref="B196:B197"/>
    <mergeCell ref="K196:K197"/>
    <mergeCell ref="L196:L197"/>
    <mergeCell ref="M196:M197"/>
    <mergeCell ref="N196:N197"/>
    <mergeCell ref="B198:B199"/>
    <mergeCell ref="K198:K199"/>
    <mergeCell ref="L198:L199"/>
    <mergeCell ref="M198:M199"/>
    <mergeCell ref="N198:N199"/>
    <mergeCell ref="B200:B201"/>
    <mergeCell ref="K200:K201"/>
    <mergeCell ref="L200:L201"/>
    <mergeCell ref="M200:M201"/>
    <mergeCell ref="N200:N201"/>
    <mergeCell ref="B202:B203"/>
    <mergeCell ref="K202:K203"/>
    <mergeCell ref="L202:L203"/>
    <mergeCell ref="M202:M203"/>
    <mergeCell ref="N202:N203"/>
    <mergeCell ref="B204:B205"/>
    <mergeCell ref="K204:K205"/>
    <mergeCell ref="L204:L205"/>
    <mergeCell ref="M204:M205"/>
    <mergeCell ref="N204:N205"/>
    <mergeCell ref="B206:B207"/>
    <mergeCell ref="K206:K207"/>
    <mergeCell ref="L206:L207"/>
    <mergeCell ref="M206:M207"/>
    <mergeCell ref="N206:N207"/>
    <mergeCell ref="B208:B209"/>
    <mergeCell ref="K208:K209"/>
    <mergeCell ref="L208:L209"/>
    <mergeCell ref="M208:M209"/>
    <mergeCell ref="N208:N209"/>
    <mergeCell ref="B210:B211"/>
    <mergeCell ref="K210:K211"/>
    <mergeCell ref="L210:L211"/>
    <mergeCell ref="M210:M211"/>
    <mergeCell ref="N210:N211"/>
    <mergeCell ref="B212:B213"/>
    <mergeCell ref="K212:K213"/>
    <mergeCell ref="L212:L213"/>
    <mergeCell ref="M212:M213"/>
    <mergeCell ref="N212:N213"/>
    <mergeCell ref="B214:B215"/>
    <mergeCell ref="K214:K215"/>
    <mergeCell ref="L214:L215"/>
    <mergeCell ref="M214:M215"/>
    <mergeCell ref="N214:N21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3:M59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G52" activeCellId="0" sqref="G52:G54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24.1"/>
    <col collapsed="false" customWidth="true" hidden="false" outlineLevel="0" max="4" min="4" style="0" width="21.99"/>
    <col collapsed="false" customWidth="true" hidden="false" outlineLevel="0" max="7" min="7" style="0" width="14.87"/>
    <col collapsed="false" customWidth="true" hidden="false" outlineLevel="0" max="10" min="10" style="0" width="14.87"/>
    <col collapsed="false" customWidth="true" hidden="false" outlineLevel="0" max="11" min="11" style="0" width="12.43"/>
    <col collapsed="false" customWidth="true" hidden="false" outlineLevel="0" max="12" min="12" style="0" width="16.1"/>
  </cols>
  <sheetData>
    <row r="3" customFormat="false" ht="18.75" hidden="false" customHeight="true" outlineLevel="0" collapsed="false">
      <c r="A3" s="579" t="s">
        <v>243</v>
      </c>
      <c r="B3" s="579"/>
      <c r="C3" s="579"/>
      <c r="D3" s="579"/>
      <c r="E3" s="579"/>
      <c r="F3" s="579"/>
      <c r="G3" s="579"/>
      <c r="H3" s="579"/>
      <c r="I3" s="579"/>
      <c r="J3" s="579"/>
    </row>
    <row r="4" customFormat="false" ht="17.25" hidden="false" customHeight="true" outlineLevel="0" collapsed="false">
      <c r="A4" s="580" t="s">
        <v>244</v>
      </c>
      <c r="B4" s="580"/>
      <c r="C4" s="580"/>
      <c r="D4" s="580"/>
      <c r="E4" s="580"/>
      <c r="F4" s="580"/>
      <c r="G4" s="580"/>
      <c r="H4" s="580"/>
      <c r="I4" s="580"/>
      <c r="J4" s="580"/>
    </row>
    <row r="5" customFormat="false" ht="15" hidden="false" customHeight="false" outlineLevel="0" collapsed="false">
      <c r="A5" s="581"/>
      <c r="B5" s="581"/>
      <c r="C5" s="581"/>
      <c r="D5" s="581"/>
      <c r="E5" s="581"/>
      <c r="F5" s="581"/>
      <c r="G5" s="581"/>
      <c r="H5" s="581"/>
      <c r="I5" s="581"/>
      <c r="J5" s="581"/>
    </row>
    <row r="6" customFormat="false" ht="15.75" hidden="false" customHeight="true" outlineLevel="0" collapsed="false">
      <c r="A6" s="582" t="s">
        <v>3</v>
      </c>
      <c r="B6" s="582" t="s">
        <v>4</v>
      </c>
      <c r="C6" s="582" t="s">
        <v>245</v>
      </c>
      <c r="D6" s="12" t="s">
        <v>246</v>
      </c>
      <c r="E6" s="12"/>
      <c r="F6" s="12"/>
      <c r="G6" s="582" t="s">
        <v>53</v>
      </c>
      <c r="H6" s="582" t="s">
        <v>54</v>
      </c>
      <c r="I6" s="582" t="s">
        <v>247</v>
      </c>
      <c r="J6" s="582" t="s">
        <v>248</v>
      </c>
    </row>
    <row r="7" customFormat="false" ht="15" hidden="false" customHeight="false" outlineLevel="0" collapsed="false">
      <c r="A7" s="582"/>
      <c r="B7" s="582"/>
      <c r="C7" s="582"/>
      <c r="D7" s="583" t="s">
        <v>249</v>
      </c>
      <c r="E7" s="583" t="s">
        <v>250</v>
      </c>
      <c r="F7" s="583" t="s">
        <v>251</v>
      </c>
      <c r="G7" s="582"/>
      <c r="H7" s="582"/>
      <c r="I7" s="582"/>
      <c r="J7" s="582"/>
    </row>
    <row r="8" customFormat="false" ht="15" hidden="false" customHeight="true" outlineLevel="0" collapsed="false">
      <c r="A8" s="584" t="s">
        <v>16</v>
      </c>
      <c r="B8" s="585" t="s">
        <v>252</v>
      </c>
      <c r="C8" s="586" t="n">
        <f aca="false">E8+E9</f>
        <v>6</v>
      </c>
      <c r="D8" s="587" t="s">
        <v>253</v>
      </c>
      <c r="E8" s="588" t="n">
        <v>4</v>
      </c>
      <c r="F8" s="588" t="n">
        <f aca="false">+E8</f>
        <v>4</v>
      </c>
      <c r="G8" s="589"/>
      <c r="H8" s="590" t="n">
        <f aca="false">+F8-G8</f>
        <v>4</v>
      </c>
      <c r="I8" s="591" t="n">
        <f aca="false">1-G8/F8</f>
        <v>1</v>
      </c>
      <c r="J8" s="592"/>
    </row>
    <row r="9" customFormat="false" ht="15" hidden="false" customHeight="false" outlineLevel="0" collapsed="false">
      <c r="A9" s="584"/>
      <c r="B9" s="585"/>
      <c r="C9" s="586"/>
      <c r="D9" s="593" t="s">
        <v>254</v>
      </c>
      <c r="E9" s="594" t="n">
        <v>2</v>
      </c>
      <c r="F9" s="594" t="n">
        <f aca="false">+E9+H8</f>
        <v>6</v>
      </c>
      <c r="G9" s="595"/>
      <c r="H9" s="596" t="n">
        <f aca="false">+F9-G9</f>
        <v>6</v>
      </c>
      <c r="I9" s="597" t="n">
        <f aca="false">1-G9/F9</f>
        <v>1</v>
      </c>
      <c r="J9" s="598"/>
    </row>
    <row r="10" customFormat="false" ht="14.4" hidden="false" customHeight="true" outlineLevel="0" collapsed="false">
      <c r="A10" s="584"/>
      <c r="B10" s="599" t="s">
        <v>255</v>
      </c>
      <c r="C10" s="586" t="n">
        <f aca="false">E10+E11</f>
        <v>4</v>
      </c>
      <c r="D10" s="587" t="s">
        <v>253</v>
      </c>
      <c r="E10" s="588" t="n">
        <v>2</v>
      </c>
      <c r="F10" s="588" t="n">
        <f aca="false">+E10</f>
        <v>2</v>
      </c>
      <c r="G10" s="589"/>
      <c r="H10" s="590" t="n">
        <f aca="false">+F10-G10</f>
        <v>2</v>
      </c>
      <c r="I10" s="591" t="n">
        <f aca="false">1-G10/F10</f>
        <v>1</v>
      </c>
      <c r="J10" s="592"/>
    </row>
    <row r="11" customFormat="false" ht="15" hidden="false" customHeight="false" outlineLevel="0" collapsed="false">
      <c r="A11" s="584"/>
      <c r="B11" s="599"/>
      <c r="C11" s="586"/>
      <c r="D11" s="593" t="s">
        <v>254</v>
      </c>
      <c r="E11" s="594" t="n">
        <v>2</v>
      </c>
      <c r="F11" s="594" t="n">
        <f aca="false">+E11+H10</f>
        <v>4</v>
      </c>
      <c r="G11" s="600"/>
      <c r="H11" s="596" t="n">
        <f aca="false">+F11-G11</f>
        <v>4</v>
      </c>
      <c r="I11" s="597" t="n">
        <f aca="false">1-G11/F11</f>
        <v>1</v>
      </c>
      <c r="J11" s="598"/>
    </row>
    <row r="12" customFormat="false" ht="14.4" hidden="false" customHeight="false" outlineLevel="0" collapsed="false">
      <c r="A12" s="584"/>
      <c r="B12" s="601" t="s">
        <v>256</v>
      </c>
      <c r="C12" s="586" t="n">
        <f aca="false">E12+E13</f>
        <v>412</v>
      </c>
      <c r="D12" s="587" t="s">
        <v>253</v>
      </c>
      <c r="E12" s="588" t="n">
        <v>210</v>
      </c>
      <c r="F12" s="588" t="n">
        <f aca="false">+E12</f>
        <v>210</v>
      </c>
      <c r="G12" s="602" t="n">
        <v>191.277</v>
      </c>
      <c r="H12" s="590" t="n">
        <f aca="false">+F12-G12</f>
        <v>18.723</v>
      </c>
      <c r="I12" s="591" t="n">
        <f aca="false">1-G12/F12</f>
        <v>0.0891571428571429</v>
      </c>
      <c r="J12" s="603"/>
    </row>
    <row r="13" customFormat="false" ht="15" hidden="false" customHeight="false" outlineLevel="0" collapsed="false">
      <c r="A13" s="584"/>
      <c r="B13" s="601"/>
      <c r="C13" s="586"/>
      <c r="D13" s="593" t="s">
        <v>254</v>
      </c>
      <c r="E13" s="594" t="n">
        <v>202</v>
      </c>
      <c r="F13" s="594" t="n">
        <f aca="false">+E13+H12</f>
        <v>220.723</v>
      </c>
      <c r="G13" s="604" t="n">
        <v>164.414</v>
      </c>
      <c r="H13" s="596" t="n">
        <f aca="false">+F13-G13</f>
        <v>56.309</v>
      </c>
      <c r="I13" s="597" t="n">
        <f aca="false">1-G13/F13</f>
        <v>0.255111610480104</v>
      </c>
      <c r="J13" s="605"/>
    </row>
    <row r="14" customFormat="false" ht="14.4" hidden="false" customHeight="false" outlineLevel="0" collapsed="false">
      <c r="A14" s="584"/>
      <c r="B14" s="606" t="s">
        <v>257</v>
      </c>
      <c r="C14" s="607" t="n">
        <f aca="false">E14+E15</f>
        <v>606</v>
      </c>
      <c r="D14" s="587" t="s">
        <v>253</v>
      </c>
      <c r="E14" s="608" t="n">
        <v>382</v>
      </c>
      <c r="F14" s="608" t="n">
        <f aca="false">+E14</f>
        <v>382</v>
      </c>
      <c r="G14" s="609" t="n">
        <v>378.41</v>
      </c>
      <c r="H14" s="610" t="n">
        <f aca="false">+F14-G14</f>
        <v>3.58999999999998</v>
      </c>
      <c r="I14" s="611" t="n">
        <f aca="false">1-G14/F14</f>
        <v>0.00939790575916222</v>
      </c>
      <c r="J14" s="612" t="s">
        <v>258</v>
      </c>
    </row>
    <row r="15" customFormat="false" ht="15" hidden="false" customHeight="false" outlineLevel="0" collapsed="false">
      <c r="A15" s="584"/>
      <c r="B15" s="606"/>
      <c r="C15" s="607"/>
      <c r="D15" s="613" t="s">
        <v>254</v>
      </c>
      <c r="E15" s="614" t="n">
        <v>224</v>
      </c>
      <c r="F15" s="614" t="n">
        <f aca="false">+E15+H14</f>
        <v>227.59</v>
      </c>
      <c r="G15" s="615" t="n">
        <v>192.353</v>
      </c>
      <c r="H15" s="616" t="n">
        <f aca="false">+F15-G15</f>
        <v>35.237</v>
      </c>
      <c r="I15" s="617" t="n">
        <f aca="false">1-G15/F15</f>
        <v>0.154826661979876</v>
      </c>
      <c r="J15" s="618"/>
    </row>
    <row r="16" customFormat="false" ht="14.4" hidden="false" customHeight="false" outlineLevel="0" collapsed="false">
      <c r="A16" s="584"/>
      <c r="B16" s="619" t="s">
        <v>259</v>
      </c>
      <c r="C16" s="620" t="n">
        <f aca="false">E16+E17</f>
        <v>984</v>
      </c>
      <c r="D16" s="621" t="s">
        <v>253</v>
      </c>
      <c r="E16" s="622" t="n">
        <v>647</v>
      </c>
      <c r="F16" s="622" t="n">
        <f aca="false">+E16</f>
        <v>647</v>
      </c>
      <c r="G16" s="604" t="n">
        <v>624.852</v>
      </c>
      <c r="H16" s="623" t="n">
        <f aca="false">+F16-G16</f>
        <v>22.148</v>
      </c>
      <c r="I16" s="624" t="n">
        <f aca="false">1-G16/F16</f>
        <v>0.0342318392581145</v>
      </c>
      <c r="J16" s="625" t="s">
        <v>260</v>
      </c>
      <c r="L16" s="626"/>
      <c r="M16" s="627"/>
    </row>
    <row r="17" customFormat="false" ht="15" hidden="false" customHeight="false" outlineLevel="0" collapsed="false">
      <c r="A17" s="584"/>
      <c r="B17" s="619"/>
      <c r="C17" s="620"/>
      <c r="D17" s="593" t="s">
        <v>254</v>
      </c>
      <c r="E17" s="622" t="n">
        <v>337</v>
      </c>
      <c r="F17" s="622" t="n">
        <f aca="false">+E17+H16</f>
        <v>359.148</v>
      </c>
      <c r="G17" s="604" t="n">
        <v>320.444</v>
      </c>
      <c r="H17" s="628" t="n">
        <f aca="false">+F17-G17</f>
        <v>38.704</v>
      </c>
      <c r="I17" s="624" t="n">
        <f aca="false">1-G17/F17</f>
        <v>0.107766157684297</v>
      </c>
      <c r="J17" s="629"/>
    </row>
    <row r="18" customFormat="false" ht="14.4" hidden="false" customHeight="false" outlineLevel="0" collapsed="false">
      <c r="A18" s="584"/>
      <c r="B18" s="630" t="s">
        <v>261</v>
      </c>
      <c r="C18" s="586" t="n">
        <f aca="false">E18+E19</f>
        <v>839</v>
      </c>
      <c r="D18" s="587" t="s">
        <v>253</v>
      </c>
      <c r="E18" s="608" t="n">
        <v>545</v>
      </c>
      <c r="F18" s="608" t="n">
        <f aca="false">+E18</f>
        <v>545</v>
      </c>
      <c r="G18" s="609" t="n">
        <v>535.805</v>
      </c>
      <c r="H18" s="610" t="n">
        <f aca="false">+F18-G18</f>
        <v>9.19500000000005</v>
      </c>
      <c r="I18" s="611" t="n">
        <f aca="false">1-G18/F18</f>
        <v>0.0168715596330277</v>
      </c>
      <c r="J18" s="612" t="s">
        <v>262</v>
      </c>
    </row>
    <row r="19" customFormat="false" ht="15" hidden="false" customHeight="false" outlineLevel="0" collapsed="false">
      <c r="A19" s="584"/>
      <c r="B19" s="630"/>
      <c r="C19" s="586"/>
      <c r="D19" s="593" t="s">
        <v>254</v>
      </c>
      <c r="E19" s="622" t="n">
        <v>294</v>
      </c>
      <c r="F19" s="622" t="n">
        <f aca="false">+E19+H18</f>
        <v>303.195</v>
      </c>
      <c r="G19" s="604" t="n">
        <v>288.623</v>
      </c>
      <c r="H19" s="623" t="n">
        <f aca="false">+F19-G19</f>
        <v>14.5720000000001</v>
      </c>
      <c r="I19" s="624" t="n">
        <f aca="false">1-G19/F19</f>
        <v>0.0480614785863885</v>
      </c>
      <c r="J19" s="629"/>
    </row>
    <row r="20" customFormat="false" ht="14.4" hidden="false" customHeight="true" outlineLevel="0" collapsed="false">
      <c r="A20" s="584"/>
      <c r="B20" s="631" t="s">
        <v>263</v>
      </c>
      <c r="C20" s="586" t="n">
        <f aca="false">E20+E21</f>
        <v>805</v>
      </c>
      <c r="D20" s="587" t="s">
        <v>253</v>
      </c>
      <c r="E20" s="608" t="n">
        <v>532</v>
      </c>
      <c r="F20" s="608" t="n">
        <f aca="false">+E20</f>
        <v>532</v>
      </c>
      <c r="G20" s="609" t="n">
        <v>446.898</v>
      </c>
      <c r="H20" s="610" t="n">
        <f aca="false">+F20-G20</f>
        <v>85.102</v>
      </c>
      <c r="I20" s="611" t="n">
        <f aca="false">1-G20/F20</f>
        <v>0.159966165413534</v>
      </c>
      <c r="J20" s="632"/>
    </row>
    <row r="21" customFormat="false" ht="15" hidden="false" customHeight="false" outlineLevel="0" collapsed="false">
      <c r="A21" s="584"/>
      <c r="B21" s="631"/>
      <c r="C21" s="586"/>
      <c r="D21" s="633" t="s">
        <v>254</v>
      </c>
      <c r="E21" s="622" t="n">
        <v>273</v>
      </c>
      <c r="F21" s="622" t="n">
        <f aca="false">+E21+H20</f>
        <v>358.102</v>
      </c>
      <c r="G21" s="604" t="n">
        <v>314.178</v>
      </c>
      <c r="H21" s="623" t="n">
        <f aca="false">+F21-G21</f>
        <v>43.924</v>
      </c>
      <c r="I21" s="624" t="n">
        <f aca="false">1-G21/F21</f>
        <v>0.122657790238535</v>
      </c>
      <c r="J21" s="634"/>
    </row>
    <row r="22" customFormat="false" ht="14.4" hidden="false" customHeight="false" outlineLevel="0" collapsed="false">
      <c r="A22" s="635" t="s">
        <v>25</v>
      </c>
      <c r="B22" s="636" t="s">
        <v>255</v>
      </c>
      <c r="C22" s="607" t="n">
        <f aca="false">+E22+E23+E24</f>
        <v>272</v>
      </c>
      <c r="D22" s="587" t="s">
        <v>264</v>
      </c>
      <c r="E22" s="588" t="n">
        <v>136</v>
      </c>
      <c r="F22" s="588" t="n">
        <f aca="false">+E22</f>
        <v>136</v>
      </c>
      <c r="G22" s="589" t="n">
        <v>18.76</v>
      </c>
      <c r="H22" s="637" t="n">
        <f aca="false">+F22-G22</f>
        <v>117.24</v>
      </c>
      <c r="I22" s="611" t="n">
        <f aca="false">1-G22/F22</f>
        <v>0.862058823529412</v>
      </c>
      <c r="J22" s="638"/>
    </row>
    <row r="23" customFormat="false" ht="14.4" hidden="false" customHeight="false" outlineLevel="0" collapsed="false">
      <c r="A23" s="635"/>
      <c r="B23" s="636"/>
      <c r="C23" s="607"/>
      <c r="D23" s="593" t="s">
        <v>265</v>
      </c>
      <c r="E23" s="594" t="n">
        <v>82</v>
      </c>
      <c r="F23" s="594" t="n">
        <f aca="false">+E23+H22</f>
        <v>199.24</v>
      </c>
      <c r="G23" s="595" t="n">
        <v>40.272</v>
      </c>
      <c r="H23" s="639" t="n">
        <f aca="false">+F23-G23</f>
        <v>158.968</v>
      </c>
      <c r="I23" s="624" t="n">
        <f aca="false">1-G23/F23</f>
        <v>0.797871913270428</v>
      </c>
      <c r="J23" s="640"/>
    </row>
    <row r="24" customFormat="false" ht="15" hidden="false" customHeight="false" outlineLevel="0" collapsed="false">
      <c r="A24" s="635"/>
      <c r="B24" s="636"/>
      <c r="C24" s="607"/>
      <c r="D24" s="613" t="s">
        <v>266</v>
      </c>
      <c r="E24" s="641" t="n">
        <v>54</v>
      </c>
      <c r="F24" s="641" t="n">
        <f aca="false">+E24+H23</f>
        <v>212.968</v>
      </c>
      <c r="G24" s="642" t="n">
        <v>96.167</v>
      </c>
      <c r="H24" s="643" t="n">
        <f aca="false">+F24-G24</f>
        <v>116.801</v>
      </c>
      <c r="I24" s="617" t="n">
        <f aca="false">1-G24/F24</f>
        <v>0.548443897674768</v>
      </c>
      <c r="J24" s="644"/>
    </row>
    <row r="25" customFormat="false" ht="14.4" hidden="false" customHeight="false" outlineLevel="0" collapsed="false">
      <c r="A25" s="635"/>
      <c r="B25" s="636" t="s">
        <v>256</v>
      </c>
      <c r="C25" s="607" t="n">
        <f aca="false">+E25+E26+E27</f>
        <v>926</v>
      </c>
      <c r="D25" s="587" t="s">
        <v>264</v>
      </c>
      <c r="E25" s="588" t="n">
        <v>463</v>
      </c>
      <c r="F25" s="588" t="n">
        <f aca="false">+E25</f>
        <v>463</v>
      </c>
      <c r="G25" s="589" t="n">
        <v>442.453</v>
      </c>
      <c r="H25" s="637" t="n">
        <f aca="false">+F25-G25</f>
        <v>20.547</v>
      </c>
      <c r="I25" s="611" t="n">
        <f aca="false">1-G25/F25</f>
        <v>0.044377969762419</v>
      </c>
      <c r="J25" s="645"/>
    </row>
    <row r="26" customFormat="false" ht="14.4" hidden="false" customHeight="false" outlineLevel="0" collapsed="false">
      <c r="A26" s="635"/>
      <c r="B26" s="636"/>
      <c r="C26" s="607"/>
      <c r="D26" s="593" t="s">
        <v>265</v>
      </c>
      <c r="E26" s="594" t="n">
        <v>278</v>
      </c>
      <c r="F26" s="594" t="n">
        <f aca="false">+E26+H25</f>
        <v>298.547</v>
      </c>
      <c r="G26" s="646" t="n">
        <v>285.05</v>
      </c>
      <c r="H26" s="647" t="n">
        <f aca="false">+F26-G26</f>
        <v>13.497</v>
      </c>
      <c r="I26" s="624" t="n">
        <f aca="false">1-G26/F26</f>
        <v>0.0452089620729734</v>
      </c>
      <c r="J26" s="648"/>
    </row>
    <row r="27" customFormat="false" ht="15" hidden="false" customHeight="false" outlineLevel="0" collapsed="false">
      <c r="A27" s="635"/>
      <c r="B27" s="636"/>
      <c r="C27" s="607"/>
      <c r="D27" s="613" t="s">
        <v>266</v>
      </c>
      <c r="E27" s="641" t="n">
        <v>185</v>
      </c>
      <c r="F27" s="641" t="n">
        <f aca="false">+E27+H26</f>
        <v>198.497</v>
      </c>
      <c r="G27" s="649" t="n">
        <v>142.31</v>
      </c>
      <c r="H27" s="616" t="n">
        <f aca="false">+F27-G27</f>
        <v>56.187</v>
      </c>
      <c r="I27" s="617" t="n">
        <f aca="false">1-G27/F27</f>
        <v>0.283062212527142</v>
      </c>
      <c r="J27" s="618"/>
    </row>
    <row r="28" customFormat="false" ht="14.4" hidden="false" customHeight="true" outlineLevel="0" collapsed="false">
      <c r="A28" s="650" t="s">
        <v>267</v>
      </c>
      <c r="B28" s="651" t="s">
        <v>257</v>
      </c>
      <c r="C28" s="652" t="n">
        <f aca="false">+E28+E30+E29</f>
        <v>870</v>
      </c>
      <c r="D28" s="621" t="s">
        <v>264</v>
      </c>
      <c r="E28" s="653" t="n">
        <v>435</v>
      </c>
      <c r="F28" s="653" t="n">
        <f aca="false">+E28</f>
        <v>435</v>
      </c>
      <c r="G28" s="654" t="n">
        <v>447.987</v>
      </c>
      <c r="H28" s="655" t="n">
        <f aca="false">+F28-G28</f>
        <v>-12.987</v>
      </c>
      <c r="I28" s="656" t="n">
        <f aca="false">1-G28/F28</f>
        <v>-0.0298551724137932</v>
      </c>
      <c r="J28" s="657" t="s">
        <v>268</v>
      </c>
      <c r="K28" s="0" t="n">
        <v>424.175</v>
      </c>
      <c r="L28" s="658" t="n">
        <v>23.812</v>
      </c>
      <c r="M28" s="0" t="s">
        <v>269</v>
      </c>
    </row>
    <row r="29" customFormat="false" ht="14.4" hidden="false" customHeight="false" outlineLevel="0" collapsed="false">
      <c r="A29" s="650"/>
      <c r="B29" s="651"/>
      <c r="C29" s="652"/>
      <c r="D29" s="593" t="s">
        <v>265</v>
      </c>
      <c r="E29" s="653" t="n">
        <v>305</v>
      </c>
      <c r="F29" s="653" t="n">
        <f aca="false">E29+H28</f>
        <v>292.013</v>
      </c>
      <c r="G29" s="654" t="n">
        <v>445.394</v>
      </c>
      <c r="H29" s="655" t="n">
        <f aca="false">+F29-G29</f>
        <v>-153.381</v>
      </c>
      <c r="I29" s="656" t="n">
        <f aca="false">1-G29/F29</f>
        <v>-0.52525401266382</v>
      </c>
      <c r="J29" s="657" t="s">
        <v>270</v>
      </c>
    </row>
    <row r="30" customFormat="false" ht="15" hidden="false" customHeight="false" outlineLevel="0" collapsed="false">
      <c r="A30" s="650"/>
      <c r="B30" s="651"/>
      <c r="C30" s="652"/>
      <c r="D30" s="659" t="s">
        <v>271</v>
      </c>
      <c r="E30" s="641" t="n">
        <v>130</v>
      </c>
      <c r="F30" s="660" t="n">
        <f aca="false">+E30+H29</f>
        <v>-23.381</v>
      </c>
      <c r="G30" s="661" t="n">
        <v>0</v>
      </c>
      <c r="H30" s="643" t="n">
        <f aca="false">+F30-G30</f>
        <v>-23.381</v>
      </c>
      <c r="I30" s="662" t="n">
        <f aca="false">(1-(G28+G29+G30))/C28</f>
        <v>-1.02572528735632</v>
      </c>
      <c r="J30" s="663" t="s">
        <v>272</v>
      </c>
    </row>
    <row r="31" customFormat="false" ht="14.4" hidden="false" customHeight="false" outlineLevel="0" collapsed="false">
      <c r="A31" s="650"/>
      <c r="B31" s="636" t="s">
        <v>273</v>
      </c>
      <c r="C31" s="607" t="n">
        <f aca="false">+E31+E32+E33</f>
        <v>290</v>
      </c>
      <c r="D31" s="587" t="s">
        <v>264</v>
      </c>
      <c r="E31" s="588" t="n">
        <v>145</v>
      </c>
      <c r="F31" s="588" t="n">
        <f aca="false">+E31</f>
        <v>145</v>
      </c>
      <c r="G31" s="589" t="n">
        <v>0</v>
      </c>
      <c r="H31" s="637" t="n">
        <f aca="false">+F31-G31</f>
        <v>145</v>
      </c>
      <c r="I31" s="611" t="n">
        <f aca="false">1-G31/F31</f>
        <v>1</v>
      </c>
      <c r="J31" s="664"/>
    </row>
    <row r="32" customFormat="false" ht="14.4" hidden="false" customHeight="false" outlineLevel="0" collapsed="false">
      <c r="A32" s="650"/>
      <c r="B32" s="636"/>
      <c r="C32" s="607"/>
      <c r="D32" s="593" t="s">
        <v>265</v>
      </c>
      <c r="E32" s="653" t="n">
        <v>101</v>
      </c>
      <c r="F32" s="653" t="n">
        <f aca="false">E32+H31</f>
        <v>246</v>
      </c>
      <c r="G32" s="654" t="n">
        <v>44.5</v>
      </c>
      <c r="H32" s="655" t="n">
        <f aca="false">+F32-G32</f>
        <v>201.5</v>
      </c>
      <c r="I32" s="624" t="n">
        <f aca="false">1-G32/F32</f>
        <v>0.819105691056911</v>
      </c>
      <c r="J32" s="665"/>
    </row>
    <row r="33" customFormat="false" ht="15" hidden="false" customHeight="false" outlineLevel="0" collapsed="false">
      <c r="A33" s="650"/>
      <c r="B33" s="636"/>
      <c r="C33" s="607"/>
      <c r="D33" s="659" t="s">
        <v>271</v>
      </c>
      <c r="E33" s="641" t="n">
        <v>44</v>
      </c>
      <c r="F33" s="641" t="n">
        <f aca="false">+E33+H32</f>
        <v>245.5</v>
      </c>
      <c r="G33" s="642" t="n">
        <v>147.837</v>
      </c>
      <c r="H33" s="643" t="n">
        <f aca="false">+F33-G33</f>
        <v>97.663</v>
      </c>
      <c r="I33" s="617" t="n">
        <f aca="false">1-G33/F33</f>
        <v>0.397812627291242</v>
      </c>
      <c r="J33" s="666"/>
    </row>
    <row r="34" customFormat="false" ht="14.4" hidden="false" customHeight="true" outlineLevel="0" collapsed="false">
      <c r="A34" s="635" t="s">
        <v>27</v>
      </c>
      <c r="B34" s="667" t="s">
        <v>252</v>
      </c>
      <c r="C34" s="668" t="n">
        <f aca="false">+E34+E35+E36</f>
        <v>6</v>
      </c>
      <c r="D34" s="621" t="s">
        <v>264</v>
      </c>
      <c r="E34" s="653" t="n">
        <v>3</v>
      </c>
      <c r="F34" s="653" t="n">
        <f aca="false">+E34</f>
        <v>3</v>
      </c>
      <c r="G34" s="669"/>
      <c r="H34" s="655" t="n">
        <f aca="false">+F34-G34</f>
        <v>3</v>
      </c>
      <c r="I34" s="624" t="n">
        <f aca="false">1-G34/F34</f>
        <v>1</v>
      </c>
      <c r="J34" s="670"/>
    </row>
    <row r="35" customFormat="false" ht="14.4" hidden="false" customHeight="false" outlineLevel="0" collapsed="false">
      <c r="A35" s="635"/>
      <c r="B35" s="667"/>
      <c r="C35" s="668"/>
      <c r="D35" s="593" t="s">
        <v>265</v>
      </c>
      <c r="E35" s="594" t="n">
        <v>2</v>
      </c>
      <c r="F35" s="594" t="n">
        <f aca="false">+E35+H34</f>
        <v>5</v>
      </c>
      <c r="G35" s="595"/>
      <c r="H35" s="639" t="n">
        <f aca="false">+F35-G35</f>
        <v>5</v>
      </c>
      <c r="I35" s="624" t="n">
        <f aca="false">1-G35/F35</f>
        <v>1</v>
      </c>
      <c r="J35" s="640"/>
    </row>
    <row r="36" customFormat="false" ht="15" hidden="false" customHeight="false" outlineLevel="0" collapsed="false">
      <c r="A36" s="635"/>
      <c r="B36" s="667"/>
      <c r="C36" s="668"/>
      <c r="D36" s="633" t="s">
        <v>266</v>
      </c>
      <c r="E36" s="671" t="n">
        <v>1</v>
      </c>
      <c r="F36" s="671" t="n">
        <f aca="false">+E36+H35</f>
        <v>6</v>
      </c>
      <c r="G36" s="672"/>
      <c r="H36" s="647" t="n">
        <f aca="false">+F36-G36</f>
        <v>6</v>
      </c>
      <c r="I36" s="624" t="n">
        <f aca="false">1-G36/F36</f>
        <v>1</v>
      </c>
      <c r="J36" s="673"/>
    </row>
    <row r="37" customFormat="false" ht="14.4" hidden="false" customHeight="true" outlineLevel="0" collapsed="false">
      <c r="A37" s="635"/>
      <c r="B37" s="674" t="s">
        <v>255</v>
      </c>
      <c r="C37" s="607" t="n">
        <f aca="false">+E37+E38+E39</f>
        <v>24</v>
      </c>
      <c r="D37" s="587" t="s">
        <v>264</v>
      </c>
      <c r="E37" s="588" t="n">
        <v>12</v>
      </c>
      <c r="F37" s="588" t="n">
        <f aca="false">+E37</f>
        <v>12</v>
      </c>
      <c r="G37" s="589"/>
      <c r="H37" s="637" t="n">
        <f aca="false">+F37-G37</f>
        <v>12</v>
      </c>
      <c r="I37" s="611" t="n">
        <f aca="false">1-G37/F37</f>
        <v>1</v>
      </c>
      <c r="J37" s="675"/>
    </row>
    <row r="38" customFormat="false" ht="14.4" hidden="false" customHeight="false" outlineLevel="0" collapsed="false">
      <c r="A38" s="635"/>
      <c r="B38" s="674"/>
      <c r="C38" s="607"/>
      <c r="D38" s="593" t="s">
        <v>265</v>
      </c>
      <c r="E38" s="594" t="n">
        <v>7</v>
      </c>
      <c r="F38" s="594" t="n">
        <f aca="false">+E38+H37</f>
        <v>19</v>
      </c>
      <c r="G38" s="595"/>
      <c r="H38" s="639" t="n">
        <f aca="false">+F38-G38</f>
        <v>19</v>
      </c>
      <c r="I38" s="624" t="n">
        <f aca="false">1-G38/F38</f>
        <v>1</v>
      </c>
      <c r="J38" s="640"/>
    </row>
    <row r="39" customFormat="false" ht="15" hidden="false" customHeight="false" outlineLevel="0" collapsed="false">
      <c r="A39" s="635"/>
      <c r="B39" s="674"/>
      <c r="C39" s="607"/>
      <c r="D39" s="613" t="s">
        <v>266</v>
      </c>
      <c r="E39" s="641" t="n">
        <v>5</v>
      </c>
      <c r="F39" s="641" t="n">
        <f aca="false">+E39+H38</f>
        <v>24</v>
      </c>
      <c r="G39" s="642"/>
      <c r="H39" s="643" t="n">
        <f aca="false">+F39-G39</f>
        <v>24</v>
      </c>
      <c r="I39" s="617" t="n">
        <f aca="false">1-G39/F39</f>
        <v>1</v>
      </c>
      <c r="J39" s="644"/>
    </row>
    <row r="40" customFormat="false" ht="14.4" hidden="false" customHeight="true" outlineLevel="0" collapsed="false">
      <c r="A40" s="635"/>
      <c r="B40" s="667" t="s">
        <v>256</v>
      </c>
      <c r="C40" s="668" t="n">
        <f aca="false">+E40+E41+E42</f>
        <v>13</v>
      </c>
      <c r="D40" s="621" t="s">
        <v>264</v>
      </c>
      <c r="E40" s="653" t="n">
        <v>6</v>
      </c>
      <c r="F40" s="653" t="n">
        <f aca="false">+E40</f>
        <v>6</v>
      </c>
      <c r="G40" s="669" t="n">
        <v>4.458</v>
      </c>
      <c r="H40" s="655" t="n">
        <f aca="false">+F40-G40</f>
        <v>1.542</v>
      </c>
      <c r="I40" s="624" t="n">
        <f aca="false">1-G40/F40</f>
        <v>0.257</v>
      </c>
      <c r="J40" s="676" t="s">
        <v>274</v>
      </c>
      <c r="K40" s="0" t="n">
        <v>18.535</v>
      </c>
      <c r="L40" s="0" t="s">
        <v>275</v>
      </c>
    </row>
    <row r="41" customFormat="false" ht="14.4" hidden="false" customHeight="false" outlineLevel="0" collapsed="false">
      <c r="A41" s="635"/>
      <c r="B41" s="667"/>
      <c r="C41" s="668"/>
      <c r="D41" s="593" t="s">
        <v>265</v>
      </c>
      <c r="E41" s="594" t="n">
        <v>4</v>
      </c>
      <c r="F41" s="594" t="n">
        <f aca="false">+E41+H40</f>
        <v>5.542</v>
      </c>
      <c r="G41" s="646" t="n">
        <v>0</v>
      </c>
      <c r="H41" s="639" t="n">
        <f aca="false">+F41-G41</f>
        <v>5.542</v>
      </c>
      <c r="I41" s="624" t="n">
        <f aca="false">1-G41/F41</f>
        <v>1</v>
      </c>
      <c r="J41" s="677"/>
      <c r="K41" s="0" t="n">
        <v>120.111</v>
      </c>
      <c r="L41" s="0" t="s">
        <v>275</v>
      </c>
    </row>
    <row r="42" customFormat="false" ht="15" hidden="false" customHeight="false" outlineLevel="0" collapsed="false">
      <c r="A42" s="635"/>
      <c r="B42" s="667"/>
      <c r="C42" s="668"/>
      <c r="D42" s="633" t="s">
        <v>266</v>
      </c>
      <c r="E42" s="671" t="n">
        <v>3</v>
      </c>
      <c r="F42" s="671" t="n">
        <f aca="false">+E42+H41</f>
        <v>8.542</v>
      </c>
      <c r="G42" s="672" t="n">
        <v>0.009</v>
      </c>
      <c r="H42" s="647" t="n">
        <f aca="false">+F42-G42</f>
        <v>8.533</v>
      </c>
      <c r="I42" s="624" t="n">
        <f aca="false">1-G42/F42</f>
        <v>0.998946382580192</v>
      </c>
      <c r="J42" s="678"/>
      <c r="K42" s="679" t="n">
        <v>16.734</v>
      </c>
      <c r="L42" s="0" t="s">
        <v>275</v>
      </c>
    </row>
    <row r="43" customFormat="false" ht="14.4" hidden="false" customHeight="true" outlineLevel="0" collapsed="false">
      <c r="A43" s="680" t="s">
        <v>276</v>
      </c>
      <c r="B43" s="636" t="s">
        <v>257</v>
      </c>
      <c r="C43" s="607" t="n">
        <f aca="false">+E43+E44+E45</f>
        <v>700</v>
      </c>
      <c r="D43" s="587" t="s">
        <v>264</v>
      </c>
      <c r="E43" s="588" t="n">
        <v>350</v>
      </c>
      <c r="F43" s="588" t="n">
        <f aca="false">+E43</f>
        <v>350</v>
      </c>
      <c r="G43" s="589" t="n">
        <v>366.522</v>
      </c>
      <c r="H43" s="637" t="n">
        <f aca="false">+F43-G43</f>
        <v>-16.522</v>
      </c>
      <c r="I43" s="681" t="n">
        <f aca="false">1-G43/F43</f>
        <v>-0.0472057142857143</v>
      </c>
      <c r="J43" s="682" t="s">
        <v>277</v>
      </c>
      <c r="K43" s="0" t="n">
        <v>317.456</v>
      </c>
      <c r="L43" s="683" t="n">
        <v>49.066</v>
      </c>
      <c r="M43" s="0" t="s">
        <v>269</v>
      </c>
    </row>
    <row r="44" customFormat="false" ht="14.4" hidden="false" customHeight="false" outlineLevel="0" collapsed="false">
      <c r="A44" s="680"/>
      <c r="B44" s="636"/>
      <c r="C44" s="607"/>
      <c r="D44" s="593" t="s">
        <v>265</v>
      </c>
      <c r="E44" s="594" t="n">
        <v>245</v>
      </c>
      <c r="F44" s="594" t="n">
        <f aca="false">+E44+H43</f>
        <v>228.478</v>
      </c>
      <c r="G44" s="654" t="n">
        <v>159.124</v>
      </c>
      <c r="H44" s="639" t="n">
        <f aca="false">+F44-G44</f>
        <v>69.354</v>
      </c>
      <c r="I44" s="624" t="n">
        <f aca="false">1-G44/F44</f>
        <v>0.30354782517354</v>
      </c>
      <c r="J44" s="684"/>
    </row>
    <row r="45" customFormat="false" ht="15" hidden="false" customHeight="false" outlineLevel="0" collapsed="false">
      <c r="A45" s="680"/>
      <c r="B45" s="636"/>
      <c r="C45" s="607"/>
      <c r="D45" s="613" t="s">
        <v>271</v>
      </c>
      <c r="E45" s="641" t="n">
        <v>105</v>
      </c>
      <c r="F45" s="641" t="n">
        <f aca="false">+E45+H44</f>
        <v>174.354</v>
      </c>
      <c r="G45" s="642" t="n">
        <v>143.61</v>
      </c>
      <c r="H45" s="643" t="n">
        <f aca="false">+F45-G45</f>
        <v>30.744</v>
      </c>
      <c r="I45" s="617" t="n">
        <f aca="false">1-G45/F45</f>
        <v>0.176330912970164</v>
      </c>
      <c r="J45" s="663" t="s">
        <v>278</v>
      </c>
    </row>
    <row r="46" customFormat="false" ht="14.4" hidden="false" customHeight="false" outlineLevel="0" collapsed="false">
      <c r="A46" s="680"/>
      <c r="B46" s="685" t="s">
        <v>259</v>
      </c>
      <c r="C46" s="668" t="n">
        <f aca="false">+E46+E47+E48</f>
        <v>1250</v>
      </c>
      <c r="D46" s="621" t="s">
        <v>264</v>
      </c>
      <c r="E46" s="653" t="n">
        <v>625</v>
      </c>
      <c r="F46" s="653" t="n">
        <f aca="false">+E46</f>
        <v>625</v>
      </c>
      <c r="G46" s="669" t="n">
        <v>608.34</v>
      </c>
      <c r="H46" s="655" t="n">
        <f aca="false">+F46-G46</f>
        <v>16.66</v>
      </c>
      <c r="I46" s="624" t="n">
        <f aca="false">1-G46/F46</f>
        <v>0.0266559999999999</v>
      </c>
      <c r="J46" s="665"/>
    </row>
    <row r="47" customFormat="false" ht="14.4" hidden="false" customHeight="false" outlineLevel="0" collapsed="false">
      <c r="A47" s="680"/>
      <c r="B47" s="685"/>
      <c r="C47" s="668"/>
      <c r="D47" s="593" t="s">
        <v>265</v>
      </c>
      <c r="E47" s="594" t="n">
        <v>438</v>
      </c>
      <c r="F47" s="594" t="n">
        <f aca="false">+E47+H46</f>
        <v>454.66</v>
      </c>
      <c r="G47" s="595" t="n">
        <v>448.242</v>
      </c>
      <c r="H47" s="639" t="n">
        <f aca="false">+F47-G47</f>
        <v>6.41799999999995</v>
      </c>
      <c r="I47" s="624" t="n">
        <f aca="false">1-G47/F47</f>
        <v>0.0141160427572251</v>
      </c>
      <c r="J47" s="686" t="s">
        <v>279</v>
      </c>
    </row>
    <row r="48" customFormat="false" ht="15" hidden="false" customHeight="false" outlineLevel="0" collapsed="false">
      <c r="A48" s="680"/>
      <c r="B48" s="685"/>
      <c r="C48" s="668"/>
      <c r="D48" s="633" t="s">
        <v>271</v>
      </c>
      <c r="E48" s="671" t="n">
        <v>187</v>
      </c>
      <c r="F48" s="671" t="n">
        <f aca="false">+E48+H47</f>
        <v>193.418</v>
      </c>
      <c r="G48" s="672" t="n">
        <v>87.841</v>
      </c>
      <c r="H48" s="647" t="n">
        <f aca="false">+F48-G48</f>
        <v>105.577</v>
      </c>
      <c r="I48" s="624" t="n">
        <f aca="false">1-G48/F48</f>
        <v>0.545848886866786</v>
      </c>
      <c r="J48" s="678"/>
    </row>
    <row r="49" customFormat="false" ht="14.4" hidden="false" customHeight="false" outlineLevel="0" collapsed="false">
      <c r="A49" s="680"/>
      <c r="B49" s="636" t="s">
        <v>261</v>
      </c>
      <c r="C49" s="607" t="n">
        <f aca="false">+E49+E50+E51</f>
        <v>2800</v>
      </c>
      <c r="D49" s="587" t="s">
        <v>264</v>
      </c>
      <c r="E49" s="588" t="n">
        <v>1400</v>
      </c>
      <c r="F49" s="588" t="n">
        <f aca="false">+E49</f>
        <v>1400</v>
      </c>
      <c r="G49" s="687" t="n">
        <v>496.445</v>
      </c>
      <c r="H49" s="637" t="n">
        <f aca="false">+F49-G49</f>
        <v>903.555</v>
      </c>
      <c r="I49" s="611" t="n">
        <f aca="false">1-G49/F49</f>
        <v>0.645396428571429</v>
      </c>
      <c r="J49" s="664"/>
    </row>
    <row r="50" customFormat="false" ht="14.4" hidden="false" customHeight="false" outlineLevel="0" collapsed="false">
      <c r="A50" s="680"/>
      <c r="B50" s="636"/>
      <c r="C50" s="607"/>
      <c r="D50" s="593" t="s">
        <v>265</v>
      </c>
      <c r="E50" s="594" t="n">
        <v>980</v>
      </c>
      <c r="F50" s="594" t="n">
        <f aca="false">+E50+H49</f>
        <v>1883.555</v>
      </c>
      <c r="G50" s="646" t="n">
        <v>839.536</v>
      </c>
      <c r="H50" s="639" t="n">
        <f aca="false">+F50-G50</f>
        <v>1044.019</v>
      </c>
      <c r="I50" s="624" t="n">
        <f aca="false">1-G50/F50</f>
        <v>0.554281133282543</v>
      </c>
      <c r="J50" s="677"/>
    </row>
    <row r="51" customFormat="false" ht="15" hidden="false" customHeight="false" outlineLevel="0" collapsed="false">
      <c r="A51" s="680"/>
      <c r="B51" s="636"/>
      <c r="C51" s="607"/>
      <c r="D51" s="613" t="s">
        <v>271</v>
      </c>
      <c r="E51" s="641" t="n">
        <v>420</v>
      </c>
      <c r="F51" s="641" t="n">
        <f aca="false">+E51+H50</f>
        <v>1464.019</v>
      </c>
      <c r="G51" s="661" t="n">
        <v>1410.531</v>
      </c>
      <c r="H51" s="643" t="n">
        <f aca="false">+F51-G51</f>
        <v>53.4880000000003</v>
      </c>
      <c r="I51" s="617" t="n">
        <f aca="false">1-G51/F51</f>
        <v>0.0365350449686789</v>
      </c>
      <c r="J51" s="666"/>
    </row>
    <row r="52" customFormat="false" ht="14.4" hidden="false" customHeight="false" outlineLevel="0" collapsed="false">
      <c r="A52" s="680"/>
      <c r="B52" s="636" t="s">
        <v>263</v>
      </c>
      <c r="C52" s="607" t="n">
        <f aca="false">+E52+E53+E54</f>
        <v>3050</v>
      </c>
      <c r="D52" s="587" t="s">
        <v>264</v>
      </c>
      <c r="E52" s="588" t="n">
        <v>1525</v>
      </c>
      <c r="F52" s="588" t="n">
        <f aca="false">+E52</f>
        <v>1525</v>
      </c>
      <c r="G52" s="589" t="n">
        <v>998.653</v>
      </c>
      <c r="H52" s="637" t="n">
        <f aca="false">+F52-G52</f>
        <v>526.347</v>
      </c>
      <c r="I52" s="611" t="n">
        <f aca="false">1-G52/F52</f>
        <v>0.345145573770492</v>
      </c>
      <c r="J52" s="664"/>
    </row>
    <row r="53" customFormat="false" ht="14.4" hidden="false" customHeight="false" outlineLevel="0" collapsed="false">
      <c r="A53" s="680"/>
      <c r="B53" s="636"/>
      <c r="C53" s="607"/>
      <c r="D53" s="593" t="s">
        <v>265</v>
      </c>
      <c r="E53" s="594" t="n">
        <v>1067</v>
      </c>
      <c r="F53" s="594" t="n">
        <f aca="false">+E53+H52</f>
        <v>1593.347</v>
      </c>
      <c r="G53" s="595" t="n">
        <v>1440.581</v>
      </c>
      <c r="H53" s="647" t="n">
        <f aca="false">+F53-G53</f>
        <v>152.766</v>
      </c>
      <c r="I53" s="624" t="n">
        <f aca="false">1-G53/F53</f>
        <v>0.0958774202982778</v>
      </c>
      <c r="J53" s="677"/>
    </row>
    <row r="54" customFormat="false" ht="15" hidden="false" customHeight="false" outlineLevel="0" collapsed="false">
      <c r="A54" s="680"/>
      <c r="B54" s="636"/>
      <c r="C54" s="607"/>
      <c r="D54" s="613" t="s">
        <v>271</v>
      </c>
      <c r="E54" s="641" t="n">
        <v>458</v>
      </c>
      <c r="F54" s="641" t="n">
        <f aca="false">+E54+H53</f>
        <v>610.766</v>
      </c>
      <c r="G54" s="649" t="n">
        <v>547.603</v>
      </c>
      <c r="H54" s="616" t="n">
        <f aca="false">+F54-G54</f>
        <v>63.1630000000001</v>
      </c>
      <c r="I54" s="617" t="n">
        <f aca="false">1-G54/F54</f>
        <v>0.103416038220857</v>
      </c>
      <c r="J54" s="666"/>
    </row>
    <row r="59" customFormat="false" ht="14.4" hidden="false" customHeight="false" outlineLevel="0" collapsed="false">
      <c r="H59" s="688"/>
    </row>
  </sheetData>
  <mergeCells count="51">
    <mergeCell ref="A3:J3"/>
    <mergeCell ref="A4:J4"/>
    <mergeCell ref="A6:A7"/>
    <mergeCell ref="B6:B7"/>
    <mergeCell ref="C6:C7"/>
    <mergeCell ref="D6:F6"/>
    <mergeCell ref="G6:G7"/>
    <mergeCell ref="H6:H7"/>
    <mergeCell ref="I6:I7"/>
    <mergeCell ref="J6:J7"/>
    <mergeCell ref="A8:A21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A22:A27"/>
    <mergeCell ref="B22:B24"/>
    <mergeCell ref="C22:C24"/>
    <mergeCell ref="B25:B27"/>
    <mergeCell ref="C25:C27"/>
    <mergeCell ref="A28:A33"/>
    <mergeCell ref="B28:B30"/>
    <mergeCell ref="C28:C30"/>
    <mergeCell ref="B31:B33"/>
    <mergeCell ref="C31:C33"/>
    <mergeCell ref="A34:A42"/>
    <mergeCell ref="B34:B36"/>
    <mergeCell ref="C34:C36"/>
    <mergeCell ref="B37:B39"/>
    <mergeCell ref="C37:C39"/>
    <mergeCell ref="B40:B42"/>
    <mergeCell ref="C40:C42"/>
    <mergeCell ref="A43:A54"/>
    <mergeCell ref="B43:B45"/>
    <mergeCell ref="C43:C45"/>
    <mergeCell ref="B46:B48"/>
    <mergeCell ref="C46:C48"/>
    <mergeCell ref="B49:B51"/>
    <mergeCell ref="C49:C51"/>
    <mergeCell ref="B52:B54"/>
    <mergeCell ref="C52:C54"/>
  </mergeCells>
  <printOptions headings="false" gridLines="false" gridLinesSet="true" horizontalCentered="false" verticalCentered="false"/>
  <pageMargins left="0.708333333333333" right="0.708333333333333" top="0.490277777777778" bottom="0.320138888888889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9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J46" activeCellId="0" sqref="J46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22.55"/>
    <col collapsed="false" customWidth="true" hidden="false" outlineLevel="0" max="2" min="2" style="0" width="33.43"/>
    <col collapsed="false" customWidth="true" hidden="false" outlineLevel="0" max="3" min="3" style="0" width="16.99"/>
    <col collapsed="false" customWidth="true" hidden="false" outlineLevel="0" max="4" min="4" style="0" width="17.1"/>
    <col collapsed="false" customWidth="true" hidden="false" outlineLevel="0" max="6" min="6" style="0" width="14.1"/>
    <col collapsed="false" customWidth="true" hidden="false" outlineLevel="0" max="7" min="7" style="0" width="19.99"/>
    <col collapsed="false" customWidth="true" hidden="false" outlineLevel="0" max="8" min="8" style="0" width="11.55"/>
    <col collapsed="false" customWidth="true" hidden="false" outlineLevel="0" max="9" min="9" style="0" width="15.87"/>
    <col collapsed="false" customWidth="true" hidden="false" outlineLevel="0" max="10" min="10" style="0" width="13.55"/>
    <col collapsed="false" customWidth="true" hidden="false" outlineLevel="0" max="13" min="13" style="0" width="8.55"/>
  </cols>
  <sheetData>
    <row r="1" customFormat="false" ht="14.4" hidden="false" customHeight="false" outlineLevel="0" collapsed="false">
      <c r="A1" s="689"/>
      <c r="B1" s="689"/>
      <c r="C1" s="689"/>
      <c r="D1" s="689"/>
      <c r="E1" s="689"/>
      <c r="F1" s="689"/>
      <c r="G1" s="689"/>
      <c r="H1" s="689"/>
      <c r="I1" s="689"/>
      <c r="J1" s="689"/>
      <c r="K1" s="689"/>
    </row>
    <row r="2" customFormat="false" ht="15.6" hidden="false" customHeight="false" outlineLevel="0" collapsed="false">
      <c r="A2" s="690" t="s">
        <v>280</v>
      </c>
      <c r="B2" s="690"/>
      <c r="C2" s="690"/>
      <c r="D2" s="690"/>
      <c r="E2" s="690"/>
      <c r="F2" s="690"/>
      <c r="G2" s="690"/>
      <c r="H2" s="690"/>
      <c r="I2" s="690"/>
      <c r="J2" s="690"/>
      <c r="K2" s="689"/>
    </row>
    <row r="3" customFormat="false" ht="15.6" hidden="false" customHeight="false" outlineLevel="0" collapsed="false">
      <c r="A3" s="691" t="s">
        <v>281</v>
      </c>
      <c r="B3" s="691"/>
      <c r="C3" s="691"/>
      <c r="D3" s="691"/>
      <c r="E3" s="691"/>
      <c r="F3" s="691"/>
      <c r="G3" s="691"/>
      <c r="H3" s="691"/>
      <c r="I3" s="691"/>
      <c r="J3" s="691"/>
      <c r="K3" s="689"/>
    </row>
    <row r="4" customFormat="false" ht="15.6" hidden="false" customHeight="false" outlineLevel="0" collapsed="false">
      <c r="A4" s="692"/>
      <c r="B4" s="692"/>
      <c r="C4" s="692"/>
      <c r="D4" s="692"/>
      <c r="E4" s="692"/>
      <c r="F4" s="692"/>
      <c r="G4" s="692"/>
      <c r="H4" s="692"/>
      <c r="I4" s="692"/>
      <c r="J4" s="692"/>
      <c r="K4" s="693"/>
      <c r="L4" s="400"/>
      <c r="M4" s="400"/>
    </row>
    <row r="5" customFormat="false" ht="16.2" hidden="false" customHeight="false" outlineLevel="0" collapsed="false">
      <c r="A5" s="692"/>
      <c r="B5" s="692"/>
      <c r="C5" s="692"/>
      <c r="D5" s="692"/>
      <c r="E5" s="692"/>
      <c r="F5" s="692"/>
      <c r="G5" s="692"/>
      <c r="H5" s="692"/>
      <c r="I5" s="692"/>
      <c r="J5" s="692"/>
      <c r="K5" s="693"/>
      <c r="L5" s="400"/>
      <c r="M5" s="400"/>
    </row>
    <row r="6" customFormat="false" ht="25.5" hidden="false" customHeight="true" outlineLevel="0" collapsed="false">
      <c r="A6" s="694" t="s">
        <v>282</v>
      </c>
      <c r="B6" s="694"/>
      <c r="C6" s="694"/>
      <c r="D6" s="694"/>
      <c r="E6" s="694"/>
      <c r="F6" s="694"/>
      <c r="G6" s="694"/>
      <c r="H6" s="694"/>
      <c r="I6" s="694"/>
      <c r="J6" s="694"/>
      <c r="K6" s="694"/>
      <c r="L6" s="694"/>
    </row>
    <row r="7" customFormat="false" ht="15.6" hidden="false" customHeight="true" outlineLevel="0" collapsed="false">
      <c r="A7" s="695" t="s">
        <v>3</v>
      </c>
      <c r="B7" s="696" t="s">
        <v>283</v>
      </c>
      <c r="C7" s="696" t="s">
        <v>245</v>
      </c>
      <c r="D7" s="697" t="s">
        <v>246</v>
      </c>
      <c r="E7" s="697"/>
      <c r="F7" s="697"/>
      <c r="G7" s="698" t="s">
        <v>8</v>
      </c>
      <c r="H7" s="699" t="s">
        <v>54</v>
      </c>
      <c r="I7" s="696" t="s">
        <v>247</v>
      </c>
      <c r="J7" s="696" t="s">
        <v>284</v>
      </c>
      <c r="K7" s="700" t="s">
        <v>285</v>
      </c>
      <c r="L7" s="700"/>
    </row>
    <row r="8" customFormat="false" ht="16.2" hidden="false" customHeight="false" outlineLevel="0" collapsed="false">
      <c r="A8" s="695"/>
      <c r="B8" s="696"/>
      <c r="C8" s="696"/>
      <c r="D8" s="701" t="s">
        <v>249</v>
      </c>
      <c r="E8" s="701" t="s">
        <v>250</v>
      </c>
      <c r="F8" s="701" t="s">
        <v>251</v>
      </c>
      <c r="G8" s="698"/>
      <c r="H8" s="699"/>
      <c r="I8" s="696"/>
      <c r="J8" s="696"/>
      <c r="K8" s="701" t="s">
        <v>286</v>
      </c>
      <c r="L8" s="702" t="s">
        <v>287</v>
      </c>
    </row>
    <row r="9" customFormat="false" ht="28.5" hidden="false" customHeight="true" outlineLevel="0" collapsed="false">
      <c r="A9" s="703" t="s">
        <v>29</v>
      </c>
      <c r="B9" s="704" t="s">
        <v>288</v>
      </c>
      <c r="C9" s="705" t="n">
        <v>40</v>
      </c>
      <c r="D9" s="704" t="s">
        <v>289</v>
      </c>
      <c r="E9" s="706" t="n">
        <v>40</v>
      </c>
      <c r="F9" s="616" t="n">
        <f aca="false">+E9</f>
        <v>40</v>
      </c>
      <c r="G9" s="707" t="n">
        <f aca="false">K9+L9</f>
        <v>4.123</v>
      </c>
      <c r="H9" s="616" t="n">
        <f aca="false">+F9-G9</f>
        <v>35.877</v>
      </c>
      <c r="I9" s="708" t="n">
        <f aca="false">1-G9/F9</f>
        <v>0.896925</v>
      </c>
      <c r="J9" s="616"/>
      <c r="K9" s="709" t="n">
        <v>0.142</v>
      </c>
      <c r="L9" s="710" t="n">
        <v>3.981</v>
      </c>
    </row>
    <row r="10" customFormat="false" ht="15" hidden="true" customHeight="true" outlineLevel="0" collapsed="false">
      <c r="A10" s="711" t="s">
        <v>31</v>
      </c>
      <c r="B10" s="712" t="s">
        <v>288</v>
      </c>
      <c r="C10" s="713"/>
      <c r="D10" s="714" t="s">
        <v>290</v>
      </c>
      <c r="E10" s="715"/>
      <c r="F10" s="623" t="n">
        <f aca="false">+E10</f>
        <v>0</v>
      </c>
      <c r="G10" s="716"/>
      <c r="H10" s="623" t="n">
        <f aca="false">+F10-G10</f>
        <v>0</v>
      </c>
      <c r="I10" s="717" t="e">
        <f aca="false">1-G10/F10</f>
        <v>#DIV/0!</v>
      </c>
      <c r="J10" s="623"/>
      <c r="K10" s="712"/>
      <c r="L10" s="365"/>
    </row>
    <row r="11" customFormat="false" ht="15" hidden="true" customHeight="true" outlineLevel="0" collapsed="false">
      <c r="A11" s="711"/>
      <c r="B11" s="714" t="s">
        <v>291</v>
      </c>
      <c r="C11" s="713"/>
      <c r="D11" s="714"/>
      <c r="E11" s="715"/>
      <c r="F11" s="623" t="n">
        <f aca="false">+E11</f>
        <v>0</v>
      </c>
      <c r="G11" s="716"/>
      <c r="H11" s="623"/>
      <c r="I11" s="717"/>
      <c r="J11" s="623"/>
      <c r="K11" s="712"/>
      <c r="L11" s="365"/>
    </row>
    <row r="12" customFormat="false" ht="15" hidden="false" customHeight="true" outlineLevel="0" collapsed="false">
      <c r="A12" s="718" t="s">
        <v>36</v>
      </c>
      <c r="B12" s="719" t="s">
        <v>288</v>
      </c>
      <c r="C12" s="720" t="n">
        <v>87</v>
      </c>
      <c r="D12" s="721" t="s">
        <v>290</v>
      </c>
      <c r="E12" s="722" t="n">
        <v>87</v>
      </c>
      <c r="F12" s="610" t="n">
        <f aca="false">+E12</f>
        <v>87</v>
      </c>
      <c r="G12" s="723" t="n">
        <f aca="false">K12+L12</f>
        <v>394.361</v>
      </c>
      <c r="H12" s="610" t="n">
        <f aca="false">+F12-G12</f>
        <v>-307.361</v>
      </c>
      <c r="I12" s="724" t="n">
        <f aca="false">1-G12/F12</f>
        <v>-3.53288505747126</v>
      </c>
      <c r="J12" s="725" t="s">
        <v>292</v>
      </c>
      <c r="K12" s="719" t="n">
        <v>394.361</v>
      </c>
      <c r="L12" s="726" t="n">
        <v>0</v>
      </c>
    </row>
    <row r="13" customFormat="false" ht="15" hidden="false" customHeight="true" outlineLevel="0" collapsed="false">
      <c r="A13" s="718"/>
      <c r="B13" s="704" t="s">
        <v>291</v>
      </c>
      <c r="C13" s="705" t="n">
        <v>21</v>
      </c>
      <c r="D13" s="721"/>
      <c r="E13" s="706" t="n">
        <v>21</v>
      </c>
      <c r="F13" s="616" t="n">
        <f aca="false">+E13</f>
        <v>21</v>
      </c>
      <c r="G13" s="707" t="n">
        <f aca="false">K13+L13</f>
        <v>0</v>
      </c>
      <c r="H13" s="616"/>
      <c r="I13" s="708"/>
      <c r="J13" s="727"/>
      <c r="K13" s="709" t="n">
        <v>0</v>
      </c>
      <c r="L13" s="710" t="n">
        <v>0</v>
      </c>
    </row>
    <row r="14" customFormat="false" ht="15" hidden="false" customHeight="true" outlineLevel="0" collapsed="false">
      <c r="A14" s="718" t="s">
        <v>25</v>
      </c>
      <c r="B14" s="719" t="s">
        <v>288</v>
      </c>
      <c r="C14" s="720" t="n">
        <v>7</v>
      </c>
      <c r="D14" s="721" t="s">
        <v>290</v>
      </c>
      <c r="E14" s="722" t="n">
        <f aca="false">C14</f>
        <v>7</v>
      </c>
      <c r="F14" s="610" t="n">
        <f aca="false">+E14</f>
        <v>7</v>
      </c>
      <c r="G14" s="723" t="n">
        <f aca="false">K14+L14</f>
        <v>0</v>
      </c>
      <c r="H14" s="610" t="n">
        <f aca="false">+F14-G14</f>
        <v>7</v>
      </c>
      <c r="I14" s="728" t="n">
        <f aca="false">1-G14/F14</f>
        <v>1</v>
      </c>
      <c r="J14" s="610"/>
      <c r="K14" s="719"/>
      <c r="L14" s="726"/>
    </row>
    <row r="15" customFormat="false" ht="15" hidden="false" customHeight="true" outlineLevel="0" collapsed="false">
      <c r="A15" s="718"/>
      <c r="B15" s="704" t="s">
        <v>291</v>
      </c>
      <c r="C15" s="705" t="n">
        <v>13</v>
      </c>
      <c r="D15" s="721"/>
      <c r="E15" s="706" t="n">
        <f aca="false">C15</f>
        <v>13</v>
      </c>
      <c r="F15" s="616" t="n">
        <f aca="false">+E15</f>
        <v>13</v>
      </c>
      <c r="G15" s="707" t="n">
        <f aca="false">K15+L15</f>
        <v>0</v>
      </c>
      <c r="H15" s="616"/>
      <c r="I15" s="708"/>
      <c r="J15" s="616"/>
      <c r="K15" s="709"/>
      <c r="L15" s="710"/>
    </row>
    <row r="16" customFormat="false" ht="15" hidden="false" customHeight="true" outlineLevel="0" collapsed="false">
      <c r="A16" s="729" t="s">
        <v>16</v>
      </c>
      <c r="B16" s="719" t="s">
        <v>288</v>
      </c>
      <c r="C16" s="720" t="n">
        <v>20</v>
      </c>
      <c r="D16" s="721" t="s">
        <v>290</v>
      </c>
      <c r="E16" s="722" t="n">
        <f aca="false">C16</f>
        <v>20</v>
      </c>
      <c r="F16" s="610" t="n">
        <f aca="false">+E16</f>
        <v>20</v>
      </c>
      <c r="G16" s="723" t="n">
        <f aca="false">K16+L16</f>
        <v>0</v>
      </c>
      <c r="H16" s="610" t="n">
        <f aca="false">+F16-G16</f>
        <v>20</v>
      </c>
      <c r="I16" s="728" t="n">
        <f aca="false">1-G16/F16</f>
        <v>1</v>
      </c>
      <c r="J16" s="610"/>
      <c r="K16" s="719"/>
      <c r="L16" s="726"/>
    </row>
    <row r="17" customFormat="false" ht="15" hidden="false" customHeight="true" outlineLevel="0" collapsed="false">
      <c r="A17" s="729"/>
      <c r="B17" s="704" t="s">
        <v>291</v>
      </c>
      <c r="C17" s="705" t="n">
        <v>10</v>
      </c>
      <c r="D17" s="721"/>
      <c r="E17" s="706" t="n">
        <f aca="false">C17</f>
        <v>10</v>
      </c>
      <c r="F17" s="616" t="n">
        <f aca="false">+E17</f>
        <v>10</v>
      </c>
      <c r="G17" s="707" t="n">
        <f aca="false">K17+L17</f>
        <v>0</v>
      </c>
      <c r="H17" s="616"/>
      <c r="I17" s="708"/>
      <c r="J17" s="616"/>
      <c r="K17" s="709"/>
      <c r="L17" s="710"/>
    </row>
    <row r="18" customFormat="false" ht="15" hidden="false" customHeight="true" outlineLevel="0" collapsed="false">
      <c r="A18" s="730" t="s">
        <v>27</v>
      </c>
      <c r="B18" s="719" t="s">
        <v>288</v>
      </c>
      <c r="C18" s="720" t="n">
        <v>5</v>
      </c>
      <c r="D18" s="721" t="s">
        <v>290</v>
      </c>
      <c r="E18" s="722" t="n">
        <f aca="false">C18</f>
        <v>5</v>
      </c>
      <c r="F18" s="610" t="n">
        <f aca="false">+E18</f>
        <v>5</v>
      </c>
      <c r="G18" s="723" t="n">
        <f aca="false">K18+L18</f>
        <v>0</v>
      </c>
      <c r="H18" s="610" t="n">
        <f aca="false">+F18-G18</f>
        <v>5</v>
      </c>
      <c r="I18" s="728" t="n">
        <f aca="false">1-G18/F18</f>
        <v>1</v>
      </c>
      <c r="J18" s="610"/>
      <c r="K18" s="719"/>
      <c r="L18" s="726"/>
    </row>
    <row r="19" customFormat="false" ht="15" hidden="false" customHeight="true" outlineLevel="0" collapsed="false">
      <c r="A19" s="730"/>
      <c r="B19" s="704" t="s">
        <v>291</v>
      </c>
      <c r="C19" s="705" t="n">
        <v>7</v>
      </c>
      <c r="D19" s="721"/>
      <c r="E19" s="706" t="n">
        <f aca="false">C19</f>
        <v>7</v>
      </c>
      <c r="F19" s="616" t="n">
        <f aca="false">+E19</f>
        <v>7</v>
      </c>
      <c r="G19" s="707" t="n">
        <f aca="false">K19+L19</f>
        <v>0</v>
      </c>
      <c r="H19" s="616"/>
      <c r="I19" s="708"/>
      <c r="J19" s="616"/>
      <c r="K19" s="709"/>
      <c r="L19" s="710"/>
    </row>
    <row r="20" customFormat="false" ht="15" hidden="false" customHeight="true" outlineLevel="0" collapsed="false">
      <c r="A20" s="729" t="s">
        <v>293</v>
      </c>
      <c r="B20" s="721" t="s">
        <v>294</v>
      </c>
      <c r="C20" s="731" t="n">
        <f aca="false">E20+E21+E22</f>
        <v>6</v>
      </c>
      <c r="D20" s="719" t="s">
        <v>295</v>
      </c>
      <c r="E20" s="732" t="n">
        <v>2.5</v>
      </c>
      <c r="F20" s="610" t="n">
        <f aca="false">+E20</f>
        <v>2.5</v>
      </c>
      <c r="G20" s="723" t="n">
        <f aca="false">K20+L20</f>
        <v>0.232</v>
      </c>
      <c r="H20" s="610" t="n">
        <f aca="false">+F20-G20</f>
        <v>2.268</v>
      </c>
      <c r="I20" s="728" t="n">
        <f aca="false">1-G20/F20</f>
        <v>0.9072</v>
      </c>
      <c r="J20" s="733"/>
      <c r="K20" s="734" t="n">
        <v>0</v>
      </c>
      <c r="L20" s="726" t="n">
        <v>0.232</v>
      </c>
    </row>
    <row r="21" customFormat="false" ht="15" hidden="false" customHeight="true" outlineLevel="0" collapsed="false">
      <c r="A21" s="729"/>
      <c r="B21" s="721"/>
      <c r="C21" s="731"/>
      <c r="D21" s="712" t="s">
        <v>296</v>
      </c>
      <c r="E21" s="715" t="n">
        <v>2.5</v>
      </c>
      <c r="F21" s="623" t="n">
        <f aca="false">+E21+H20</f>
        <v>4.768</v>
      </c>
      <c r="G21" s="716" t="n">
        <f aca="false">K21+L21</f>
        <v>0.843</v>
      </c>
      <c r="H21" s="623" t="n">
        <f aca="false">+F21-G21</f>
        <v>3.925</v>
      </c>
      <c r="I21" s="717" t="n">
        <f aca="false">1-G21/F21</f>
        <v>0.823196308724832</v>
      </c>
      <c r="J21" s="735"/>
      <c r="K21" s="736" t="n">
        <v>0</v>
      </c>
      <c r="L21" s="737" t="n">
        <v>0.843</v>
      </c>
    </row>
    <row r="22" customFormat="false" ht="15" hidden="false" customHeight="true" outlineLevel="0" collapsed="false">
      <c r="A22" s="729"/>
      <c r="B22" s="721"/>
      <c r="C22" s="731"/>
      <c r="D22" s="704" t="s">
        <v>291</v>
      </c>
      <c r="E22" s="738" t="n">
        <v>1</v>
      </c>
      <c r="F22" s="616" t="n">
        <f aca="false">E22</f>
        <v>1</v>
      </c>
      <c r="G22" s="707" t="n">
        <f aca="false">K22+L22</f>
        <v>0</v>
      </c>
      <c r="H22" s="616"/>
      <c r="I22" s="708"/>
      <c r="J22" s="727"/>
      <c r="K22" s="739" t="n">
        <v>0</v>
      </c>
      <c r="L22" s="710" t="n">
        <v>0</v>
      </c>
    </row>
    <row r="23" customFormat="false" ht="15" hidden="false" customHeight="true" outlineLevel="0" collapsed="false">
      <c r="A23" s="729"/>
      <c r="B23" s="714" t="s">
        <v>297</v>
      </c>
      <c r="C23" s="740" t="n">
        <f aca="false">E23+E24+E25</f>
        <v>6</v>
      </c>
      <c r="D23" s="712" t="s">
        <v>295</v>
      </c>
      <c r="E23" s="715" t="n">
        <v>2.5</v>
      </c>
      <c r="F23" s="623" t="n">
        <f aca="false">+E23</f>
        <v>2.5</v>
      </c>
      <c r="G23" s="716" t="n">
        <f aca="false">K23+L23</f>
        <v>0</v>
      </c>
      <c r="H23" s="623" t="n">
        <f aca="false">+F23-G23</f>
        <v>2.5</v>
      </c>
      <c r="I23" s="717" t="n">
        <f aca="false">1-G23/F23</f>
        <v>1</v>
      </c>
      <c r="J23" s="735"/>
      <c r="K23" s="736" t="n">
        <v>0</v>
      </c>
      <c r="L23" s="737" t="n">
        <v>0</v>
      </c>
    </row>
    <row r="24" customFormat="false" ht="15" hidden="false" customHeight="true" outlineLevel="0" collapsed="false">
      <c r="A24" s="729"/>
      <c r="B24" s="714"/>
      <c r="C24" s="740"/>
      <c r="D24" s="712" t="s">
        <v>296</v>
      </c>
      <c r="E24" s="715" t="n">
        <v>2.5</v>
      </c>
      <c r="F24" s="623" t="n">
        <f aca="false">+E24+H23</f>
        <v>5</v>
      </c>
      <c r="G24" s="716" t="n">
        <f aca="false">K24+L24</f>
        <v>0</v>
      </c>
      <c r="H24" s="623" t="n">
        <f aca="false">+F24-G24</f>
        <v>5</v>
      </c>
      <c r="I24" s="717" t="n">
        <f aca="false">1-G24/F24</f>
        <v>1</v>
      </c>
      <c r="J24" s="735"/>
      <c r="K24" s="736" t="n">
        <v>0</v>
      </c>
      <c r="L24" s="737" t="n">
        <v>0</v>
      </c>
    </row>
    <row r="25" customFormat="false" ht="15" hidden="false" customHeight="true" outlineLevel="0" collapsed="false">
      <c r="A25" s="729"/>
      <c r="B25" s="714"/>
      <c r="C25" s="740"/>
      <c r="D25" s="714" t="s">
        <v>291</v>
      </c>
      <c r="E25" s="715" t="n">
        <v>1</v>
      </c>
      <c r="F25" s="623" t="n">
        <f aca="false">E25</f>
        <v>1</v>
      </c>
      <c r="G25" s="716" t="n">
        <f aca="false">K25+L25</f>
        <v>0</v>
      </c>
      <c r="H25" s="623"/>
      <c r="I25" s="717"/>
      <c r="J25" s="735"/>
      <c r="K25" s="736" t="n">
        <v>0</v>
      </c>
      <c r="L25" s="737" t="n">
        <v>0</v>
      </c>
    </row>
    <row r="26" customFormat="false" ht="15" hidden="false" customHeight="true" outlineLevel="0" collapsed="false">
      <c r="A26" s="729"/>
      <c r="B26" s="741" t="s">
        <v>298</v>
      </c>
      <c r="C26" s="742" t="n">
        <f aca="false">E26+E27+E28</f>
        <v>6</v>
      </c>
      <c r="D26" s="530" t="s">
        <v>295</v>
      </c>
      <c r="E26" s="743" t="n">
        <v>2.5</v>
      </c>
      <c r="F26" s="744" t="n">
        <f aca="false">+E26</f>
        <v>2.5</v>
      </c>
      <c r="G26" s="745" t="n">
        <f aca="false">K26+L26</f>
        <v>2.688</v>
      </c>
      <c r="H26" s="744" t="n">
        <f aca="false">+F26-G26</f>
        <v>-0.188</v>
      </c>
      <c r="I26" s="746" t="n">
        <f aca="false">1-G26/F26</f>
        <v>-0.0752000000000002</v>
      </c>
      <c r="J26" s="747" t="s">
        <v>299</v>
      </c>
      <c r="K26" s="748" t="n">
        <v>0</v>
      </c>
      <c r="L26" s="749" t="n">
        <v>2.688</v>
      </c>
    </row>
    <row r="27" customFormat="false" ht="15" hidden="false" customHeight="true" outlineLevel="0" collapsed="false">
      <c r="A27" s="729"/>
      <c r="B27" s="741"/>
      <c r="C27" s="742"/>
      <c r="D27" s="712" t="s">
        <v>296</v>
      </c>
      <c r="E27" s="715" t="n">
        <v>2.5</v>
      </c>
      <c r="F27" s="623" t="n">
        <f aca="false">+E27+H26</f>
        <v>2.312</v>
      </c>
      <c r="G27" s="716" t="n">
        <f aca="false">K27+L27</f>
        <v>0.193</v>
      </c>
      <c r="H27" s="623" t="n">
        <f aca="false">+F27-G27</f>
        <v>2.119</v>
      </c>
      <c r="I27" s="717" t="n">
        <f aca="false">1-G27/F27</f>
        <v>0.916522491349481</v>
      </c>
      <c r="J27" s="735"/>
      <c r="K27" s="736" t="n">
        <v>0</v>
      </c>
      <c r="L27" s="737" t="n">
        <v>0.193</v>
      </c>
    </row>
    <row r="28" customFormat="false" ht="15" hidden="false" customHeight="true" outlineLevel="0" collapsed="false">
      <c r="A28" s="729"/>
      <c r="B28" s="741"/>
      <c r="C28" s="742"/>
      <c r="D28" s="750" t="s">
        <v>291</v>
      </c>
      <c r="E28" s="751" t="n">
        <v>1</v>
      </c>
      <c r="F28" s="752" t="n">
        <f aca="false">E28</f>
        <v>1</v>
      </c>
      <c r="G28" s="753" t="n">
        <f aca="false">K28+L28</f>
        <v>0</v>
      </c>
      <c r="H28" s="752"/>
      <c r="I28" s="754"/>
      <c r="J28" s="755"/>
      <c r="K28" s="756" t="n">
        <v>0</v>
      </c>
      <c r="L28" s="757" t="n">
        <v>0</v>
      </c>
    </row>
    <row r="29" customFormat="false" ht="15" hidden="false" customHeight="true" outlineLevel="0" collapsed="false">
      <c r="A29" s="729"/>
      <c r="B29" s="714" t="s">
        <v>300</v>
      </c>
      <c r="C29" s="740" t="n">
        <f aca="false">E29+E30+E31</f>
        <v>36</v>
      </c>
      <c r="D29" s="712" t="s">
        <v>295</v>
      </c>
      <c r="E29" s="715" t="n">
        <v>16</v>
      </c>
      <c r="F29" s="623" t="n">
        <f aca="false">+E29</f>
        <v>16</v>
      </c>
      <c r="G29" s="716" t="n">
        <f aca="false">K29+L29</f>
        <v>32.486</v>
      </c>
      <c r="H29" s="623" t="n">
        <f aca="false">+F29-G29</f>
        <v>-16.486</v>
      </c>
      <c r="I29" s="758" t="n">
        <f aca="false">1-G29/F29</f>
        <v>-1.030375</v>
      </c>
      <c r="J29" s="759" t="s">
        <v>292</v>
      </c>
      <c r="K29" s="736" t="n">
        <v>0</v>
      </c>
      <c r="L29" s="737" t="n">
        <v>32.486</v>
      </c>
    </row>
    <row r="30" customFormat="false" ht="15" hidden="false" customHeight="true" outlineLevel="0" collapsed="false">
      <c r="A30" s="729"/>
      <c r="B30" s="714"/>
      <c r="C30" s="740"/>
      <c r="D30" s="712" t="s">
        <v>296</v>
      </c>
      <c r="E30" s="715" t="n">
        <v>16</v>
      </c>
      <c r="F30" s="623" t="n">
        <f aca="false">+E30+H29</f>
        <v>-0.485999999999997</v>
      </c>
      <c r="G30" s="716" t="n">
        <f aca="false">K30+L30</f>
        <v>0</v>
      </c>
      <c r="H30" s="623" t="n">
        <f aca="false">+F30-G30</f>
        <v>-0.485999999999997</v>
      </c>
      <c r="I30" s="717" t="n">
        <f aca="false">1-G30/F30</f>
        <v>1</v>
      </c>
      <c r="J30" s="759" t="s">
        <v>301</v>
      </c>
      <c r="K30" s="736" t="n">
        <v>0</v>
      </c>
      <c r="L30" s="737" t="n">
        <v>0</v>
      </c>
    </row>
    <row r="31" customFormat="false" ht="15" hidden="false" customHeight="true" outlineLevel="0" collapsed="false">
      <c r="A31" s="729"/>
      <c r="B31" s="714"/>
      <c r="C31" s="740"/>
      <c r="D31" s="714" t="s">
        <v>291</v>
      </c>
      <c r="E31" s="715" t="n">
        <v>4</v>
      </c>
      <c r="F31" s="623" t="n">
        <f aca="false">E31</f>
        <v>4</v>
      </c>
      <c r="G31" s="716" t="n">
        <f aca="false">K31+L31</f>
        <v>0</v>
      </c>
      <c r="H31" s="623"/>
      <c r="I31" s="717"/>
      <c r="J31" s="735"/>
      <c r="K31" s="736" t="n">
        <v>0</v>
      </c>
      <c r="L31" s="737" t="n">
        <v>0</v>
      </c>
    </row>
    <row r="32" customFormat="false" ht="15" hidden="false" customHeight="true" outlineLevel="0" collapsed="false">
      <c r="A32" s="729"/>
      <c r="B32" s="741" t="s">
        <v>302</v>
      </c>
      <c r="C32" s="742" t="n">
        <f aca="false">E32+E33+E34</f>
        <v>6</v>
      </c>
      <c r="D32" s="530" t="s">
        <v>295</v>
      </c>
      <c r="E32" s="743" t="n">
        <v>2.5</v>
      </c>
      <c r="F32" s="744" t="n">
        <f aca="false">+E32</f>
        <v>2.5</v>
      </c>
      <c r="G32" s="745" t="n">
        <f aca="false">K32+L32</f>
        <v>0.031</v>
      </c>
      <c r="H32" s="744" t="n">
        <f aca="false">+F32-G32</f>
        <v>2.469</v>
      </c>
      <c r="I32" s="760" t="n">
        <f aca="false">1-G32/F32</f>
        <v>0.9876</v>
      </c>
      <c r="J32" s="761"/>
      <c r="K32" s="748" t="n">
        <v>0.031</v>
      </c>
      <c r="L32" s="749"/>
    </row>
    <row r="33" customFormat="false" ht="15" hidden="false" customHeight="true" outlineLevel="0" collapsed="false">
      <c r="A33" s="729"/>
      <c r="B33" s="741"/>
      <c r="C33" s="742"/>
      <c r="D33" s="712" t="s">
        <v>296</v>
      </c>
      <c r="E33" s="715" t="n">
        <v>2.5</v>
      </c>
      <c r="F33" s="623" t="n">
        <f aca="false">+E33+H32</f>
        <v>4.969</v>
      </c>
      <c r="G33" s="716" t="n">
        <f aca="false">K33+L33</f>
        <v>0</v>
      </c>
      <c r="H33" s="623" t="n">
        <f aca="false">+F33-G33</f>
        <v>4.969</v>
      </c>
      <c r="I33" s="717" t="n">
        <f aca="false">1-G33/F33</f>
        <v>1</v>
      </c>
      <c r="J33" s="735"/>
      <c r="K33" s="736" t="n">
        <v>0</v>
      </c>
      <c r="L33" s="737"/>
    </row>
    <row r="34" customFormat="false" ht="15" hidden="false" customHeight="true" outlineLevel="0" collapsed="false">
      <c r="A34" s="729"/>
      <c r="B34" s="741"/>
      <c r="C34" s="742"/>
      <c r="D34" s="750" t="s">
        <v>291</v>
      </c>
      <c r="E34" s="751" t="n">
        <v>1</v>
      </c>
      <c r="F34" s="752" t="n">
        <f aca="false">E34</f>
        <v>1</v>
      </c>
      <c r="G34" s="753" t="n">
        <f aca="false">K34+L34</f>
        <v>0</v>
      </c>
      <c r="H34" s="752"/>
      <c r="I34" s="754"/>
      <c r="J34" s="755"/>
      <c r="K34" s="756" t="n">
        <v>0</v>
      </c>
      <c r="L34" s="757"/>
    </row>
    <row r="35" customFormat="false" ht="15" hidden="false" customHeight="true" outlineLevel="0" collapsed="false">
      <c r="A35" s="729"/>
      <c r="B35" s="714" t="s">
        <v>303</v>
      </c>
      <c r="C35" s="740" t="n">
        <f aca="false">E35+E36+E37</f>
        <v>36</v>
      </c>
      <c r="D35" s="712" t="s">
        <v>295</v>
      </c>
      <c r="E35" s="715" t="n">
        <v>16</v>
      </c>
      <c r="F35" s="623" t="n">
        <f aca="false">+E35</f>
        <v>16</v>
      </c>
      <c r="G35" s="716" t="n">
        <f aca="false">K35+L35</f>
        <v>22.053</v>
      </c>
      <c r="H35" s="623" t="n">
        <f aca="false">+F35-G35</f>
        <v>-6.053</v>
      </c>
      <c r="I35" s="758" t="n">
        <f aca="false">1-G35/F35</f>
        <v>-0.3783125</v>
      </c>
      <c r="J35" s="759" t="s">
        <v>304</v>
      </c>
      <c r="K35" s="736" t="n">
        <v>0.877</v>
      </c>
      <c r="L35" s="737" t="n">
        <v>21.176</v>
      </c>
    </row>
    <row r="36" customFormat="false" ht="15" hidden="false" customHeight="true" outlineLevel="0" collapsed="false">
      <c r="A36" s="729"/>
      <c r="B36" s="714"/>
      <c r="C36" s="740"/>
      <c r="D36" s="712" t="s">
        <v>296</v>
      </c>
      <c r="E36" s="715" t="n">
        <v>16</v>
      </c>
      <c r="F36" s="623" t="n">
        <f aca="false">+E36+H35</f>
        <v>9.947</v>
      </c>
      <c r="G36" s="716" t="n">
        <f aca="false">K36+L36</f>
        <v>11.035</v>
      </c>
      <c r="H36" s="623" t="n">
        <f aca="false">+F36-G36</f>
        <v>-1.088</v>
      </c>
      <c r="I36" s="717" t="n">
        <f aca="false">1-G36/F36</f>
        <v>-0.109379712476123</v>
      </c>
      <c r="J36" s="735"/>
      <c r="K36" s="736" t="n">
        <v>0</v>
      </c>
      <c r="L36" s="737" t="n">
        <v>11.035</v>
      </c>
    </row>
    <row r="37" customFormat="false" ht="15" hidden="false" customHeight="true" outlineLevel="0" collapsed="false">
      <c r="A37" s="729"/>
      <c r="B37" s="714"/>
      <c r="C37" s="740"/>
      <c r="D37" s="714" t="s">
        <v>291</v>
      </c>
      <c r="E37" s="715" t="n">
        <v>4</v>
      </c>
      <c r="F37" s="623" t="n">
        <f aca="false">E37</f>
        <v>4</v>
      </c>
      <c r="G37" s="716" t="n">
        <f aca="false">K37+L37</f>
        <v>0</v>
      </c>
      <c r="H37" s="623"/>
      <c r="I37" s="717"/>
      <c r="J37" s="735"/>
      <c r="K37" s="736" t="n">
        <v>0</v>
      </c>
      <c r="L37" s="737" t="n">
        <v>0</v>
      </c>
    </row>
    <row r="38" customFormat="false" ht="15" hidden="false" customHeight="true" outlineLevel="0" collapsed="false">
      <c r="A38" s="729"/>
      <c r="B38" s="762" t="s">
        <v>305</v>
      </c>
      <c r="C38" s="763" t="n">
        <f aca="false">E38+E40+E39</f>
        <v>6</v>
      </c>
      <c r="D38" s="764" t="s">
        <v>295</v>
      </c>
      <c r="E38" s="743" t="n">
        <v>2.5</v>
      </c>
      <c r="F38" s="744" t="n">
        <f aca="false">+E38</f>
        <v>2.5</v>
      </c>
      <c r="G38" s="745" t="n">
        <f aca="false">K38+L38</f>
        <v>3.394</v>
      </c>
      <c r="H38" s="744" t="n">
        <f aca="false">+F38-G38</f>
        <v>-0.894</v>
      </c>
      <c r="I38" s="746" t="n">
        <f aca="false">1-G38/F38</f>
        <v>-0.3576</v>
      </c>
      <c r="J38" s="747" t="s">
        <v>306</v>
      </c>
      <c r="K38" s="748" t="n">
        <v>0</v>
      </c>
      <c r="L38" s="749" t="n">
        <v>3.394</v>
      </c>
    </row>
    <row r="39" customFormat="false" ht="15" hidden="false" customHeight="true" outlineLevel="0" collapsed="false">
      <c r="A39" s="729"/>
      <c r="B39" s="762"/>
      <c r="C39" s="763"/>
      <c r="D39" s="714" t="s">
        <v>296</v>
      </c>
      <c r="E39" s="715" t="n">
        <v>2.5</v>
      </c>
      <c r="F39" s="623" t="n">
        <f aca="false">E39+H38</f>
        <v>1.606</v>
      </c>
      <c r="G39" s="716" t="n">
        <f aca="false">K39+L39</f>
        <v>0</v>
      </c>
      <c r="H39" s="623"/>
      <c r="I39" s="717"/>
      <c r="J39" s="735"/>
      <c r="K39" s="736"/>
      <c r="L39" s="737"/>
    </row>
    <row r="40" customFormat="false" ht="15" hidden="false" customHeight="true" outlineLevel="0" collapsed="false">
      <c r="A40" s="729"/>
      <c r="B40" s="762"/>
      <c r="C40" s="763"/>
      <c r="D40" s="704" t="s">
        <v>291</v>
      </c>
      <c r="E40" s="738" t="n">
        <v>1</v>
      </c>
      <c r="F40" s="616" t="n">
        <f aca="false">E40</f>
        <v>1</v>
      </c>
      <c r="G40" s="707" t="n">
        <f aca="false">K40+L40</f>
        <v>0</v>
      </c>
      <c r="H40" s="616" t="n">
        <f aca="false">+F40-G40</f>
        <v>1</v>
      </c>
      <c r="I40" s="708" t="n">
        <f aca="false">1-G40/F40</f>
        <v>1</v>
      </c>
      <c r="J40" s="727"/>
      <c r="K40" s="739"/>
      <c r="L40" s="710"/>
    </row>
    <row r="41" customFormat="false" ht="15" hidden="false" customHeight="true" outlineLevel="0" collapsed="false">
      <c r="A41" s="765"/>
      <c r="B41" s="714"/>
      <c r="C41" s="740"/>
      <c r="D41" s="712"/>
      <c r="E41" s="766"/>
      <c r="F41" s="767"/>
      <c r="G41" s="623"/>
      <c r="H41" s="623"/>
      <c r="I41" s="717"/>
      <c r="J41" s="735"/>
      <c r="K41" s="768"/>
      <c r="L41" s="296"/>
    </row>
    <row r="42" customFormat="false" ht="14.25" hidden="false" customHeight="true" outlineLevel="0" collapsed="false">
      <c r="A42" s="765"/>
      <c r="B42" s="714"/>
      <c r="C42" s="740"/>
      <c r="D42" s="712"/>
      <c r="E42" s="766"/>
      <c r="F42" s="767"/>
      <c r="G42" s="623"/>
      <c r="H42" s="623"/>
      <c r="I42" s="717"/>
      <c r="J42" s="735"/>
      <c r="K42" s="768"/>
      <c r="L42" s="296"/>
    </row>
    <row r="43" customFormat="false" ht="21" hidden="false" customHeight="true" outlineLevel="0" collapsed="false">
      <c r="A43" s="769" t="s">
        <v>307</v>
      </c>
      <c r="B43" s="769"/>
      <c r="C43" s="769"/>
      <c r="D43" s="769"/>
      <c r="E43" s="769"/>
      <c r="F43" s="769"/>
      <c r="G43" s="769"/>
      <c r="H43" s="769"/>
      <c r="I43" s="770"/>
      <c r="J43" s="770"/>
      <c r="K43" s="771"/>
      <c r="L43" s="298"/>
    </row>
    <row r="44" customFormat="false" ht="16.2" hidden="false" customHeight="false" outlineLevel="0" collapsed="false">
      <c r="A44" s="772" t="s">
        <v>3</v>
      </c>
      <c r="B44" s="773" t="s">
        <v>308</v>
      </c>
      <c r="C44" s="774" t="s">
        <v>249</v>
      </c>
      <c r="D44" s="775" t="s">
        <v>309</v>
      </c>
      <c r="E44" s="775"/>
      <c r="F44" s="776" t="s">
        <v>310</v>
      </c>
      <c r="G44" s="777" t="s">
        <v>311</v>
      </c>
      <c r="H44" s="777"/>
      <c r="I44" s="778"/>
      <c r="J44" s="779"/>
      <c r="K44" s="298"/>
    </row>
    <row r="45" customFormat="false" ht="14.4" hidden="false" customHeight="true" outlineLevel="0" collapsed="false">
      <c r="A45" s="780" t="s">
        <v>312</v>
      </c>
      <c r="B45" s="781" t="s">
        <v>313</v>
      </c>
      <c r="C45" s="782" t="s">
        <v>314</v>
      </c>
      <c r="D45" s="783" t="s">
        <v>287</v>
      </c>
      <c r="E45" s="783"/>
      <c r="F45" s="784" t="n">
        <v>8500.598</v>
      </c>
      <c r="G45" s="785" t="n">
        <f aca="false">+SUM(F45:F46)</f>
        <v>24166.45</v>
      </c>
      <c r="H45" s="785"/>
      <c r="I45" s="712"/>
      <c r="J45" s="771"/>
      <c r="K45" s="298"/>
    </row>
    <row r="46" customFormat="false" ht="14.4" hidden="false" customHeight="false" outlineLevel="0" collapsed="false">
      <c r="A46" s="780"/>
      <c r="B46" s="781"/>
      <c r="C46" s="782"/>
      <c r="D46" s="786" t="s">
        <v>286</v>
      </c>
      <c r="E46" s="786"/>
      <c r="F46" s="787" t="n">
        <v>15665.852</v>
      </c>
      <c r="G46" s="785"/>
      <c r="H46" s="785"/>
      <c r="I46" s="623"/>
      <c r="J46" s="788"/>
      <c r="K46" s="298"/>
    </row>
    <row r="47" customFormat="false" ht="14.4" hidden="false" customHeight="true" outlineLevel="0" collapsed="false">
      <c r="A47" s="789" t="s">
        <v>315</v>
      </c>
      <c r="B47" s="790" t="s">
        <v>313</v>
      </c>
      <c r="C47" s="791" t="s">
        <v>314</v>
      </c>
      <c r="D47" s="786" t="s">
        <v>287</v>
      </c>
      <c r="E47" s="786"/>
      <c r="F47" s="787" t="n">
        <v>5548.869</v>
      </c>
      <c r="G47" s="792" t="n">
        <f aca="false">+SUM(F47:F48)</f>
        <v>5805.354</v>
      </c>
      <c r="H47" s="792"/>
      <c r="I47" s="712"/>
      <c r="J47" s="771"/>
      <c r="K47" s="298"/>
    </row>
    <row r="48" customFormat="false" ht="14.4" hidden="false" customHeight="false" outlineLevel="0" collapsed="false">
      <c r="A48" s="789"/>
      <c r="B48" s="790"/>
      <c r="C48" s="791"/>
      <c r="D48" s="786" t="s">
        <v>286</v>
      </c>
      <c r="E48" s="786"/>
      <c r="F48" s="787" t="n">
        <v>256.485</v>
      </c>
      <c r="G48" s="792"/>
      <c r="H48" s="792"/>
      <c r="I48" s="712"/>
      <c r="J48" s="771"/>
      <c r="K48" s="298"/>
    </row>
    <row r="49" customFormat="false" ht="14.4" hidden="false" customHeight="true" outlineLevel="0" collapsed="false">
      <c r="A49" s="789" t="s">
        <v>316</v>
      </c>
      <c r="B49" s="790" t="s">
        <v>313</v>
      </c>
      <c r="C49" s="791" t="s">
        <v>314</v>
      </c>
      <c r="D49" s="786" t="s">
        <v>287</v>
      </c>
      <c r="E49" s="786"/>
      <c r="F49" s="787" t="n">
        <v>32978.389</v>
      </c>
      <c r="G49" s="792" t="n">
        <f aca="false">F49+F50</f>
        <v>35894.516</v>
      </c>
      <c r="H49" s="792"/>
      <c r="I49" s="712"/>
      <c r="J49" s="771"/>
      <c r="K49" s="298"/>
    </row>
    <row r="50" customFormat="false" ht="14.4" hidden="false" customHeight="false" outlineLevel="0" collapsed="false">
      <c r="A50" s="789"/>
      <c r="B50" s="790"/>
      <c r="C50" s="791"/>
      <c r="D50" s="786" t="s">
        <v>286</v>
      </c>
      <c r="E50" s="786"/>
      <c r="F50" s="787" t="n">
        <v>2916.127</v>
      </c>
      <c r="G50" s="792"/>
      <c r="H50" s="792"/>
    </row>
    <row r="51" customFormat="false" ht="15" hidden="false" customHeight="false" outlineLevel="0" collapsed="false">
      <c r="F51" s="400"/>
    </row>
    <row r="52" customFormat="false" ht="15" hidden="false" customHeight="false" outlineLevel="0" collapsed="false">
      <c r="A52" s="793" t="s">
        <v>317</v>
      </c>
      <c r="B52" s="793"/>
      <c r="C52" s="793"/>
      <c r="D52" s="793"/>
      <c r="E52" s="793"/>
      <c r="F52" s="793"/>
      <c r="G52" s="793"/>
      <c r="H52" s="793"/>
      <c r="I52" s="793"/>
      <c r="J52" s="793"/>
      <c r="K52" s="793"/>
    </row>
    <row r="53" customFormat="false" ht="31.8" hidden="false" customHeight="false" outlineLevel="0" collapsed="false">
      <c r="A53" s="794" t="s">
        <v>3</v>
      </c>
      <c r="B53" s="795" t="s">
        <v>283</v>
      </c>
      <c r="C53" s="796" t="s">
        <v>43</v>
      </c>
      <c r="D53" s="797" t="s">
        <v>249</v>
      </c>
      <c r="E53" s="798" t="s">
        <v>309</v>
      </c>
      <c r="F53" s="798"/>
      <c r="G53" s="799" t="s">
        <v>310</v>
      </c>
      <c r="H53" s="798" t="s">
        <v>311</v>
      </c>
      <c r="I53" s="798"/>
      <c r="J53" s="798" t="s">
        <v>318</v>
      </c>
      <c r="K53" s="800" t="s">
        <v>319</v>
      </c>
    </row>
    <row r="54" customFormat="false" ht="14.4" hidden="false" customHeight="false" outlineLevel="0" collapsed="false">
      <c r="A54" s="801" t="s">
        <v>320</v>
      </c>
      <c r="B54" s="802" t="s">
        <v>321</v>
      </c>
      <c r="C54" s="803" t="n">
        <v>4000</v>
      </c>
      <c r="D54" s="804" t="s">
        <v>322</v>
      </c>
      <c r="E54" s="805" t="s">
        <v>323</v>
      </c>
      <c r="F54" s="805"/>
      <c r="G54" s="806" t="n">
        <v>0</v>
      </c>
      <c r="H54" s="807" t="n">
        <f aca="false">G56+G55+G54+G57+G58</f>
        <v>161548.133</v>
      </c>
      <c r="I54" s="807"/>
      <c r="J54" s="808" t="n">
        <f aca="false">C54-G54</f>
        <v>4000</v>
      </c>
      <c r="K54" s="809"/>
    </row>
    <row r="55" customFormat="false" ht="14.4" hidden="false" customHeight="false" outlineLevel="0" collapsed="false">
      <c r="A55" s="801"/>
      <c r="B55" s="810" t="s">
        <v>324</v>
      </c>
      <c r="C55" s="208" t="n">
        <v>1960</v>
      </c>
      <c r="D55" s="804"/>
      <c r="E55" s="805"/>
      <c r="F55" s="805"/>
      <c r="G55" s="787" t="n">
        <f aca="false">4.882+0.055</f>
        <v>4.937</v>
      </c>
      <c r="H55" s="807"/>
      <c r="I55" s="807"/>
      <c r="J55" s="811" t="n">
        <f aca="false">C55-G55</f>
        <v>1955.063</v>
      </c>
      <c r="K55" s="812" t="s">
        <v>325</v>
      </c>
    </row>
    <row r="56" customFormat="false" ht="15" hidden="false" customHeight="false" outlineLevel="0" collapsed="false">
      <c r="A56" s="801"/>
      <c r="B56" s="813" t="s">
        <v>326</v>
      </c>
      <c r="C56" s="532" t="n">
        <v>194040</v>
      </c>
      <c r="D56" s="804"/>
      <c r="E56" s="805"/>
      <c r="F56" s="805"/>
      <c r="G56" s="814" t="n">
        <f aca="false">36493.155+83945.694</f>
        <v>120438.849</v>
      </c>
      <c r="H56" s="807"/>
      <c r="I56" s="807"/>
      <c r="J56" s="815" t="n">
        <f aca="false">C56-G56</f>
        <v>73601.151</v>
      </c>
      <c r="K56" s="816" t="s">
        <v>325</v>
      </c>
    </row>
    <row r="57" customFormat="false" ht="14.4" hidden="false" customHeight="false" outlineLevel="0" collapsed="false">
      <c r="A57" s="801"/>
      <c r="B57" s="802" t="s">
        <v>327</v>
      </c>
      <c r="C57" s="803" t="n">
        <v>1955.063</v>
      </c>
      <c r="D57" s="817" t="s">
        <v>328</v>
      </c>
      <c r="E57" s="805" t="s">
        <v>323</v>
      </c>
      <c r="F57" s="805"/>
      <c r="G57" s="806" t="n">
        <v>0</v>
      </c>
      <c r="H57" s="818" t="n">
        <f aca="false">G57+G58+G59</f>
        <v>55812.179</v>
      </c>
      <c r="I57" s="818"/>
      <c r="J57" s="808" t="n">
        <f aca="false">C57-G57</f>
        <v>1955.063</v>
      </c>
      <c r="K57" s="819"/>
    </row>
    <row r="58" customFormat="false" ht="14.4" hidden="false" customHeight="false" outlineLevel="0" collapsed="false">
      <c r="A58" s="801"/>
      <c r="B58" s="820" t="s">
        <v>329</v>
      </c>
      <c r="C58" s="208" t="n">
        <v>58880.921</v>
      </c>
      <c r="D58" s="817"/>
      <c r="E58" s="792" t="s">
        <v>287</v>
      </c>
      <c r="F58" s="792"/>
      <c r="G58" s="787" t="n">
        <v>41104.347</v>
      </c>
      <c r="H58" s="818"/>
      <c r="I58" s="818"/>
      <c r="J58" s="811" t="n">
        <f aca="false">C58-G58</f>
        <v>17776.574</v>
      </c>
      <c r="K58" s="821"/>
    </row>
    <row r="59" customFormat="false" ht="15" hidden="false" customHeight="false" outlineLevel="0" collapsed="false">
      <c r="A59" s="801"/>
      <c r="B59" s="822" t="s">
        <v>330</v>
      </c>
      <c r="C59" s="823" t="n">
        <v>14720.23</v>
      </c>
      <c r="D59" s="817"/>
      <c r="E59" s="824" t="s">
        <v>331</v>
      </c>
      <c r="F59" s="824"/>
      <c r="G59" s="825" t="n">
        <v>14707.832</v>
      </c>
      <c r="H59" s="818"/>
      <c r="I59" s="818"/>
      <c r="J59" s="826" t="n">
        <f aca="false">C59-G59</f>
        <v>12.3979999999992</v>
      </c>
      <c r="K59" s="816" t="s">
        <v>332</v>
      </c>
    </row>
    <row r="60" customFormat="false" ht="14.4" hidden="false" customHeight="false" outlineLevel="0" collapsed="false">
      <c r="A60" s="827" t="s">
        <v>333</v>
      </c>
      <c r="B60" s="828" t="s">
        <v>334</v>
      </c>
      <c r="C60" s="803" t="n">
        <v>22</v>
      </c>
      <c r="D60" s="817" t="s">
        <v>335</v>
      </c>
      <c r="E60" s="829" t="s">
        <v>323</v>
      </c>
      <c r="F60" s="829"/>
      <c r="G60" s="806" t="n">
        <f aca="false">0.241+0.13</f>
        <v>0.371</v>
      </c>
      <c r="H60" s="818" t="n">
        <f aca="false">G60+G61</f>
        <v>5.567</v>
      </c>
      <c r="I60" s="818"/>
      <c r="J60" s="830" t="n">
        <f aca="false">C60-G60</f>
        <v>21.629</v>
      </c>
      <c r="K60" s="831"/>
    </row>
    <row r="61" customFormat="false" ht="15" hidden="false" customHeight="false" outlineLevel="0" collapsed="false">
      <c r="A61" s="827"/>
      <c r="B61" s="832" t="s">
        <v>336</v>
      </c>
      <c r="C61" s="823" t="n">
        <v>40</v>
      </c>
      <c r="D61" s="817"/>
      <c r="E61" s="833" t="s">
        <v>323</v>
      </c>
      <c r="F61" s="833"/>
      <c r="G61" s="825" t="n">
        <f aca="false">2.765+2.431</f>
        <v>5.196</v>
      </c>
      <c r="H61" s="818"/>
      <c r="I61" s="818"/>
      <c r="J61" s="826" t="n">
        <f aca="false">C61-G61</f>
        <v>34.804</v>
      </c>
      <c r="K61" s="834"/>
    </row>
    <row r="62" customFormat="false" ht="14.4" hidden="false" customHeight="false" outlineLevel="0" collapsed="false">
      <c r="A62" s="827" t="s">
        <v>337</v>
      </c>
      <c r="B62" s="828" t="s">
        <v>334</v>
      </c>
      <c r="C62" s="803" t="n">
        <v>11</v>
      </c>
      <c r="D62" s="835" t="s">
        <v>335</v>
      </c>
      <c r="E62" s="836" t="s">
        <v>323</v>
      </c>
      <c r="F62" s="836"/>
      <c r="G62" s="806" t="n">
        <f aca="false">0.039+0.18</f>
        <v>0.219</v>
      </c>
      <c r="H62" s="818" t="n">
        <f aca="false">G62+G63</f>
        <v>1.377</v>
      </c>
      <c r="I62" s="818"/>
      <c r="J62" s="808" t="n">
        <f aca="false">C62-G62</f>
        <v>10.781</v>
      </c>
      <c r="K62" s="819"/>
    </row>
    <row r="63" customFormat="false" ht="15" hidden="false" customHeight="false" outlineLevel="0" collapsed="false">
      <c r="A63" s="827"/>
      <c r="B63" s="832" t="s">
        <v>336</v>
      </c>
      <c r="C63" s="823" t="n">
        <v>20</v>
      </c>
      <c r="D63" s="835"/>
      <c r="E63" s="833" t="s">
        <v>323</v>
      </c>
      <c r="F63" s="833"/>
      <c r="G63" s="825" t="n">
        <f aca="false">1.113+0.045</f>
        <v>1.158</v>
      </c>
      <c r="H63" s="818"/>
      <c r="I63" s="818"/>
      <c r="J63" s="826" t="n">
        <f aca="false">C63-G63</f>
        <v>18.842</v>
      </c>
      <c r="K63" s="834"/>
    </row>
    <row r="64" customFormat="false" ht="18" hidden="false" customHeight="true" outlineLevel="0" collapsed="false">
      <c r="A64" s="837" t="s">
        <v>338</v>
      </c>
      <c r="B64" s="838" t="s">
        <v>339</v>
      </c>
      <c r="C64" s="839" t="n">
        <v>968.2</v>
      </c>
      <c r="D64" s="817" t="s">
        <v>335</v>
      </c>
      <c r="E64" s="817" t="s">
        <v>340</v>
      </c>
      <c r="F64" s="817"/>
      <c r="G64" s="806" t="n">
        <v>1056.952</v>
      </c>
      <c r="H64" s="818" t="n">
        <f aca="false">G64</f>
        <v>1056.952</v>
      </c>
      <c r="I64" s="818"/>
      <c r="J64" s="840" t="n">
        <f aca="false">C64-H64</f>
        <v>-88.752</v>
      </c>
      <c r="K64" s="841" t="s">
        <v>341</v>
      </c>
    </row>
    <row r="65" customFormat="false" ht="24" hidden="false" customHeight="true" outlineLevel="0" collapsed="false">
      <c r="A65" s="842"/>
      <c r="B65" s="843"/>
      <c r="C65" s="364"/>
      <c r="D65" s="844"/>
      <c r="E65" s="844"/>
      <c r="F65" s="321"/>
      <c r="G65" s="365"/>
      <c r="H65" s="321"/>
      <c r="I65" s="321"/>
      <c r="J65" s="845"/>
      <c r="K65" s="846"/>
    </row>
    <row r="66" customFormat="false" ht="14.4" hidden="false" customHeight="false" outlineLevel="0" collapsed="false">
      <c r="F66" s="298"/>
      <c r="G66" s="365"/>
    </row>
    <row r="68" customFormat="false" ht="14.4" hidden="false" customHeight="false" outlineLevel="0" collapsed="false">
      <c r="B68" s="847" t="s">
        <v>342</v>
      </c>
      <c r="C68" s="847"/>
      <c r="D68" s="847"/>
      <c r="E68" s="847"/>
      <c r="F68" s="848"/>
      <c r="G68" s="296"/>
      <c r="H68" s="296"/>
    </row>
    <row r="69" customFormat="false" ht="28.5" hidden="false" customHeight="true" outlineLevel="0" collapsed="false">
      <c r="A69" s="849" t="s">
        <v>147</v>
      </c>
      <c r="B69" s="850" t="s">
        <v>343</v>
      </c>
      <c r="C69" s="850" t="s">
        <v>344</v>
      </c>
      <c r="D69" s="850" t="s">
        <v>345</v>
      </c>
      <c r="E69" s="851" t="s">
        <v>346</v>
      </c>
      <c r="F69" s="852"/>
      <c r="G69" s="853"/>
      <c r="H69" s="853"/>
    </row>
    <row r="70" customFormat="false" ht="14.4" hidden="false" customHeight="false" outlineLevel="0" collapsed="false">
      <c r="A70" s="854" t="s">
        <v>155</v>
      </c>
      <c r="B70" s="855"/>
      <c r="C70" s="855"/>
      <c r="D70" s="855"/>
      <c r="E70" s="856" t="n">
        <f aca="false">B70+C70+D70</f>
        <v>0</v>
      </c>
      <c r="F70" s="857"/>
      <c r="G70" s="858"/>
      <c r="H70" s="859"/>
    </row>
    <row r="71" customFormat="false" ht="14.4" hidden="false" customHeight="false" outlineLevel="0" collapsed="false">
      <c r="A71" s="854" t="s">
        <v>193</v>
      </c>
      <c r="B71" s="860" t="n">
        <v>1.662</v>
      </c>
      <c r="C71" s="860"/>
      <c r="D71" s="860"/>
      <c r="E71" s="861" t="n">
        <f aca="false">B71+C71+D71</f>
        <v>1.662</v>
      </c>
      <c r="F71" s="857"/>
      <c r="G71" s="858"/>
      <c r="H71" s="859"/>
    </row>
    <row r="72" customFormat="false" ht="14.4" hidden="false" customHeight="false" outlineLevel="0" collapsed="false">
      <c r="A72" s="854" t="s">
        <v>64</v>
      </c>
      <c r="B72" s="860"/>
      <c r="C72" s="860"/>
      <c r="D72" s="860"/>
      <c r="E72" s="861" t="n">
        <f aca="false">B72+C72+D72</f>
        <v>0</v>
      </c>
      <c r="F72" s="857"/>
      <c r="G72" s="858"/>
      <c r="H72" s="859"/>
    </row>
    <row r="73" customFormat="false" ht="14.4" hidden="false" customHeight="false" outlineLevel="0" collapsed="false">
      <c r="A73" s="854" t="s">
        <v>347</v>
      </c>
      <c r="B73" s="860"/>
      <c r="C73" s="860"/>
      <c r="D73" s="860"/>
      <c r="E73" s="861" t="n">
        <f aca="false">B73+C73+D73</f>
        <v>0</v>
      </c>
      <c r="F73" s="857"/>
      <c r="G73" s="858"/>
      <c r="H73" s="859"/>
    </row>
    <row r="74" customFormat="false" ht="14.4" hidden="false" customHeight="false" outlineLevel="0" collapsed="false">
      <c r="A74" s="854" t="s">
        <v>348</v>
      </c>
      <c r="B74" s="860"/>
      <c r="C74" s="860"/>
      <c r="D74" s="860"/>
      <c r="E74" s="861" t="n">
        <f aca="false">B74+C74+D74</f>
        <v>0</v>
      </c>
      <c r="F74" s="857"/>
      <c r="G74" s="858"/>
      <c r="H74" s="859"/>
    </row>
    <row r="75" customFormat="false" ht="14.4" hidden="false" customHeight="false" outlineLevel="0" collapsed="false">
      <c r="A75" s="854" t="s">
        <v>349</v>
      </c>
      <c r="B75" s="860"/>
      <c r="C75" s="860"/>
      <c r="D75" s="860"/>
      <c r="E75" s="861" t="n">
        <f aca="false">B75+C75+D75</f>
        <v>0</v>
      </c>
      <c r="F75" s="857"/>
      <c r="G75" s="858"/>
      <c r="H75" s="859"/>
    </row>
    <row r="76" customFormat="false" ht="14.4" hidden="false" customHeight="false" outlineLevel="0" collapsed="false">
      <c r="A76" s="854" t="s">
        <v>191</v>
      </c>
      <c r="B76" s="860" t="n">
        <v>0.008</v>
      </c>
      <c r="C76" s="860"/>
      <c r="D76" s="860"/>
      <c r="E76" s="861" t="n">
        <f aca="false">B76+C76+D76</f>
        <v>0.008</v>
      </c>
      <c r="F76" s="857"/>
      <c r="G76" s="858"/>
      <c r="H76" s="859"/>
    </row>
    <row r="77" customFormat="false" ht="14.4" hidden="false" customHeight="false" outlineLevel="0" collapsed="false">
      <c r="A77" s="854" t="s">
        <v>161</v>
      </c>
      <c r="B77" s="860"/>
      <c r="C77" s="860"/>
      <c r="D77" s="860"/>
      <c r="E77" s="861" t="n">
        <f aca="false">B77+C77+D77</f>
        <v>0</v>
      </c>
      <c r="F77" s="857"/>
      <c r="G77" s="858"/>
      <c r="H77" s="859"/>
    </row>
    <row r="78" customFormat="false" ht="14.4" hidden="false" customHeight="false" outlineLevel="0" collapsed="false">
      <c r="A78" s="854" t="s">
        <v>350</v>
      </c>
      <c r="B78" s="860"/>
      <c r="C78" s="860"/>
      <c r="D78" s="860"/>
      <c r="E78" s="861" t="n">
        <f aca="false">B78+C78+D78</f>
        <v>0</v>
      </c>
      <c r="F78" s="857"/>
      <c r="G78" s="858"/>
      <c r="H78" s="859"/>
    </row>
    <row r="79" customFormat="false" ht="14.4" hidden="false" customHeight="false" outlineLevel="0" collapsed="false">
      <c r="A79" s="854" t="s">
        <v>240</v>
      </c>
      <c r="B79" s="860" t="n">
        <v>0.188</v>
      </c>
      <c r="C79" s="860"/>
      <c r="D79" s="860"/>
      <c r="E79" s="861" t="n">
        <f aca="false">B79+C79+D79</f>
        <v>0.188</v>
      </c>
      <c r="F79" s="857"/>
      <c r="G79" s="858"/>
      <c r="H79" s="859"/>
    </row>
    <row r="80" customFormat="false" ht="14.4" hidden="false" customHeight="false" outlineLevel="0" collapsed="false">
      <c r="A80" s="854" t="s">
        <v>351</v>
      </c>
      <c r="B80" s="860" t="n">
        <v>0.005</v>
      </c>
      <c r="C80" s="860"/>
      <c r="D80" s="860"/>
      <c r="E80" s="861" t="n">
        <f aca="false">B80+C80+D80</f>
        <v>0.005</v>
      </c>
      <c r="F80" s="857"/>
      <c r="G80" s="858"/>
      <c r="H80" s="859"/>
    </row>
    <row r="81" customFormat="false" ht="14.4" hidden="false" customHeight="false" outlineLevel="0" collapsed="false">
      <c r="A81" s="862" t="s">
        <v>352</v>
      </c>
      <c r="B81" s="860" t="n">
        <f aca="false">SUM(B70:B79)</f>
        <v>1.858</v>
      </c>
      <c r="C81" s="860" t="n">
        <f aca="false">SUM(C70:C79)</f>
        <v>0</v>
      </c>
      <c r="D81" s="860" t="n">
        <f aca="false">SUM(D70:D79)</f>
        <v>0</v>
      </c>
      <c r="E81" s="863" t="n">
        <f aca="false">SUM(E70:E80)</f>
        <v>1.863</v>
      </c>
      <c r="F81" s="857"/>
      <c r="G81" s="858"/>
      <c r="H81" s="859"/>
    </row>
    <row r="82" customFormat="false" ht="14.4" hidden="false" customHeight="false" outlineLevel="0" collapsed="false">
      <c r="A82" s="864"/>
    </row>
    <row r="83" customFormat="false" ht="14.4" hidden="false" customHeight="false" outlineLevel="0" collapsed="false">
      <c r="A83" s="298"/>
    </row>
    <row r="84" customFormat="false" ht="15" hidden="false" customHeight="false" outlineLevel="0" collapsed="false"/>
    <row r="85" customFormat="false" ht="14.4" hidden="false" customHeight="false" outlineLevel="0" collapsed="false">
      <c r="A85" s="865" t="s">
        <v>353</v>
      </c>
      <c r="B85" s="865"/>
      <c r="C85" s="865"/>
      <c r="D85" s="865"/>
    </row>
    <row r="86" customFormat="false" ht="14.4" hidden="false" customHeight="false" outlineLevel="0" collapsed="false">
      <c r="A86" s="866" t="s">
        <v>354</v>
      </c>
      <c r="B86" s="867" t="s">
        <v>355</v>
      </c>
      <c r="C86" s="868" t="s">
        <v>356</v>
      </c>
      <c r="D86" s="869" t="s">
        <v>318</v>
      </c>
    </row>
    <row r="87" customFormat="false" ht="14.4" hidden="false" customHeight="false" outlineLevel="0" collapsed="false">
      <c r="A87" s="870" t="s">
        <v>357</v>
      </c>
      <c r="B87" s="208" t="n">
        <v>1207.506</v>
      </c>
      <c r="C87" s="871" t="n">
        <v>4400</v>
      </c>
      <c r="D87" s="872" t="n">
        <f aca="false">C87-(B87+B88+B89+B90)</f>
        <v>735.967</v>
      </c>
    </row>
    <row r="88" customFormat="false" ht="14.4" hidden="false" customHeight="false" outlineLevel="0" collapsed="false">
      <c r="A88" s="870" t="s">
        <v>358</v>
      </c>
      <c r="B88" s="208" t="n">
        <v>748.79</v>
      </c>
      <c r="C88" s="871"/>
      <c r="D88" s="872"/>
    </row>
    <row r="89" customFormat="false" ht="14.4" hidden="false" customHeight="false" outlineLevel="0" collapsed="false">
      <c r="A89" s="870" t="s">
        <v>359</v>
      </c>
      <c r="B89" s="208" t="n">
        <v>1370.149</v>
      </c>
      <c r="C89" s="871"/>
      <c r="D89" s="872"/>
    </row>
    <row r="90" customFormat="false" ht="14.4" hidden="false" customHeight="false" outlineLevel="0" collapsed="false">
      <c r="A90" s="870" t="s">
        <v>360</v>
      </c>
      <c r="B90" s="208" t="n">
        <v>337.588</v>
      </c>
      <c r="C90" s="871"/>
      <c r="D90" s="872"/>
    </row>
  </sheetData>
  <mergeCells count="86">
    <mergeCell ref="A2:J2"/>
    <mergeCell ref="A3:J3"/>
    <mergeCell ref="A6:L6"/>
    <mergeCell ref="A7:A8"/>
    <mergeCell ref="B7:B8"/>
    <mergeCell ref="C7:C8"/>
    <mergeCell ref="D7:F7"/>
    <mergeCell ref="G7:G8"/>
    <mergeCell ref="H7:H8"/>
    <mergeCell ref="I7:I8"/>
    <mergeCell ref="J7:J8"/>
    <mergeCell ref="K7:L7"/>
    <mergeCell ref="A10:A11"/>
    <mergeCell ref="D10:D11"/>
    <mergeCell ref="A12:A13"/>
    <mergeCell ref="D12:D13"/>
    <mergeCell ref="A14:A15"/>
    <mergeCell ref="D14:D15"/>
    <mergeCell ref="A16:A17"/>
    <mergeCell ref="D16:D17"/>
    <mergeCell ref="A18:A19"/>
    <mergeCell ref="D18:D19"/>
    <mergeCell ref="A20:A40"/>
    <mergeCell ref="B20:B22"/>
    <mergeCell ref="C20:C22"/>
    <mergeCell ref="B23:B25"/>
    <mergeCell ref="C23:C25"/>
    <mergeCell ref="B26:B28"/>
    <mergeCell ref="C26:C28"/>
    <mergeCell ref="B29:B31"/>
    <mergeCell ref="C29:C31"/>
    <mergeCell ref="B32:B34"/>
    <mergeCell ref="C32:C34"/>
    <mergeCell ref="B35:B37"/>
    <mergeCell ref="C35:C37"/>
    <mergeCell ref="B38:B40"/>
    <mergeCell ref="C38:C40"/>
    <mergeCell ref="A43:H43"/>
    <mergeCell ref="D44:E44"/>
    <mergeCell ref="G44:H44"/>
    <mergeCell ref="A45:A46"/>
    <mergeCell ref="B45:B46"/>
    <mergeCell ref="C45:C46"/>
    <mergeCell ref="D45:E45"/>
    <mergeCell ref="G45:H46"/>
    <mergeCell ref="D46:E46"/>
    <mergeCell ref="A47:A48"/>
    <mergeCell ref="B47:B48"/>
    <mergeCell ref="C47:C48"/>
    <mergeCell ref="D47:E47"/>
    <mergeCell ref="G47:H48"/>
    <mergeCell ref="D48:E48"/>
    <mergeCell ref="A49:A50"/>
    <mergeCell ref="B49:B50"/>
    <mergeCell ref="C49:C50"/>
    <mergeCell ref="D49:E49"/>
    <mergeCell ref="G49:H50"/>
    <mergeCell ref="D50:E50"/>
    <mergeCell ref="A52:K52"/>
    <mergeCell ref="E53:F53"/>
    <mergeCell ref="H53:I53"/>
    <mergeCell ref="A54:A59"/>
    <mergeCell ref="D54:D56"/>
    <mergeCell ref="E54:F56"/>
    <mergeCell ref="H54:I56"/>
    <mergeCell ref="D57:D59"/>
    <mergeCell ref="E57:F57"/>
    <mergeCell ref="H57:I59"/>
    <mergeCell ref="E58:F58"/>
    <mergeCell ref="E59:F59"/>
    <mergeCell ref="A60:A61"/>
    <mergeCell ref="D60:D61"/>
    <mergeCell ref="E60:F60"/>
    <mergeCell ref="H60:I61"/>
    <mergeCell ref="E61:F61"/>
    <mergeCell ref="A62:A63"/>
    <mergeCell ref="D62:D63"/>
    <mergeCell ref="E62:F62"/>
    <mergeCell ref="H62:I63"/>
    <mergeCell ref="E63:F63"/>
    <mergeCell ref="E64:F64"/>
    <mergeCell ref="H64:I64"/>
    <mergeCell ref="B68:E68"/>
    <mergeCell ref="A85:D85"/>
    <mergeCell ref="C87:C90"/>
    <mergeCell ref="D87:D9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9" activeCellId="0" sqref="H39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20.55"/>
    <col collapsed="false" customWidth="true" hidden="false" outlineLevel="0" max="2" min="2" style="0" width="13.1"/>
    <col collapsed="false" customWidth="true" hidden="false" outlineLevel="0" max="3" min="3" style="0" width="23.33"/>
    <col collapsed="false" customWidth="true" hidden="false" outlineLevel="0" max="4" min="4" style="0" width="18.33"/>
    <col collapsed="false" customWidth="true" hidden="false" outlineLevel="0" max="5" min="5" style="0" width="12.43"/>
    <col collapsed="false" customWidth="true" hidden="false" outlineLevel="0" max="6" min="6" style="0" width="15.55"/>
    <col collapsed="false" customWidth="true" hidden="false" outlineLevel="0" max="7" min="7" style="0" width="13.99"/>
    <col collapsed="false" customWidth="true" hidden="false" outlineLevel="0" max="8" min="8" style="873" width="12.43"/>
    <col collapsed="false" customWidth="true" hidden="false" outlineLevel="0" max="9" min="9" style="0" width="20.55"/>
  </cols>
  <sheetData>
    <row r="1" customFormat="false" ht="15" hidden="false" customHeight="false" outlineLevel="0" collapsed="false"/>
    <row r="2" customFormat="false" ht="15" hidden="false" customHeight="false" outlineLevel="0" collapsed="false">
      <c r="A2" s="874"/>
      <c r="B2" s="875" t="s">
        <v>361</v>
      </c>
      <c r="C2" s="875"/>
      <c r="D2" s="875"/>
      <c r="E2" s="875"/>
      <c r="F2" s="875"/>
    </row>
    <row r="3" customFormat="false" ht="14.4" hidden="false" customHeight="false" outlineLevel="0" collapsed="false">
      <c r="J3" s="876"/>
    </row>
    <row r="4" customFormat="false" ht="14.4" hidden="false" customHeight="false" outlineLevel="0" collapsed="false">
      <c r="B4" s="877" t="s">
        <v>362</v>
      </c>
      <c r="C4" s="877"/>
      <c r="D4" s="877"/>
      <c r="E4" s="877"/>
      <c r="F4" s="877"/>
      <c r="J4" s="878"/>
    </row>
    <row r="5" customFormat="false" ht="27.75" hidden="false" customHeight="true" outlineLevel="0" collapsed="false">
      <c r="B5" s="879" t="s">
        <v>4</v>
      </c>
      <c r="C5" s="880" t="s">
        <v>363</v>
      </c>
      <c r="D5" s="879" t="s">
        <v>364</v>
      </c>
      <c r="E5" s="880" t="s">
        <v>365</v>
      </c>
      <c r="F5" s="880" t="s">
        <v>318</v>
      </c>
      <c r="J5" s="876"/>
    </row>
    <row r="6" customFormat="false" ht="14.4" hidden="false" customHeight="false" outlineLevel="0" collapsed="false">
      <c r="A6" s="881" t="s">
        <v>25</v>
      </c>
      <c r="B6" s="208" t="s">
        <v>26</v>
      </c>
      <c r="C6" s="870" t="s">
        <v>366</v>
      </c>
      <c r="D6" s="208" t="n">
        <v>35</v>
      </c>
      <c r="E6" s="860" t="n">
        <v>0</v>
      </c>
      <c r="F6" s="208" t="n">
        <f aca="false">D6-E6</f>
        <v>35</v>
      </c>
      <c r="J6" s="876"/>
    </row>
    <row r="7" customFormat="false" ht="14.4" hidden="false" customHeight="false" outlineLevel="0" collapsed="false">
      <c r="A7" s="881"/>
      <c r="B7" s="208" t="s">
        <v>367</v>
      </c>
      <c r="C7" s="870" t="s">
        <v>368</v>
      </c>
      <c r="D7" s="208" t="n">
        <v>20</v>
      </c>
      <c r="E7" s="860" t="n">
        <v>20.332</v>
      </c>
      <c r="F7" s="882" t="n">
        <f aca="false">D7-E7</f>
        <v>-0.332000000000001</v>
      </c>
      <c r="J7" s="878"/>
    </row>
    <row r="8" customFormat="false" ht="14.4" hidden="false" customHeight="false" outlineLevel="0" collapsed="false">
      <c r="A8" s="881" t="s">
        <v>27</v>
      </c>
      <c r="B8" s="208" t="s">
        <v>369</v>
      </c>
      <c r="C8" s="870" t="s">
        <v>366</v>
      </c>
      <c r="D8" s="208" t="n">
        <v>15</v>
      </c>
      <c r="E8" s="860" t="n">
        <v>0</v>
      </c>
      <c r="F8" s="208" t="n">
        <f aca="false">D8-E8</f>
        <v>15</v>
      </c>
      <c r="J8" s="878"/>
    </row>
    <row r="9" customFormat="false" ht="14.4" hidden="false" customHeight="false" outlineLevel="0" collapsed="false">
      <c r="A9" s="881"/>
      <c r="B9" s="208" t="s">
        <v>367</v>
      </c>
      <c r="C9" s="870" t="s">
        <v>370</v>
      </c>
      <c r="D9" s="208" t="n">
        <v>50</v>
      </c>
      <c r="E9" s="860" t="n">
        <v>47.658</v>
      </c>
      <c r="F9" s="811" t="n">
        <f aca="false">D9-E9</f>
        <v>2.342</v>
      </c>
      <c r="J9" s="876"/>
    </row>
    <row r="10" customFormat="false" ht="14.4" hidden="false" customHeight="false" outlineLevel="0" collapsed="false">
      <c r="A10" s="881" t="s">
        <v>371</v>
      </c>
      <c r="B10" s="208" t="s">
        <v>372</v>
      </c>
      <c r="C10" s="870" t="s">
        <v>373</v>
      </c>
      <c r="D10" s="208" t="n">
        <v>10</v>
      </c>
      <c r="E10" s="860" t="n">
        <v>0</v>
      </c>
      <c r="F10" s="208" t="n">
        <f aca="false">D10-E10</f>
        <v>10</v>
      </c>
      <c r="J10" s="876"/>
    </row>
    <row r="11" customFormat="false" ht="14.4" hidden="false" customHeight="false" outlineLevel="0" collapsed="false">
      <c r="A11" s="881" t="s">
        <v>374</v>
      </c>
      <c r="B11" s="208" t="s">
        <v>17</v>
      </c>
      <c r="C11" s="870" t="s">
        <v>366</v>
      </c>
      <c r="D11" s="208" t="n">
        <v>20</v>
      </c>
      <c r="E11" s="860" t="n">
        <v>12.592</v>
      </c>
      <c r="F11" s="208" t="n">
        <f aca="false">D11-E11</f>
        <v>7.408</v>
      </c>
      <c r="J11" s="876"/>
    </row>
    <row r="12" customFormat="false" ht="14.4" hidden="false" customHeight="false" outlineLevel="0" collapsed="false">
      <c r="J12" s="878"/>
    </row>
    <row r="13" customFormat="false" ht="14.4" hidden="false" customHeight="false" outlineLevel="0" collapsed="false">
      <c r="J13" s="878"/>
    </row>
    <row r="14" customFormat="false" ht="17.25" hidden="false" customHeight="true" outlineLevel="0" collapsed="false">
      <c r="B14" s="883" t="s">
        <v>375</v>
      </c>
      <c r="C14" s="883"/>
      <c r="D14" s="883"/>
      <c r="E14" s="883"/>
      <c r="F14" s="883"/>
      <c r="J14" s="876"/>
    </row>
    <row r="15" customFormat="false" ht="27.6" hidden="false" customHeight="false" outlineLevel="0" collapsed="false">
      <c r="B15" s="879" t="s">
        <v>4</v>
      </c>
      <c r="C15" s="880" t="s">
        <v>363</v>
      </c>
      <c r="D15" s="879" t="s">
        <v>364</v>
      </c>
      <c r="E15" s="880" t="s">
        <v>365</v>
      </c>
      <c r="F15" s="880" t="s">
        <v>318</v>
      </c>
      <c r="I15" s="880" t="s">
        <v>376</v>
      </c>
      <c r="J15" s="884"/>
    </row>
    <row r="16" customFormat="false" ht="14.4" hidden="false" customHeight="false" outlineLevel="0" collapsed="false">
      <c r="A16" s="885" t="s">
        <v>16</v>
      </c>
      <c r="B16" s="811" t="s">
        <v>17</v>
      </c>
      <c r="C16" s="886" t="s">
        <v>377</v>
      </c>
      <c r="D16" s="811" t="n">
        <v>79</v>
      </c>
      <c r="E16" s="811" t="n">
        <v>42.666</v>
      </c>
      <c r="F16" s="811" t="n">
        <f aca="false">D16-E16</f>
        <v>36.334</v>
      </c>
      <c r="I16" s="870" t="s">
        <v>378</v>
      </c>
      <c r="J16" s="884"/>
    </row>
    <row r="17" customFormat="false" ht="14.4" hidden="false" customHeight="true" outlineLevel="0" collapsed="false">
      <c r="A17" s="887" t="s">
        <v>379</v>
      </c>
      <c r="B17" s="811" t="s">
        <v>26</v>
      </c>
      <c r="C17" s="886" t="s">
        <v>377</v>
      </c>
      <c r="D17" s="811" t="n">
        <v>5</v>
      </c>
      <c r="E17" s="811" t="n">
        <v>5.584</v>
      </c>
      <c r="F17" s="882" t="n">
        <f aca="false">D17-E17</f>
        <v>-0.584</v>
      </c>
      <c r="I17" s="870" t="s">
        <v>380</v>
      </c>
      <c r="J17" s="888"/>
    </row>
    <row r="18" customFormat="false" ht="14.4" hidden="false" customHeight="false" outlineLevel="0" collapsed="false">
      <c r="A18" s="887"/>
      <c r="B18" s="811" t="s">
        <v>367</v>
      </c>
      <c r="C18" s="886" t="s">
        <v>381</v>
      </c>
      <c r="D18" s="811" t="n">
        <v>3</v>
      </c>
      <c r="E18" s="811" t="n">
        <v>2.632</v>
      </c>
      <c r="F18" s="811" t="n">
        <f aca="false">D18-E18</f>
        <v>0.368</v>
      </c>
      <c r="I18" s="880" t="s">
        <v>382</v>
      </c>
      <c r="J18" s="884"/>
    </row>
    <row r="19" customFormat="false" ht="14.4" hidden="false" customHeight="false" outlineLevel="0" collapsed="false">
      <c r="A19" s="885" t="s">
        <v>27</v>
      </c>
      <c r="B19" s="811" t="s">
        <v>367</v>
      </c>
      <c r="C19" s="886" t="s">
        <v>383</v>
      </c>
      <c r="D19" s="811" t="n">
        <v>25</v>
      </c>
      <c r="E19" s="811" t="n">
        <v>0</v>
      </c>
      <c r="F19" s="811" t="n">
        <f aca="false">D19-E19</f>
        <v>25</v>
      </c>
      <c r="I19" s="870" t="s">
        <v>384</v>
      </c>
      <c r="J19" s="888"/>
    </row>
    <row r="20" customFormat="false" ht="14.4" hidden="false" customHeight="false" outlineLevel="0" collapsed="false">
      <c r="A20" s="885" t="s">
        <v>29</v>
      </c>
      <c r="B20" s="811" t="s">
        <v>372</v>
      </c>
      <c r="C20" s="889" t="s">
        <v>385</v>
      </c>
      <c r="D20" s="811" t="n">
        <v>10</v>
      </c>
      <c r="E20" s="811" t="n">
        <v>3.227</v>
      </c>
      <c r="F20" s="811" t="n">
        <f aca="false">D20-E20</f>
        <v>6.773</v>
      </c>
      <c r="I20" s="870" t="s">
        <v>386</v>
      </c>
      <c r="J20" s="890"/>
    </row>
    <row r="21" customFormat="false" ht="14.4" hidden="false" customHeight="false" outlineLevel="0" collapsed="false">
      <c r="J21" s="876"/>
    </row>
    <row r="22" customFormat="false" ht="15" hidden="false" customHeight="false" outlineLevel="0" collapsed="false">
      <c r="J22" s="876"/>
    </row>
    <row r="23" customFormat="false" ht="15" hidden="false" customHeight="false" outlineLevel="0" collapsed="false">
      <c r="C23" s="891" t="s">
        <v>387</v>
      </c>
      <c r="D23" s="891"/>
      <c r="E23" s="891"/>
      <c r="F23" s="891"/>
      <c r="G23" s="891"/>
      <c r="H23" s="891"/>
      <c r="J23" s="876"/>
    </row>
    <row r="24" customFormat="false" ht="15" hidden="false" customHeight="false" outlineLevel="0" collapsed="false">
      <c r="C24" s="892" t="s">
        <v>388</v>
      </c>
      <c r="D24" s="892"/>
      <c r="E24" s="893" t="s">
        <v>355</v>
      </c>
      <c r="F24" s="893"/>
      <c r="G24" s="893" t="s">
        <v>389</v>
      </c>
      <c r="H24" s="893"/>
      <c r="J24" s="878"/>
    </row>
    <row r="25" customFormat="false" ht="29.25" hidden="false" customHeight="true" outlineLevel="0" collapsed="false">
      <c r="A25" s="894" t="s">
        <v>390</v>
      </c>
      <c r="B25" s="895" t="s">
        <v>391</v>
      </c>
      <c r="C25" s="895" t="s">
        <v>392</v>
      </c>
      <c r="D25" s="895" t="s">
        <v>393</v>
      </c>
      <c r="E25" s="895" t="s">
        <v>394</v>
      </c>
      <c r="F25" s="895" t="s">
        <v>395</v>
      </c>
      <c r="G25" s="895" t="s">
        <v>396</v>
      </c>
      <c r="H25" s="896" t="s">
        <v>397</v>
      </c>
      <c r="J25" s="878"/>
    </row>
    <row r="26" customFormat="false" ht="14.4" hidden="false" customHeight="false" outlineLevel="0" collapsed="false">
      <c r="A26" s="897" t="s">
        <v>398</v>
      </c>
      <c r="B26" s="208" t="s">
        <v>257</v>
      </c>
      <c r="C26" s="898" t="n">
        <v>12</v>
      </c>
      <c r="D26" s="898" t="n">
        <v>1.2</v>
      </c>
      <c r="E26" s="208" t="n">
        <v>4.556</v>
      </c>
      <c r="F26" s="208" t="n">
        <v>0</v>
      </c>
      <c r="G26" s="898" t="n">
        <f aca="false">C26-(E26+E27+E28+E29+E30+E31)</f>
        <v>2.647</v>
      </c>
      <c r="H26" s="899" t="n">
        <f aca="false">D26-(F26+F27+F28+F29+F30+F31)</f>
        <v>0.971</v>
      </c>
      <c r="J26" s="900"/>
    </row>
    <row r="27" customFormat="false" ht="14.4" hidden="false" customHeight="false" outlineLevel="0" collapsed="false">
      <c r="A27" s="897" t="s">
        <v>399</v>
      </c>
      <c r="B27" s="208" t="s">
        <v>263</v>
      </c>
      <c r="C27" s="898"/>
      <c r="D27" s="898"/>
      <c r="E27" s="208" t="n">
        <v>0</v>
      </c>
      <c r="F27" s="208" t="n">
        <v>0</v>
      </c>
      <c r="G27" s="898"/>
      <c r="H27" s="899"/>
      <c r="J27" s="900"/>
    </row>
    <row r="28" customFormat="false" ht="14.4" hidden="false" customHeight="false" outlineLevel="0" collapsed="false">
      <c r="A28" s="897" t="s">
        <v>400</v>
      </c>
      <c r="B28" s="208" t="s">
        <v>401</v>
      </c>
      <c r="C28" s="898"/>
      <c r="D28" s="898"/>
      <c r="E28" s="208" t="n">
        <v>0.734</v>
      </c>
      <c r="F28" s="208" t="n">
        <v>0.229</v>
      </c>
      <c r="G28" s="898"/>
      <c r="H28" s="899"/>
      <c r="J28" s="878"/>
    </row>
    <row r="29" customFormat="false" ht="14.4" hidden="false" customHeight="false" outlineLevel="0" collapsed="false">
      <c r="A29" s="897" t="s">
        <v>402</v>
      </c>
      <c r="B29" s="208" t="s">
        <v>403</v>
      </c>
      <c r="C29" s="898"/>
      <c r="D29" s="898"/>
      <c r="E29" s="208" t="n">
        <v>2.601</v>
      </c>
      <c r="F29" s="208" t="n">
        <v>0</v>
      </c>
      <c r="G29" s="898"/>
      <c r="H29" s="899"/>
      <c r="J29" s="900"/>
    </row>
    <row r="30" customFormat="false" ht="14.4" hidden="false" customHeight="false" outlineLevel="0" collapsed="false">
      <c r="A30" s="897" t="s">
        <v>404</v>
      </c>
      <c r="B30" s="208" t="s">
        <v>405</v>
      </c>
      <c r="C30" s="898"/>
      <c r="D30" s="898"/>
      <c r="E30" s="208" t="n">
        <v>0</v>
      </c>
      <c r="F30" s="208" t="n">
        <v>0</v>
      </c>
      <c r="G30" s="898"/>
      <c r="H30" s="899"/>
      <c r="J30" s="900"/>
    </row>
    <row r="31" customFormat="false" ht="15" hidden="false" customHeight="false" outlineLevel="0" collapsed="false">
      <c r="A31" s="901" t="s">
        <v>406</v>
      </c>
      <c r="B31" s="823" t="s">
        <v>407</v>
      </c>
      <c r="C31" s="898"/>
      <c r="D31" s="898"/>
      <c r="E31" s="823" t="n">
        <v>1.462</v>
      </c>
      <c r="F31" s="823" t="n">
        <v>0</v>
      </c>
      <c r="G31" s="898"/>
      <c r="H31" s="899"/>
      <c r="J31" s="900"/>
    </row>
    <row r="32" customFormat="false" ht="14.4" hidden="false" customHeight="false" outlineLevel="0" collapsed="false">
      <c r="J32" s="900"/>
    </row>
    <row r="33" customFormat="false" ht="15" hidden="false" customHeight="false" outlineLevel="0" collapsed="false">
      <c r="J33" s="900"/>
    </row>
    <row r="34" customFormat="false" ht="15" hidden="false" customHeight="false" outlineLevel="0" collapsed="false">
      <c r="A34" s="902" t="s">
        <v>408</v>
      </c>
      <c r="B34" s="902"/>
      <c r="C34" s="902"/>
      <c r="D34" s="902"/>
      <c r="E34" s="902"/>
      <c r="F34" s="902"/>
      <c r="G34" s="902"/>
      <c r="J34" s="900"/>
    </row>
    <row r="35" customFormat="false" ht="14.4" hidden="false" customHeight="false" outlineLevel="0" collapsed="false">
      <c r="A35" s="894" t="s">
        <v>390</v>
      </c>
      <c r="B35" s="895" t="s">
        <v>391</v>
      </c>
      <c r="C35" s="903" t="s">
        <v>409</v>
      </c>
      <c r="D35" s="904" t="s">
        <v>410</v>
      </c>
      <c r="E35" s="904" t="s">
        <v>411</v>
      </c>
      <c r="F35" s="904" t="s">
        <v>412</v>
      </c>
      <c r="G35" s="905" t="s">
        <v>413</v>
      </c>
      <c r="J35" s="900"/>
    </row>
    <row r="36" customFormat="false" ht="14.4" hidden="false" customHeight="true" outlineLevel="0" collapsed="false">
      <c r="A36" s="897" t="s">
        <v>414</v>
      </c>
      <c r="B36" s="906" t="s">
        <v>415</v>
      </c>
      <c r="C36" s="907" t="n">
        <v>1.02</v>
      </c>
      <c r="D36" s="208" t="n">
        <v>0.844</v>
      </c>
      <c r="E36" s="908" t="n">
        <f aca="false">C36-D36</f>
        <v>0.176</v>
      </c>
      <c r="F36" s="871" t="n">
        <f aca="false">C36+C37+C38</f>
        <v>3.06</v>
      </c>
      <c r="G36" s="909" t="n">
        <f aca="false">E36+E37+E38</f>
        <v>0.46</v>
      </c>
      <c r="J36" s="900"/>
    </row>
    <row r="37" customFormat="false" ht="14.4" hidden="false" customHeight="false" outlineLevel="0" collapsed="false">
      <c r="A37" s="897" t="s">
        <v>416</v>
      </c>
      <c r="B37" s="906"/>
      <c r="C37" s="907" t="n">
        <v>1.02</v>
      </c>
      <c r="D37" s="208" t="n">
        <v>0.545</v>
      </c>
      <c r="E37" s="908" t="n">
        <f aca="false">C37-D37</f>
        <v>0.475</v>
      </c>
      <c r="F37" s="871"/>
      <c r="G37" s="909"/>
      <c r="J37" s="878"/>
    </row>
    <row r="38" customFormat="false" ht="14.25" hidden="false" customHeight="true" outlineLevel="0" collapsed="false">
      <c r="A38" s="897" t="s">
        <v>417</v>
      </c>
      <c r="B38" s="906"/>
      <c r="C38" s="907" t="n">
        <v>1.02</v>
      </c>
      <c r="D38" s="208" t="n">
        <v>1.211</v>
      </c>
      <c r="E38" s="908" t="n">
        <f aca="false">C38-D38</f>
        <v>-0.191</v>
      </c>
      <c r="F38" s="871"/>
      <c r="G38" s="909"/>
      <c r="J38" s="878"/>
    </row>
    <row r="39" customFormat="false" ht="14.4" hidden="false" customHeight="true" outlineLevel="0" collapsed="false">
      <c r="A39" s="897" t="s">
        <v>418</v>
      </c>
      <c r="B39" s="906" t="s">
        <v>419</v>
      </c>
      <c r="C39" s="907" t="n">
        <v>1.8</v>
      </c>
      <c r="D39" s="208" t="n">
        <v>0</v>
      </c>
      <c r="E39" s="908" t="n">
        <f aca="false">C39-D39</f>
        <v>1.8</v>
      </c>
      <c r="F39" s="871" t="n">
        <f aca="false">C39+C40</f>
        <v>3.6</v>
      </c>
      <c r="G39" s="909" t="n">
        <f aca="false">E39+E40</f>
        <v>1.935</v>
      </c>
      <c r="J39" s="900"/>
    </row>
    <row r="40" customFormat="false" ht="14.4" hidden="false" customHeight="false" outlineLevel="0" collapsed="false">
      <c r="A40" s="897" t="s">
        <v>420</v>
      </c>
      <c r="B40" s="906"/>
      <c r="C40" s="907" t="n">
        <v>1.8</v>
      </c>
      <c r="D40" s="208" t="n">
        <v>1.665</v>
      </c>
      <c r="E40" s="908" t="n">
        <f aca="false">C40-D40</f>
        <v>0.135</v>
      </c>
      <c r="F40" s="871"/>
      <c r="G40" s="909"/>
      <c r="J40" s="900"/>
    </row>
    <row r="41" customFormat="false" ht="14.4" hidden="false" customHeight="true" outlineLevel="0" collapsed="false">
      <c r="A41" s="897" t="s">
        <v>421</v>
      </c>
      <c r="B41" s="906" t="s">
        <v>422</v>
      </c>
      <c r="C41" s="907" t="n">
        <v>1.063</v>
      </c>
      <c r="D41" s="208" t="n">
        <v>0.953</v>
      </c>
      <c r="E41" s="908" t="n">
        <f aca="false">C41-D41</f>
        <v>0.11</v>
      </c>
      <c r="F41" s="871" t="n">
        <f aca="false">C41+C42+C43+C44</f>
        <v>4.252</v>
      </c>
      <c r="G41" s="909" t="n">
        <f aca="false">E41+E42+E43+E44</f>
        <v>-0.0399999999999999</v>
      </c>
      <c r="J41" s="900"/>
    </row>
    <row r="42" customFormat="false" ht="14.4" hidden="false" customHeight="false" outlineLevel="0" collapsed="false">
      <c r="A42" s="897" t="s">
        <v>423</v>
      </c>
      <c r="B42" s="906"/>
      <c r="C42" s="907" t="n">
        <v>1.063</v>
      </c>
      <c r="D42" s="208" t="n">
        <v>1.168</v>
      </c>
      <c r="E42" s="908" t="n">
        <f aca="false">C42-D42</f>
        <v>-0.105</v>
      </c>
      <c r="F42" s="871"/>
      <c r="G42" s="909"/>
      <c r="J42" s="900"/>
    </row>
    <row r="43" customFormat="false" ht="14.4" hidden="false" customHeight="false" outlineLevel="0" collapsed="false">
      <c r="A43" s="897" t="s">
        <v>424</v>
      </c>
      <c r="B43" s="906"/>
      <c r="C43" s="907" t="n">
        <v>1.063</v>
      </c>
      <c r="D43" s="208" t="n">
        <v>1.154</v>
      </c>
      <c r="E43" s="908" t="n">
        <f aca="false">C43-D43</f>
        <v>-0.091</v>
      </c>
      <c r="F43" s="871"/>
      <c r="G43" s="909"/>
    </row>
    <row r="44" customFormat="false" ht="14.4" hidden="false" customHeight="false" outlineLevel="0" collapsed="false">
      <c r="A44" s="897" t="s">
        <v>425</v>
      </c>
      <c r="B44" s="906"/>
      <c r="C44" s="907" t="n">
        <v>1.063</v>
      </c>
      <c r="D44" s="208" t="n">
        <v>1.017</v>
      </c>
      <c r="E44" s="908" t="n">
        <f aca="false">C44-D44</f>
        <v>0.046</v>
      </c>
      <c r="F44" s="871"/>
      <c r="G44" s="909"/>
    </row>
    <row r="45" customFormat="false" ht="14.4" hidden="false" customHeight="true" outlineLevel="0" collapsed="false">
      <c r="A45" s="897" t="s">
        <v>426</v>
      </c>
      <c r="B45" s="906" t="s">
        <v>427</v>
      </c>
      <c r="C45" s="907" t="n">
        <v>2.125</v>
      </c>
      <c r="D45" s="208" t="n">
        <v>2.1</v>
      </c>
      <c r="E45" s="908" t="n">
        <f aca="false">C45-D45</f>
        <v>0.0249999999999999</v>
      </c>
      <c r="F45" s="871" t="n">
        <f aca="false">C45+C46</f>
        <v>4.25</v>
      </c>
      <c r="G45" s="909" t="n">
        <f aca="false">E45+E46</f>
        <v>0.876</v>
      </c>
    </row>
    <row r="46" customFormat="false" ht="14.4" hidden="false" customHeight="false" outlineLevel="0" collapsed="false">
      <c r="A46" s="897" t="s">
        <v>428</v>
      </c>
      <c r="B46" s="906"/>
      <c r="C46" s="907" t="n">
        <v>2.125</v>
      </c>
      <c r="D46" s="208" t="n">
        <v>1.274</v>
      </c>
      <c r="E46" s="908" t="n">
        <f aca="false">C46-D46</f>
        <v>0.851</v>
      </c>
      <c r="F46" s="871"/>
      <c r="G46" s="909"/>
    </row>
    <row r="47" customFormat="false" ht="14.4" hidden="false" customHeight="true" outlineLevel="0" collapsed="false">
      <c r="A47" s="897" t="s">
        <v>429</v>
      </c>
      <c r="B47" s="910" t="s">
        <v>430</v>
      </c>
      <c r="C47" s="907" t="n">
        <v>2.3</v>
      </c>
      <c r="D47" s="208" t="n">
        <v>2.469</v>
      </c>
      <c r="E47" s="908" t="n">
        <f aca="false">C47-D47</f>
        <v>-0.169</v>
      </c>
      <c r="F47" s="898" t="n">
        <f aca="false">C47+C48</f>
        <v>4.6</v>
      </c>
      <c r="G47" s="911" t="n">
        <f aca="false">E47+E48</f>
        <v>-0.182</v>
      </c>
    </row>
    <row r="48" customFormat="false" ht="15" hidden="false" customHeight="false" outlineLevel="0" collapsed="false">
      <c r="A48" s="901" t="s">
        <v>431</v>
      </c>
      <c r="B48" s="910"/>
      <c r="C48" s="912" t="n">
        <v>2.3</v>
      </c>
      <c r="D48" s="823" t="n">
        <v>2.313</v>
      </c>
      <c r="E48" s="913" t="n">
        <f aca="false">C48-D48</f>
        <v>-0.0130000000000003</v>
      </c>
      <c r="F48" s="898"/>
      <c r="G48" s="911"/>
    </row>
  </sheetData>
  <mergeCells count="30">
    <mergeCell ref="B2:F2"/>
    <mergeCell ref="B4:F4"/>
    <mergeCell ref="A6:A7"/>
    <mergeCell ref="A8:A9"/>
    <mergeCell ref="B14:F14"/>
    <mergeCell ref="A17:A18"/>
    <mergeCell ref="C23:H23"/>
    <mergeCell ref="C24:D24"/>
    <mergeCell ref="E24:F24"/>
    <mergeCell ref="G24:H24"/>
    <mergeCell ref="C26:C31"/>
    <mergeCell ref="D26:D31"/>
    <mergeCell ref="G26:G31"/>
    <mergeCell ref="H26:H31"/>
    <mergeCell ref="A34:G34"/>
    <mergeCell ref="B36:B38"/>
    <mergeCell ref="F36:F38"/>
    <mergeCell ref="G36:G38"/>
    <mergeCell ref="B39:B40"/>
    <mergeCell ref="F39:F40"/>
    <mergeCell ref="G39:G40"/>
    <mergeCell ref="B41:B44"/>
    <mergeCell ref="F41:F44"/>
    <mergeCell ref="G41:G44"/>
    <mergeCell ref="B45:B46"/>
    <mergeCell ref="F45:F46"/>
    <mergeCell ref="G45:G46"/>
    <mergeCell ref="B47:B48"/>
    <mergeCell ref="F47:F48"/>
    <mergeCell ref="G47:G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2:V9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L5" activeCellId="0" sqref="L5"/>
    </sheetView>
  </sheetViews>
  <sheetFormatPr defaultColWidth="11.43359375" defaultRowHeight="13.8" customHeight="false" zeroHeight="false" outlineLevelRow="0" outlineLevelCol="0"/>
  <cols>
    <col collapsed="false" customWidth="true" hidden="false" outlineLevel="0" max="1" min="1" style="689" width="10.32"/>
    <col collapsed="false" customWidth="true" hidden="false" outlineLevel="0" max="2" min="2" style="689" width="35.55"/>
    <col collapsed="false" customWidth="true" hidden="false" outlineLevel="0" max="3" min="3" style="689" width="13.1"/>
    <col collapsed="false" customWidth="true" hidden="false" outlineLevel="0" max="4" min="4" style="689" width="17.1"/>
    <col collapsed="false" customWidth="true" hidden="false" outlineLevel="0" max="5" min="5" style="689" width="13.43"/>
    <col collapsed="false" customWidth="true" hidden="false" outlineLevel="0" max="6" min="6" style="689" width="12.66"/>
    <col collapsed="false" customWidth="true" hidden="false" outlineLevel="0" max="7" min="7" style="689" width="12.32"/>
    <col collapsed="false" customWidth="true" hidden="false" outlineLevel="0" max="8" min="8" style="689" width="18.43"/>
    <col collapsed="false" customWidth="true" hidden="false" outlineLevel="0" max="9" min="9" style="689" width="19.99"/>
    <col collapsed="false" customWidth="true" hidden="false" outlineLevel="0" max="10" min="10" style="689" width="9.55"/>
    <col collapsed="false" customWidth="true" hidden="false" outlineLevel="0" max="11" min="11" style="689" width="19.43"/>
    <col collapsed="false" customWidth="true" hidden="false" outlineLevel="0" max="12" min="12" style="689" width="9.99"/>
    <col collapsed="false" customWidth="true" hidden="true" outlineLevel="0" max="13" min="13" style="689" width="13.99"/>
    <col collapsed="false" customWidth="true" hidden="false" outlineLevel="0" max="14" min="14" style="689" width="27.66"/>
    <col collapsed="false" customWidth="true" hidden="false" outlineLevel="0" max="15" min="15" style="689" width="17.99"/>
    <col collapsed="false" customWidth="true" hidden="false" outlineLevel="0" max="16" min="16" style="689" width="9.43"/>
    <col collapsed="false" customWidth="false" hidden="false" outlineLevel="0" max="19" min="17" style="689" width="11.43"/>
    <col collapsed="false" customWidth="true" hidden="false" outlineLevel="0" max="20" min="20" style="689" width="14.33"/>
    <col collapsed="false" customWidth="false" hidden="false" outlineLevel="0" max="257" min="21" style="689" width="11.43"/>
  </cols>
  <sheetData>
    <row r="2" customFormat="false" ht="15.6" hidden="false" customHeight="false" outlineLevel="0" collapsed="false">
      <c r="B2" s="690" t="s">
        <v>432</v>
      </c>
      <c r="C2" s="690"/>
      <c r="D2" s="690"/>
      <c r="E2" s="690"/>
      <c r="F2" s="690"/>
      <c r="G2" s="690"/>
      <c r="H2" s="690"/>
      <c r="I2" s="690"/>
      <c r="J2" s="690"/>
      <c r="K2" s="690"/>
    </row>
    <row r="3" customFormat="false" ht="15.6" hidden="false" customHeight="false" outlineLevel="0" collapsed="false">
      <c r="B3" s="691" t="s">
        <v>2</v>
      </c>
      <c r="C3" s="691"/>
      <c r="D3" s="691"/>
      <c r="E3" s="691"/>
      <c r="F3" s="691"/>
      <c r="G3" s="691"/>
      <c r="H3" s="691"/>
      <c r="I3" s="691"/>
      <c r="J3" s="691"/>
      <c r="K3" s="691"/>
    </row>
    <row r="5" customFormat="false" ht="15.6" hidden="false" customHeight="false" outlineLevel="0" collapsed="false">
      <c r="B5" s="914" t="s">
        <v>433</v>
      </c>
      <c r="C5" s="915" t="n">
        <v>1160</v>
      </c>
      <c r="D5" s="915"/>
      <c r="E5" s="915"/>
    </row>
    <row r="6" customFormat="false" ht="15.6" hidden="false" customHeight="true" outlineLevel="0" collapsed="false">
      <c r="B6" s="916" t="s">
        <v>176</v>
      </c>
      <c r="C6" s="916" t="s">
        <v>434</v>
      </c>
      <c r="D6" s="916" t="s">
        <v>435</v>
      </c>
      <c r="E6" s="916" t="s">
        <v>436</v>
      </c>
      <c r="F6" s="914" t="s">
        <v>437</v>
      </c>
      <c r="G6" s="914"/>
      <c r="H6" s="916" t="s">
        <v>438</v>
      </c>
      <c r="I6" s="917" t="s">
        <v>44</v>
      </c>
      <c r="J6" s="917"/>
      <c r="K6" s="917"/>
      <c r="N6" s="918"/>
      <c r="O6" s="918"/>
      <c r="P6" s="918"/>
      <c r="Q6" s="918"/>
      <c r="R6" s="918"/>
      <c r="S6" s="918"/>
      <c r="T6" s="918"/>
      <c r="U6" s="918"/>
      <c r="V6" s="918"/>
    </row>
    <row r="7" customFormat="false" ht="16.5" hidden="false" customHeight="true" outlineLevel="0" collapsed="false">
      <c r="B7" s="916"/>
      <c r="C7" s="916"/>
      <c r="D7" s="916"/>
      <c r="E7" s="916"/>
      <c r="F7" s="919" t="s">
        <v>439</v>
      </c>
      <c r="G7" s="919" t="s">
        <v>440</v>
      </c>
      <c r="H7" s="916"/>
      <c r="I7" s="919" t="s">
        <v>53</v>
      </c>
      <c r="J7" s="919" t="s">
        <v>54</v>
      </c>
      <c r="K7" s="919" t="s">
        <v>55</v>
      </c>
      <c r="N7" s="918"/>
      <c r="O7" s="918"/>
      <c r="P7" s="918"/>
      <c r="Q7" s="918"/>
      <c r="R7" s="918"/>
      <c r="S7" s="918"/>
      <c r="T7" s="918"/>
      <c r="U7" s="918"/>
      <c r="V7" s="918"/>
    </row>
    <row r="8" customFormat="false" ht="15" hidden="false" customHeight="true" outlineLevel="0" collapsed="false">
      <c r="B8" s="920" t="s">
        <v>441</v>
      </c>
      <c r="C8" s="786" t="n">
        <v>39.76</v>
      </c>
      <c r="D8" s="786" t="n">
        <f aca="false">+$C$5*C8/100</f>
        <v>461.216</v>
      </c>
      <c r="E8" s="786"/>
      <c r="F8" s="921"/>
      <c r="G8" s="921" t="n">
        <v>310</v>
      </c>
      <c r="H8" s="786" t="n">
        <f aca="false">+D8+F8-G8-E8</f>
        <v>151.216</v>
      </c>
      <c r="I8" s="24" t="n">
        <v>145.512</v>
      </c>
      <c r="J8" s="922" t="n">
        <f aca="false">+H8-I8</f>
        <v>5.70400000000001</v>
      </c>
      <c r="K8" s="923" t="n">
        <f aca="false">+I8/H8</f>
        <v>0.962279123902233</v>
      </c>
      <c r="N8" s="918"/>
      <c r="O8" s="918"/>
      <c r="P8" s="918"/>
      <c r="Q8" s="918"/>
      <c r="R8" s="918"/>
      <c r="S8" s="918"/>
      <c r="T8" s="918"/>
      <c r="U8" s="918"/>
      <c r="V8" s="918"/>
    </row>
    <row r="9" customFormat="false" ht="15" hidden="false" customHeight="true" outlineLevel="0" collapsed="false">
      <c r="B9" s="920" t="s">
        <v>442</v>
      </c>
      <c r="C9" s="786" t="n">
        <v>17.91</v>
      </c>
      <c r="D9" s="786" t="n">
        <f aca="false">+$C$5*C9/100</f>
        <v>207.756</v>
      </c>
      <c r="E9" s="786"/>
      <c r="F9" s="924"/>
      <c r="G9" s="924" t="n">
        <v>207.36</v>
      </c>
      <c r="H9" s="786" t="n">
        <f aca="false">+D9+F9-G9-E9</f>
        <v>0.395999999999958</v>
      </c>
      <c r="I9" s="24" t="n">
        <v>0</v>
      </c>
      <c r="J9" s="922" t="n">
        <f aca="false">+H9-I9</f>
        <v>0.395999999999958</v>
      </c>
      <c r="K9" s="923" t="n">
        <f aca="false">+I9/H9</f>
        <v>0</v>
      </c>
      <c r="V9" s="918"/>
    </row>
    <row r="10" customFormat="false" ht="15" hidden="false" customHeight="true" outlineLevel="0" collapsed="false">
      <c r="B10" s="920" t="s">
        <v>443</v>
      </c>
      <c r="C10" s="786" t="n">
        <v>1.16</v>
      </c>
      <c r="D10" s="24" t="n">
        <f aca="false">+$C$5*C10/100</f>
        <v>13.456</v>
      </c>
      <c r="E10" s="786"/>
      <c r="F10" s="924"/>
      <c r="G10" s="925" t="n">
        <v>13.46</v>
      </c>
      <c r="H10" s="25" t="n">
        <f aca="false">+D10+F10-G10-E10</f>
        <v>-0.00400000000000134</v>
      </c>
      <c r="I10" s="24" t="n">
        <v>0</v>
      </c>
      <c r="J10" s="926" t="n">
        <f aca="false">+H10-I10</f>
        <v>-0.00400000000000134</v>
      </c>
      <c r="K10" s="927" t="n">
        <f aca="false">+I10/H10</f>
        <v>-0</v>
      </c>
      <c r="V10" s="918"/>
    </row>
    <row r="11" customFormat="false" ht="15" hidden="false" customHeight="true" outlineLevel="0" collapsed="false">
      <c r="B11" s="920" t="s">
        <v>444</v>
      </c>
      <c r="C11" s="786" t="n">
        <v>16.98</v>
      </c>
      <c r="D11" s="786" t="n">
        <f aca="false">+$C$5*C11/100</f>
        <v>196.968</v>
      </c>
      <c r="E11" s="786"/>
      <c r="F11" s="924" t="n">
        <v>205.76</v>
      </c>
      <c r="G11" s="924" t="n">
        <v>1</v>
      </c>
      <c r="H11" s="786" t="n">
        <f aca="false">+D11+F11-G11-E11</f>
        <v>401.728</v>
      </c>
      <c r="I11" s="24" t="n">
        <v>399.838</v>
      </c>
      <c r="J11" s="922" t="n">
        <f aca="false">+H11-I11</f>
        <v>1.88999999999993</v>
      </c>
      <c r="K11" s="923" t="n">
        <f aca="false">+I11/H11</f>
        <v>0.995295324199459</v>
      </c>
      <c r="V11" s="918"/>
    </row>
    <row r="12" customFormat="false" ht="15" hidden="false" customHeight="true" outlineLevel="0" collapsed="false">
      <c r="B12" s="920" t="s">
        <v>445</v>
      </c>
      <c r="C12" s="786" t="n">
        <v>10</v>
      </c>
      <c r="D12" s="786" t="n">
        <f aca="false">+$C$5*C12/100</f>
        <v>116</v>
      </c>
      <c r="E12" s="786"/>
      <c r="F12" s="924" t="n">
        <v>163.46</v>
      </c>
      <c r="G12" s="924" t="n">
        <v>0.02</v>
      </c>
      <c r="H12" s="786" t="n">
        <f aca="false">+D12+F12-G12-E12</f>
        <v>279.44</v>
      </c>
      <c r="I12" s="24" t="n">
        <v>242.626</v>
      </c>
      <c r="J12" s="922" t="n">
        <f aca="false">+H12-I12</f>
        <v>36.8140000000001</v>
      </c>
      <c r="K12" s="923" t="n">
        <f aca="false">+I12/H12</f>
        <v>0.868257944460349</v>
      </c>
      <c r="V12" s="918"/>
    </row>
    <row r="13" customFormat="false" ht="15" hidden="false" customHeight="true" outlineLevel="0" collapsed="false">
      <c r="B13" s="920" t="s">
        <v>446</v>
      </c>
      <c r="C13" s="786" t="n">
        <v>0.3</v>
      </c>
      <c r="D13" s="786" t="n">
        <f aca="false">+$C$5*C13/100</f>
        <v>3.48</v>
      </c>
      <c r="E13" s="786"/>
      <c r="F13" s="924"/>
      <c r="G13" s="924" t="n">
        <v>3.48</v>
      </c>
      <c r="H13" s="786" t="n">
        <f aca="false">+D13+F13-G13-E13</f>
        <v>0</v>
      </c>
      <c r="I13" s="24" t="n">
        <v>0</v>
      </c>
      <c r="J13" s="922" t="n">
        <f aca="false">+H13-I13</f>
        <v>0</v>
      </c>
      <c r="K13" s="923" t="e">
        <f aca="false">+I13/H13</f>
        <v>#DIV/0!</v>
      </c>
      <c r="V13" s="918"/>
    </row>
    <row r="14" customFormat="false" ht="15" hidden="false" customHeight="true" outlineLevel="0" collapsed="false">
      <c r="B14" s="920" t="s">
        <v>447</v>
      </c>
      <c r="C14" s="786" t="n">
        <v>2.87</v>
      </c>
      <c r="D14" s="786" t="n">
        <f aca="false">+$C$5*C14/100</f>
        <v>33.292</v>
      </c>
      <c r="E14" s="786"/>
      <c r="F14" s="924"/>
      <c r="G14" s="924" t="n">
        <v>33.29</v>
      </c>
      <c r="H14" s="786" t="n">
        <f aca="false">+D14+F14-G14-E14</f>
        <v>0.00200000000000244</v>
      </c>
      <c r="I14" s="24" t="n">
        <v>0</v>
      </c>
      <c r="J14" s="922" t="n">
        <f aca="false">+H14-I14</f>
        <v>0.00200000000000244</v>
      </c>
      <c r="K14" s="923" t="n">
        <f aca="false">+I14/H14</f>
        <v>0</v>
      </c>
      <c r="V14" s="918"/>
    </row>
    <row r="15" customFormat="false" ht="15" hidden="false" customHeight="true" outlineLevel="0" collapsed="false">
      <c r="B15" s="920" t="s">
        <v>448</v>
      </c>
      <c r="C15" s="786" t="n">
        <v>7.84</v>
      </c>
      <c r="D15" s="786" t="n">
        <f aca="false">+$C$5*C15/100</f>
        <v>90.944</v>
      </c>
      <c r="E15" s="786"/>
      <c r="F15" s="924" t="n">
        <v>25.26</v>
      </c>
      <c r="G15" s="924" t="n">
        <v>0.60092</v>
      </c>
      <c r="H15" s="786" t="n">
        <f aca="false">+D15+F15-G15-E15</f>
        <v>115.60308</v>
      </c>
      <c r="I15" s="24" t="n">
        <v>114.388</v>
      </c>
      <c r="J15" s="922" t="n">
        <f aca="false">+H15-I15</f>
        <v>1.21508</v>
      </c>
      <c r="K15" s="923" t="n">
        <f aca="false">+I15/H15</f>
        <v>0.98948920738098</v>
      </c>
      <c r="V15" s="918"/>
    </row>
    <row r="16" customFormat="false" ht="15" hidden="false" customHeight="true" outlineLevel="0" collapsed="false">
      <c r="B16" s="920" t="s">
        <v>449</v>
      </c>
      <c r="C16" s="786" t="n">
        <v>1</v>
      </c>
      <c r="D16" s="786" t="n">
        <f aca="false">+$C$5*C16/100</f>
        <v>11.6</v>
      </c>
      <c r="E16" s="786"/>
      <c r="F16" s="924" t="n">
        <v>1</v>
      </c>
      <c r="G16" s="924"/>
      <c r="H16" s="786" t="n">
        <f aca="false">+D16+F16-G16-E16</f>
        <v>12.6</v>
      </c>
      <c r="I16" s="24" t="n">
        <v>0</v>
      </c>
      <c r="J16" s="922" t="n">
        <f aca="false">+H16-I16</f>
        <v>12.6</v>
      </c>
      <c r="K16" s="923" t="n">
        <f aca="false">+I16/H16</f>
        <v>0</v>
      </c>
      <c r="V16" s="918"/>
    </row>
    <row r="17" customFormat="false" ht="15" hidden="false" customHeight="true" outlineLevel="0" collapsed="false">
      <c r="B17" s="920" t="s">
        <v>450</v>
      </c>
      <c r="C17" s="928" t="n">
        <v>1.64</v>
      </c>
      <c r="D17" s="928" t="n">
        <f aca="false">+$C$5*C17/100</f>
        <v>19.024</v>
      </c>
      <c r="E17" s="928"/>
      <c r="F17" s="924" t="n">
        <v>30.51</v>
      </c>
      <c r="G17" s="924" t="n">
        <v>19</v>
      </c>
      <c r="H17" s="928" t="n">
        <f aca="false">+D17+F17-G17-E17</f>
        <v>30.534</v>
      </c>
      <c r="I17" s="24" t="n">
        <v>23.812</v>
      </c>
      <c r="J17" s="922" t="n">
        <f aca="false">+H17-I17</f>
        <v>6.722</v>
      </c>
      <c r="K17" s="923" t="n">
        <f aca="false">+I17/H17</f>
        <v>0.779851968297636</v>
      </c>
      <c r="V17" s="918"/>
    </row>
    <row r="18" customFormat="false" ht="15" hidden="false" customHeight="true" outlineLevel="0" collapsed="false">
      <c r="B18" s="920" t="s">
        <v>451</v>
      </c>
      <c r="C18" s="928" t="n">
        <v>0</v>
      </c>
      <c r="D18" s="928" t="n">
        <f aca="false">+$C$5*C18/100</f>
        <v>0</v>
      </c>
      <c r="E18" s="928"/>
      <c r="F18" s="924" t="n">
        <v>0.11</v>
      </c>
      <c r="G18" s="924" t="n">
        <v>0.11</v>
      </c>
      <c r="H18" s="928" t="n">
        <f aca="false">+D18+F18-G18-E18</f>
        <v>0</v>
      </c>
      <c r="I18" s="24" t="n">
        <v>0</v>
      </c>
      <c r="J18" s="922" t="n">
        <f aca="false">+H18-I18</f>
        <v>0</v>
      </c>
      <c r="K18" s="923" t="e">
        <f aca="false">+I18/H18</f>
        <v>#DIV/0!</v>
      </c>
      <c r="V18" s="918"/>
    </row>
    <row r="19" customFormat="false" ht="15" hidden="false" customHeight="true" outlineLevel="0" collapsed="false">
      <c r="B19" s="920" t="s">
        <v>452</v>
      </c>
      <c r="C19" s="928" t="n">
        <v>0</v>
      </c>
      <c r="D19" s="928" t="n">
        <f aca="false">+$C$5*C19/100</f>
        <v>0</v>
      </c>
      <c r="E19" s="928"/>
      <c r="F19" s="924" t="n">
        <v>0.03</v>
      </c>
      <c r="G19" s="924" t="n">
        <v>0.03</v>
      </c>
      <c r="H19" s="928" t="n">
        <f aca="false">+D19+F19-G19-E19</f>
        <v>0</v>
      </c>
      <c r="I19" s="24" t="n">
        <v>0</v>
      </c>
      <c r="J19" s="922" t="n">
        <f aca="false">+H19-I19</f>
        <v>0</v>
      </c>
      <c r="K19" s="923" t="e">
        <f aca="false">+I19/H19</f>
        <v>#DIV/0!</v>
      </c>
      <c r="V19" s="918"/>
    </row>
    <row r="20" customFormat="false" ht="15" hidden="false" customHeight="true" outlineLevel="0" collapsed="false">
      <c r="B20" s="920" t="s">
        <v>453</v>
      </c>
      <c r="C20" s="928" t="n">
        <v>0.54</v>
      </c>
      <c r="D20" s="928" t="n">
        <f aca="false">+$C$5*C20/100</f>
        <v>6.264</v>
      </c>
      <c r="E20" s="928"/>
      <c r="F20" s="924" t="n">
        <v>0.5</v>
      </c>
      <c r="G20" s="924"/>
      <c r="H20" s="928" t="n">
        <f aca="false">+D20+F20-G20-E20</f>
        <v>6.764</v>
      </c>
      <c r="I20" s="24" t="n">
        <v>5.898</v>
      </c>
      <c r="J20" s="922" t="n">
        <f aca="false">+H20-I20</f>
        <v>0.866000000000001</v>
      </c>
      <c r="K20" s="923" t="n">
        <f aca="false">+I20/H20</f>
        <v>0.871969248965109</v>
      </c>
      <c r="V20" s="918"/>
    </row>
    <row r="21" customFormat="false" ht="15" hidden="false" customHeight="true" outlineLevel="0" collapsed="false">
      <c r="B21" s="920" t="s">
        <v>454</v>
      </c>
      <c r="C21" s="928" t="n">
        <v>0</v>
      </c>
      <c r="D21" s="928" t="n">
        <f aca="false">+$C$5*C21/100</f>
        <v>0</v>
      </c>
      <c r="E21" s="928"/>
      <c r="F21" s="924" t="n">
        <v>0.75</v>
      </c>
      <c r="G21" s="924"/>
      <c r="H21" s="928" t="n">
        <f aca="false">+D21+F21-G21-E21</f>
        <v>0.75</v>
      </c>
      <c r="I21" s="24" t="n">
        <v>0</v>
      </c>
      <c r="J21" s="922" t="n">
        <f aca="false">+H21-I21</f>
        <v>0.75</v>
      </c>
      <c r="K21" s="923" t="n">
        <f aca="false">+I21/H21</f>
        <v>0</v>
      </c>
      <c r="V21" s="918"/>
    </row>
    <row r="22" customFormat="false" ht="15" hidden="false" customHeight="true" outlineLevel="0" collapsed="false">
      <c r="B22" s="920" t="s">
        <v>455</v>
      </c>
      <c r="C22" s="928" t="n">
        <v>0</v>
      </c>
      <c r="D22" s="928" t="n">
        <f aca="false">+$C$5*C22/100</f>
        <v>0</v>
      </c>
      <c r="E22" s="928"/>
      <c r="F22" s="924" t="n">
        <v>0.75</v>
      </c>
      <c r="G22" s="924"/>
      <c r="H22" s="928" t="n">
        <f aca="false">+D22+F22-G22-E22</f>
        <v>0.75</v>
      </c>
      <c r="I22" s="24" t="n">
        <v>0</v>
      </c>
      <c r="J22" s="922" t="n">
        <f aca="false">+H22-I22</f>
        <v>0.75</v>
      </c>
      <c r="K22" s="923" t="n">
        <f aca="false">+I22/H22</f>
        <v>0</v>
      </c>
      <c r="V22" s="918"/>
    </row>
    <row r="23" customFormat="false" ht="15" hidden="false" customHeight="true" outlineLevel="0" collapsed="false">
      <c r="B23" s="920" t="s">
        <v>456</v>
      </c>
      <c r="C23" s="928" t="n">
        <v>0</v>
      </c>
      <c r="D23" s="928" t="n">
        <f aca="false">+$C$5*C23/100</f>
        <v>0</v>
      </c>
      <c r="E23" s="928"/>
      <c r="F23" s="924" t="n">
        <v>0.10092</v>
      </c>
      <c r="G23" s="924"/>
      <c r="H23" s="928" t="n">
        <f aca="false">+D23+F23-G23-E23</f>
        <v>0.10092</v>
      </c>
      <c r="I23" s="24" t="n">
        <v>0</v>
      </c>
      <c r="J23" s="922" t="n">
        <f aca="false">+H23-I23</f>
        <v>0.10092</v>
      </c>
      <c r="K23" s="923" t="n">
        <f aca="false">+I23/H23</f>
        <v>0</v>
      </c>
      <c r="V23" s="918"/>
    </row>
    <row r="24" customFormat="false" ht="15" hidden="false" customHeight="true" outlineLevel="0" collapsed="false">
      <c r="B24" s="920" t="s">
        <v>457</v>
      </c>
      <c r="C24" s="928" t="n">
        <v>0</v>
      </c>
      <c r="D24" s="928" t="n">
        <f aca="false">+$C$5*C24/100</f>
        <v>0</v>
      </c>
      <c r="E24" s="928"/>
      <c r="F24" s="924" t="n">
        <v>0.1</v>
      </c>
      <c r="G24" s="924"/>
      <c r="H24" s="928" t="n">
        <f aca="false">+D24+F24-G24-E24</f>
        <v>0.1</v>
      </c>
      <c r="I24" s="24" t="n">
        <v>0</v>
      </c>
      <c r="J24" s="922" t="n">
        <f aca="false">+H24-I24</f>
        <v>0.1</v>
      </c>
      <c r="K24" s="923" t="n">
        <f aca="false">+I24/H24</f>
        <v>0</v>
      </c>
      <c r="V24" s="918"/>
    </row>
    <row r="25" customFormat="false" ht="15" hidden="false" customHeight="true" outlineLevel="0" collapsed="false">
      <c r="B25" s="920" t="s">
        <v>458</v>
      </c>
      <c r="C25" s="928" t="n">
        <v>0</v>
      </c>
      <c r="D25" s="928" t="n">
        <f aca="false">+$C$5*C25/100</f>
        <v>0</v>
      </c>
      <c r="E25" s="928"/>
      <c r="F25" s="924" t="n">
        <v>0.02</v>
      </c>
      <c r="G25" s="924"/>
      <c r="H25" s="928" t="n">
        <f aca="false">+D25+F25-G25-E25</f>
        <v>0.02</v>
      </c>
      <c r="I25" s="24" t="n">
        <v>0.027</v>
      </c>
      <c r="J25" s="922" t="n">
        <f aca="false">+H25-I25</f>
        <v>-0.007</v>
      </c>
      <c r="K25" s="923" t="n">
        <f aca="false">+I25/H25</f>
        <v>1.35</v>
      </c>
      <c r="V25" s="918"/>
    </row>
    <row r="26" customFormat="false" ht="15" hidden="false" customHeight="true" outlineLevel="0" collapsed="false">
      <c r="B26" s="920" t="s">
        <v>459</v>
      </c>
      <c r="C26" s="928" t="n">
        <v>0</v>
      </c>
      <c r="D26" s="928" t="n">
        <f aca="false">+$C$5*C26/100</f>
        <v>0</v>
      </c>
      <c r="E26" s="928"/>
      <c r="F26" s="924" t="n">
        <v>5</v>
      </c>
      <c r="G26" s="924"/>
      <c r="H26" s="928" t="n">
        <f aca="false">+D26+F26-G26-E26</f>
        <v>5</v>
      </c>
      <c r="I26" s="24" t="n">
        <v>2.389</v>
      </c>
      <c r="J26" s="922" t="n">
        <f aca="false">+H26-I26</f>
        <v>2.611</v>
      </c>
      <c r="K26" s="923" t="n">
        <f aca="false">+I26/H26</f>
        <v>0.4778</v>
      </c>
      <c r="V26" s="918"/>
    </row>
    <row r="27" customFormat="false" ht="15" hidden="false" customHeight="true" outlineLevel="0" collapsed="false">
      <c r="B27" s="920" t="s">
        <v>460</v>
      </c>
      <c r="C27" s="928" t="n">
        <v>0</v>
      </c>
      <c r="D27" s="928" t="n">
        <f aca="false">+$C$5*C27/100</f>
        <v>0</v>
      </c>
      <c r="E27" s="928"/>
      <c r="F27" s="924" t="n">
        <v>150</v>
      </c>
      <c r="G27" s="924"/>
      <c r="H27" s="928" t="n">
        <f aca="false">+D27+F27-G27-E27</f>
        <v>150</v>
      </c>
      <c r="I27" s="24" t="n">
        <v>148.771</v>
      </c>
      <c r="J27" s="922" t="n">
        <f aca="false">+H27-I27</f>
        <v>1.22900000000001</v>
      </c>
      <c r="K27" s="923" t="n">
        <f aca="false">+I27/H27</f>
        <v>0.991806666666667</v>
      </c>
      <c r="V27" s="918"/>
    </row>
    <row r="28" customFormat="false" ht="15" hidden="false" customHeight="true" outlineLevel="0" collapsed="false">
      <c r="B28" s="920" t="s">
        <v>461</v>
      </c>
      <c r="C28" s="928" t="n">
        <v>0</v>
      </c>
      <c r="D28" s="928" t="n">
        <f aca="false">+$C$5*C28/100</f>
        <v>0</v>
      </c>
      <c r="E28" s="928"/>
      <c r="F28" s="929" t="n">
        <v>5</v>
      </c>
      <c r="G28" s="928"/>
      <c r="H28" s="928" t="n">
        <f aca="false">+D28+F28-G28-E28</f>
        <v>5</v>
      </c>
      <c r="I28" s="24" t="n">
        <v>2.457</v>
      </c>
      <c r="J28" s="922" t="n">
        <f aca="false">+H28-I28</f>
        <v>2.543</v>
      </c>
      <c r="K28" s="923" t="n">
        <f aca="false">+I28/H28</f>
        <v>0.4914</v>
      </c>
      <c r="V28" s="918"/>
    </row>
    <row r="29" customFormat="false" ht="15" hidden="false" customHeight="true" outlineLevel="0" collapsed="false">
      <c r="B29" s="930"/>
      <c r="C29" s="931"/>
      <c r="D29" s="931"/>
      <c r="E29" s="931"/>
      <c r="F29" s="932"/>
      <c r="G29" s="931"/>
      <c r="H29" s="931"/>
      <c r="I29" s="933"/>
      <c r="J29" s="623"/>
      <c r="K29" s="717"/>
      <c r="V29" s="918"/>
    </row>
    <row r="30" customFormat="false" ht="15.6" hidden="false" customHeight="true" outlineLevel="0" collapsed="false">
      <c r="B30" s="914" t="s">
        <v>462</v>
      </c>
      <c r="C30" s="916" t="s">
        <v>434</v>
      </c>
      <c r="D30" s="916" t="s">
        <v>435</v>
      </c>
      <c r="E30" s="916" t="s">
        <v>436</v>
      </c>
      <c r="F30" s="914" t="s">
        <v>437</v>
      </c>
      <c r="G30" s="914"/>
      <c r="H30" s="916" t="s">
        <v>438</v>
      </c>
      <c r="I30" s="917" t="s">
        <v>44</v>
      </c>
      <c r="J30" s="917"/>
      <c r="K30" s="917"/>
      <c r="N30" s="918"/>
      <c r="O30" s="918"/>
      <c r="P30" s="918"/>
      <c r="Q30" s="918"/>
      <c r="R30" s="918"/>
      <c r="S30" s="918"/>
      <c r="T30" s="918"/>
      <c r="U30" s="918"/>
      <c r="V30" s="918"/>
    </row>
    <row r="31" customFormat="false" ht="15.6" hidden="false" customHeight="false" outlineLevel="0" collapsed="false">
      <c r="B31" s="919" t="s">
        <v>433</v>
      </c>
      <c r="C31" s="916"/>
      <c r="D31" s="916"/>
      <c r="E31" s="916"/>
      <c r="F31" s="919" t="s">
        <v>439</v>
      </c>
      <c r="G31" s="919" t="s">
        <v>440</v>
      </c>
      <c r="H31" s="916"/>
      <c r="I31" s="919" t="s">
        <v>53</v>
      </c>
      <c r="J31" s="919" t="s">
        <v>54</v>
      </c>
      <c r="K31" s="919" t="s">
        <v>55</v>
      </c>
      <c r="N31" s="918"/>
      <c r="O31" s="918"/>
      <c r="P31" s="918"/>
      <c r="Q31" s="918"/>
      <c r="R31" s="918"/>
      <c r="S31" s="918"/>
      <c r="T31" s="918"/>
      <c r="U31" s="918"/>
      <c r="V31" s="918"/>
    </row>
    <row r="32" customFormat="false" ht="13.8" hidden="false" customHeight="false" outlineLevel="0" collapsed="false">
      <c r="B32" s="919"/>
      <c r="C32" s="928" t="n">
        <f aca="false">SUM(C8:C28)</f>
        <v>100</v>
      </c>
      <c r="D32" s="928" t="n">
        <f aca="false">SUM(D8:D28)</f>
        <v>1160</v>
      </c>
      <c r="E32" s="928" t="n">
        <f aca="false">SUM(E8:E18)</f>
        <v>0</v>
      </c>
      <c r="F32" s="928" t="n">
        <f aca="false">SUM(F8:F28)</f>
        <v>588.35092</v>
      </c>
      <c r="G32" s="928" t="n">
        <f aca="false">SUM(G8:G28)</f>
        <v>588.35092</v>
      </c>
      <c r="H32" s="928" t="n">
        <f aca="false">SUM(H8:H28)</f>
        <v>1160</v>
      </c>
      <c r="I32" s="934" t="n">
        <f aca="false">SUM(I8:I28)</f>
        <v>1085.718</v>
      </c>
      <c r="J32" s="928" t="n">
        <f aca="false">SUM(J8:J28)</f>
        <v>74.282</v>
      </c>
      <c r="K32" s="923" t="n">
        <f aca="false">+I32/H32</f>
        <v>0.935963793103448</v>
      </c>
      <c r="N32" s="918"/>
      <c r="O32" s="918"/>
      <c r="P32" s="918"/>
      <c r="Q32" s="918"/>
      <c r="R32" s="918"/>
      <c r="S32" s="918"/>
      <c r="T32" s="918"/>
      <c r="U32" s="918"/>
      <c r="V32" s="918"/>
    </row>
    <row r="33" customFormat="false" ht="15.6" hidden="false" customHeight="false" outlineLevel="0" collapsed="false">
      <c r="B33" s="935"/>
      <c r="C33" s="931"/>
      <c r="D33" s="931"/>
      <c r="E33" s="931"/>
      <c r="F33" s="931"/>
      <c r="G33" s="931"/>
      <c r="H33" s="931"/>
      <c r="I33" s="936"/>
      <c r="J33" s="931"/>
      <c r="K33" s="717"/>
      <c r="N33" s="918"/>
      <c r="O33" s="918"/>
      <c r="P33" s="918"/>
      <c r="Q33" s="918"/>
      <c r="R33" s="918"/>
      <c r="S33" s="918"/>
      <c r="T33" s="918"/>
      <c r="U33" s="918"/>
      <c r="V33" s="918"/>
    </row>
    <row r="34" customFormat="false" ht="13.8" hidden="false" customHeight="false" outlineLevel="0" collapsed="false">
      <c r="C34" s="915"/>
      <c r="D34" s="915"/>
      <c r="E34" s="915"/>
      <c r="N34" s="918"/>
      <c r="O34" s="918"/>
      <c r="P34" s="918"/>
      <c r="Q34" s="918"/>
      <c r="R34" s="918"/>
      <c r="S34" s="918"/>
      <c r="T34" s="918"/>
      <c r="U34" s="918"/>
      <c r="V34" s="918"/>
    </row>
    <row r="35" customFormat="false" ht="15.6" hidden="false" customHeight="false" outlineLevel="0" collapsed="false">
      <c r="B35" s="914" t="s">
        <v>463</v>
      </c>
      <c r="C35" s="915" t="n">
        <v>7800</v>
      </c>
      <c r="D35" s="915"/>
      <c r="E35" s="915"/>
      <c r="N35" s="918"/>
      <c r="O35" s="918"/>
      <c r="P35" s="918"/>
      <c r="Q35" s="918"/>
      <c r="R35" s="918"/>
      <c r="S35" s="918"/>
      <c r="T35" s="918"/>
      <c r="U35" s="918"/>
      <c r="V35" s="918"/>
    </row>
    <row r="36" customFormat="false" ht="15.6" hidden="false" customHeight="true" outlineLevel="0" collapsed="false">
      <c r="B36" s="916" t="s">
        <v>176</v>
      </c>
      <c r="C36" s="916" t="s">
        <v>434</v>
      </c>
      <c r="D36" s="916" t="s">
        <v>435</v>
      </c>
      <c r="E36" s="916" t="s">
        <v>436</v>
      </c>
      <c r="F36" s="914" t="s">
        <v>437</v>
      </c>
      <c r="G36" s="914"/>
      <c r="H36" s="916" t="s">
        <v>438</v>
      </c>
      <c r="I36" s="917" t="s">
        <v>44</v>
      </c>
      <c r="J36" s="917"/>
      <c r="K36" s="917"/>
      <c r="M36" s="771"/>
      <c r="V36" s="918"/>
    </row>
    <row r="37" customFormat="false" ht="14.25" hidden="false" customHeight="true" outlineLevel="0" collapsed="false">
      <c r="B37" s="916"/>
      <c r="C37" s="916"/>
      <c r="D37" s="916"/>
      <c r="E37" s="916"/>
      <c r="F37" s="919" t="s">
        <v>439</v>
      </c>
      <c r="G37" s="919" t="s">
        <v>440</v>
      </c>
      <c r="H37" s="916"/>
      <c r="I37" s="919" t="s">
        <v>53</v>
      </c>
      <c r="J37" s="919" t="s">
        <v>54</v>
      </c>
      <c r="K37" s="919" t="s">
        <v>55</v>
      </c>
      <c r="M37" s="771"/>
      <c r="N37" s="918"/>
      <c r="O37" s="918"/>
      <c r="P37" s="918"/>
      <c r="Q37" s="918"/>
      <c r="R37" s="918"/>
      <c r="S37" s="918"/>
      <c r="T37" s="918"/>
      <c r="U37" s="918"/>
      <c r="V37" s="918"/>
    </row>
    <row r="38" customFormat="false" ht="18" hidden="false" customHeight="true" outlineLevel="0" collapsed="false">
      <c r="B38" s="920" t="s">
        <v>441</v>
      </c>
      <c r="C38" s="928" t="n">
        <v>69.82</v>
      </c>
      <c r="D38" s="928" t="n">
        <f aca="false">+$C$35*C38/100</f>
        <v>5445.96</v>
      </c>
      <c r="E38" s="928"/>
      <c r="F38" s="937" t="n">
        <v>1164.04</v>
      </c>
      <c r="G38" s="937" t="n">
        <v>2500</v>
      </c>
      <c r="H38" s="928" t="n">
        <f aca="false">+D38+F38-G38-E38</f>
        <v>4110</v>
      </c>
      <c r="I38" s="24" t="n">
        <v>4108.601</v>
      </c>
      <c r="J38" s="922" t="n">
        <f aca="false">H38-I38</f>
        <v>1.39900000000034</v>
      </c>
      <c r="K38" s="923" t="n">
        <f aca="false">+I38/H38</f>
        <v>0.999659610705596</v>
      </c>
      <c r="M38" s="771"/>
      <c r="N38" s="938"/>
      <c r="O38" s="938"/>
      <c r="P38" s="939"/>
      <c r="Q38" s="939"/>
      <c r="R38" s="939"/>
      <c r="S38" s="939"/>
      <c r="T38" s="939"/>
      <c r="U38" s="939"/>
      <c r="V38" s="918"/>
    </row>
    <row r="39" customFormat="false" ht="15" hidden="false" customHeight="true" outlineLevel="0" collapsed="false">
      <c r="B39" s="920" t="s">
        <v>442</v>
      </c>
      <c r="C39" s="928" t="n">
        <v>15.18</v>
      </c>
      <c r="D39" s="928" t="n">
        <f aca="false">+$C$35*C39/100</f>
        <v>1184.04</v>
      </c>
      <c r="E39" s="928"/>
      <c r="F39" s="925"/>
      <c r="G39" s="925" t="n">
        <v>1165.64</v>
      </c>
      <c r="H39" s="928" t="n">
        <f aca="false">+D39+F39-G39-E39</f>
        <v>18.3999999999999</v>
      </c>
      <c r="I39" s="24" t="n">
        <v>0</v>
      </c>
      <c r="J39" s="922" t="n">
        <f aca="false">H39-I39</f>
        <v>18.3999999999999</v>
      </c>
      <c r="K39" s="923" t="n">
        <f aca="false">+I39/H39</f>
        <v>0</v>
      </c>
      <c r="M39" s="771"/>
      <c r="N39" s="296"/>
      <c r="O39" s="940"/>
      <c r="P39" s="940"/>
      <c r="Q39" s="940"/>
      <c r="R39" s="940"/>
      <c r="S39" s="941"/>
      <c r="T39" s="940"/>
      <c r="U39" s="940"/>
      <c r="V39" s="918"/>
    </row>
    <row r="40" customFormat="false" ht="15" hidden="false" customHeight="true" outlineLevel="0" collapsed="false">
      <c r="B40" s="920" t="s">
        <v>443</v>
      </c>
      <c r="C40" s="928" t="n">
        <v>0.5</v>
      </c>
      <c r="D40" s="928" t="n">
        <f aca="false">+$C$35*C40/100</f>
        <v>39</v>
      </c>
      <c r="E40" s="928"/>
      <c r="F40" s="925"/>
      <c r="G40" s="925" t="n">
        <v>39</v>
      </c>
      <c r="H40" s="928" t="n">
        <f aca="false">+D40+F40-G40-E40</f>
        <v>0</v>
      </c>
      <c r="I40" s="24" t="n">
        <v>0</v>
      </c>
      <c r="J40" s="922" t="n">
        <f aca="false">H40-I40</f>
        <v>0</v>
      </c>
      <c r="K40" s="923" t="e">
        <f aca="false">+I40/H40</f>
        <v>#DIV/0!</v>
      </c>
      <c r="M40" s="771"/>
      <c r="V40" s="918"/>
    </row>
    <row r="41" customFormat="false" ht="15" hidden="false" customHeight="true" outlineLevel="0" collapsed="false">
      <c r="B41" s="920" t="s">
        <v>444</v>
      </c>
      <c r="C41" s="928" t="n">
        <v>4.82</v>
      </c>
      <c r="D41" s="928" t="n">
        <f aca="false">+$C$35*C41/100</f>
        <v>375.96</v>
      </c>
      <c r="E41" s="928"/>
      <c r="F41" s="925" t="n">
        <v>0.408</v>
      </c>
      <c r="G41" s="925" t="n">
        <v>1.5</v>
      </c>
      <c r="H41" s="928" t="n">
        <f aca="false">+D41+F41-G41-E41</f>
        <v>374.868</v>
      </c>
      <c r="I41" s="24" t="n">
        <v>374.785</v>
      </c>
      <c r="J41" s="922" t="n">
        <f aca="false">H41-I41</f>
        <v>0.08299999999997</v>
      </c>
      <c r="K41" s="923" t="n">
        <f aca="false">+I41/H41</f>
        <v>0.9997785887299</v>
      </c>
      <c r="M41" s="771"/>
      <c r="V41" s="918"/>
    </row>
    <row r="42" customFormat="false" ht="15" hidden="false" customHeight="true" outlineLevel="0" collapsed="false">
      <c r="B42" s="920" t="s">
        <v>445</v>
      </c>
      <c r="C42" s="928" t="n">
        <v>2.81</v>
      </c>
      <c r="D42" s="928" t="n">
        <f aca="false">+$C$35*C42/100</f>
        <v>219.18</v>
      </c>
      <c r="E42" s="928"/>
      <c r="F42" s="925" t="n">
        <v>928</v>
      </c>
      <c r="G42" s="925" t="n">
        <v>0.024</v>
      </c>
      <c r="H42" s="928" t="n">
        <f aca="false">+D42+F42-G42-E42</f>
        <v>1147.156</v>
      </c>
      <c r="I42" s="24" t="n">
        <v>1110.878</v>
      </c>
      <c r="J42" s="922" t="n">
        <f aca="false">H42-I42</f>
        <v>36.2780000000003</v>
      </c>
      <c r="K42" s="923" t="n">
        <f aca="false">+I42/H42</f>
        <v>0.968375704786446</v>
      </c>
      <c r="M42" s="771"/>
      <c r="N42" s="296"/>
      <c r="O42" s="940"/>
      <c r="P42" s="940"/>
      <c r="Q42" s="940"/>
      <c r="R42" s="940"/>
      <c r="S42" s="940"/>
      <c r="T42" s="940"/>
      <c r="U42" s="940"/>
      <c r="V42" s="918"/>
    </row>
    <row r="43" customFormat="false" ht="15" hidden="false" customHeight="true" outlineLevel="0" collapsed="false">
      <c r="B43" s="920" t="s">
        <v>464</v>
      </c>
      <c r="C43" s="928" t="n">
        <v>1.5</v>
      </c>
      <c r="D43" s="928" t="n">
        <f aca="false">+$C$35*C43/100</f>
        <v>117</v>
      </c>
      <c r="E43" s="928"/>
      <c r="F43" s="925"/>
      <c r="G43" s="925"/>
      <c r="H43" s="928" t="n">
        <f aca="false">+D43+F43-G43-E43</f>
        <v>117</v>
      </c>
      <c r="I43" s="24" t="n">
        <v>0</v>
      </c>
      <c r="J43" s="922" t="n">
        <f aca="false">H43-I43</f>
        <v>117</v>
      </c>
      <c r="K43" s="923" t="n">
        <f aca="false">+I43/H43</f>
        <v>0</v>
      </c>
      <c r="M43" s="771"/>
      <c r="V43" s="918"/>
    </row>
    <row r="44" customFormat="false" ht="15" hidden="false" customHeight="true" outlineLevel="0" collapsed="false">
      <c r="B44" s="920" t="s">
        <v>447</v>
      </c>
      <c r="C44" s="928" t="n">
        <v>0.53</v>
      </c>
      <c r="D44" s="928" t="n">
        <f aca="false">+$C$35*C44/100</f>
        <v>41.34</v>
      </c>
      <c r="E44" s="928"/>
      <c r="F44" s="925"/>
      <c r="G44" s="925" t="n">
        <v>40.95</v>
      </c>
      <c r="H44" s="928" t="n">
        <f aca="false">+D44+F44-G44-E44</f>
        <v>0.390000000000001</v>
      </c>
      <c r="I44" s="24" t="n">
        <v>0</v>
      </c>
      <c r="J44" s="922" t="n">
        <f aca="false">H44-I44</f>
        <v>0.390000000000001</v>
      </c>
      <c r="K44" s="923" t="n">
        <f aca="false">+I44/H44</f>
        <v>0</v>
      </c>
      <c r="M44" s="771"/>
      <c r="V44" s="918"/>
    </row>
    <row r="45" customFormat="false" ht="14.4" hidden="false" customHeight="false" outlineLevel="0" collapsed="false">
      <c r="B45" s="920" t="s">
        <v>448</v>
      </c>
      <c r="C45" s="928" t="n">
        <v>3.31</v>
      </c>
      <c r="D45" s="928" t="n">
        <f aca="false">+$C$35*C45/100</f>
        <v>258.18</v>
      </c>
      <c r="E45" s="928"/>
      <c r="F45" s="925" t="n">
        <v>32.85</v>
      </c>
      <c r="G45" s="925" t="n">
        <v>0.5094</v>
      </c>
      <c r="H45" s="928" t="n">
        <f aca="false">+D45+F45-G45-E45</f>
        <v>290.5206</v>
      </c>
      <c r="I45" s="24" t="n">
        <v>289.827</v>
      </c>
      <c r="J45" s="922" t="n">
        <f aca="false">H45-I45</f>
        <v>0.693600000000004</v>
      </c>
      <c r="K45" s="923" t="n">
        <f aca="false">+I45/H45</f>
        <v>0.997612561725399</v>
      </c>
      <c r="M45" s="771"/>
      <c r="N45" s="918"/>
      <c r="O45" s="918"/>
      <c r="P45" s="918"/>
      <c r="Q45" s="918"/>
      <c r="R45" s="918"/>
      <c r="S45" s="918"/>
      <c r="T45" s="918"/>
      <c r="U45" s="918"/>
      <c r="V45" s="918"/>
    </row>
    <row r="46" customFormat="false" ht="14.4" hidden="false" customHeight="false" outlineLevel="0" collapsed="false">
      <c r="B46" s="920" t="s">
        <v>465</v>
      </c>
      <c r="C46" s="928" t="n">
        <v>0.5</v>
      </c>
      <c r="D46" s="928" t="n">
        <f aca="false">+$C$35*C46/100</f>
        <v>39</v>
      </c>
      <c r="E46" s="928"/>
      <c r="F46" s="925"/>
      <c r="G46" s="925" t="n">
        <v>39</v>
      </c>
      <c r="H46" s="928" t="n">
        <f aca="false">+D46+F46-G46-E46</f>
        <v>0</v>
      </c>
      <c r="I46" s="24" t="n">
        <v>0</v>
      </c>
      <c r="J46" s="922" t="n">
        <f aca="false">H46-I46</f>
        <v>0</v>
      </c>
      <c r="K46" s="923" t="e">
        <f aca="false">+I46/H46</f>
        <v>#DIV/0!</v>
      </c>
      <c r="M46" s="771"/>
      <c r="N46" s="918"/>
      <c r="O46" s="918"/>
      <c r="P46" s="918"/>
      <c r="Q46" s="918"/>
      <c r="R46" s="918"/>
      <c r="S46" s="918"/>
      <c r="T46" s="918"/>
      <c r="U46" s="918"/>
      <c r="V46" s="918"/>
    </row>
    <row r="47" customFormat="false" ht="14.4" hidden="false" customHeight="false" outlineLevel="0" collapsed="false">
      <c r="B47" s="920" t="s">
        <v>450</v>
      </c>
      <c r="C47" s="928" t="n">
        <v>0.53</v>
      </c>
      <c r="D47" s="928" t="n">
        <f aca="false">+$C$35*C47/100</f>
        <v>41.34</v>
      </c>
      <c r="E47" s="928"/>
      <c r="F47" s="925" t="n">
        <v>35.1</v>
      </c>
      <c r="G47" s="925" t="n">
        <v>27</v>
      </c>
      <c r="H47" s="928" t="n">
        <f aca="false">+D47+F47-G47-E47</f>
        <v>49.44</v>
      </c>
      <c r="I47" s="24" t="n">
        <v>49.066</v>
      </c>
      <c r="J47" s="922" t="n">
        <f aca="false">H47-I47</f>
        <v>0.373999999999995</v>
      </c>
      <c r="K47" s="923" t="n">
        <f aca="false">+I47/H47</f>
        <v>0.992435275080906</v>
      </c>
      <c r="M47" s="771"/>
      <c r="N47" s="296"/>
      <c r="O47" s="940"/>
      <c r="P47" s="940"/>
      <c r="Q47" s="940"/>
      <c r="R47" s="940"/>
      <c r="S47" s="941"/>
      <c r="T47" s="940"/>
      <c r="U47" s="940"/>
      <c r="V47" s="918"/>
    </row>
    <row r="48" customFormat="false" ht="14.4" hidden="false" customHeight="false" outlineLevel="0" collapsed="false">
      <c r="B48" s="920" t="s">
        <v>466</v>
      </c>
      <c r="C48" s="928" t="n">
        <v>0.5</v>
      </c>
      <c r="D48" s="928" t="n">
        <f aca="false">+$C$35*C48/100</f>
        <v>39</v>
      </c>
      <c r="E48" s="928"/>
      <c r="F48" s="942"/>
      <c r="G48" s="942"/>
      <c r="H48" s="928" t="n">
        <f aca="false">+D48+F48-G48-E48</f>
        <v>39</v>
      </c>
      <c r="I48" s="24" t="n">
        <v>0</v>
      </c>
      <c r="J48" s="922" t="n">
        <f aca="false">H48-I48</f>
        <v>39</v>
      </c>
      <c r="K48" s="923" t="n">
        <f aca="false">+I48/H48</f>
        <v>0</v>
      </c>
      <c r="M48" s="771"/>
      <c r="V48" s="918"/>
    </row>
    <row r="49" customFormat="false" ht="14.4" hidden="false" customHeight="false" outlineLevel="0" collapsed="false">
      <c r="B49" s="920" t="s">
        <v>451</v>
      </c>
      <c r="C49" s="928" t="n">
        <v>0</v>
      </c>
      <c r="D49" s="928" t="n">
        <f aca="false">+$C$35*C49/100</f>
        <v>0</v>
      </c>
      <c r="E49" s="928"/>
      <c r="F49" s="925" t="n">
        <v>0.11</v>
      </c>
      <c r="G49" s="925" t="n">
        <v>0.11</v>
      </c>
      <c r="H49" s="928" t="n">
        <f aca="false">+D49+F49-G49-E49</f>
        <v>0</v>
      </c>
      <c r="I49" s="24" t="n">
        <v>0</v>
      </c>
      <c r="J49" s="922" t="n">
        <f aca="false">H49-I49</f>
        <v>0</v>
      </c>
      <c r="K49" s="923" t="e">
        <f aca="false">+I49/H49</f>
        <v>#DIV/0!</v>
      </c>
      <c r="M49" s="771"/>
      <c r="V49" s="918"/>
    </row>
    <row r="50" customFormat="false" ht="15" hidden="false" customHeight="true" outlineLevel="0" collapsed="false">
      <c r="B50" s="920" t="s">
        <v>452</v>
      </c>
      <c r="C50" s="928" t="n">
        <v>0</v>
      </c>
      <c r="D50" s="928" t="n">
        <f aca="false">+$C$35*C50/100</f>
        <v>0</v>
      </c>
      <c r="E50" s="928"/>
      <c r="F50" s="925" t="n">
        <v>0.03</v>
      </c>
      <c r="G50" s="925" t="n">
        <v>0.03</v>
      </c>
      <c r="H50" s="928" t="n">
        <f aca="false">+D50+F50-G50-E50</f>
        <v>0</v>
      </c>
      <c r="I50" s="24" t="n">
        <v>0</v>
      </c>
      <c r="J50" s="922" t="n">
        <f aca="false">H50-I50</f>
        <v>0</v>
      </c>
      <c r="K50" s="923" t="e">
        <f aca="false">+I50/H50</f>
        <v>#DIV/0!</v>
      </c>
      <c r="M50" s="771"/>
      <c r="V50" s="918"/>
    </row>
    <row r="51" customFormat="false" ht="14.25" hidden="false" customHeight="true" outlineLevel="0" collapsed="false">
      <c r="B51" s="920" t="s">
        <v>453</v>
      </c>
      <c r="C51" s="928" t="n">
        <v>0</v>
      </c>
      <c r="D51" s="928" t="n">
        <f aca="false">+$C$35*C51/100</f>
        <v>0</v>
      </c>
      <c r="E51" s="928"/>
      <c r="F51" s="925" t="n">
        <v>0.5</v>
      </c>
      <c r="G51" s="925"/>
      <c r="H51" s="928" t="n">
        <f aca="false">+D51+F51-G51-E51</f>
        <v>0.5</v>
      </c>
      <c r="I51" s="24" t="n">
        <v>0</v>
      </c>
      <c r="J51" s="922" t="n">
        <f aca="false">H51-I51</f>
        <v>0.5</v>
      </c>
      <c r="K51" s="923" t="n">
        <f aca="false">+I51/H51</f>
        <v>0</v>
      </c>
      <c r="M51" s="771"/>
      <c r="V51" s="918"/>
    </row>
    <row r="52" customFormat="false" ht="14.25" hidden="false" customHeight="true" outlineLevel="0" collapsed="false">
      <c r="B52" s="920" t="s">
        <v>467</v>
      </c>
      <c r="C52" s="928" t="n">
        <v>0</v>
      </c>
      <c r="D52" s="928" t="n">
        <f aca="false">+$C$35*C52/100</f>
        <v>0</v>
      </c>
      <c r="E52" s="928"/>
      <c r="F52" s="925" t="n">
        <v>1</v>
      </c>
      <c r="G52" s="925"/>
      <c r="H52" s="928" t="n">
        <f aca="false">+D52+F52-G52-E52</f>
        <v>1</v>
      </c>
      <c r="I52" s="24" t="n">
        <v>0</v>
      </c>
      <c r="J52" s="922" t="n">
        <f aca="false">H52-I52</f>
        <v>1</v>
      </c>
      <c r="K52" s="923" t="n">
        <f aca="false">+I52/H52</f>
        <v>0</v>
      </c>
      <c r="M52" s="771"/>
      <c r="V52" s="918"/>
    </row>
    <row r="53" customFormat="false" ht="15.75" hidden="false" customHeight="true" outlineLevel="0" collapsed="false">
      <c r="B53" s="920" t="s">
        <v>454</v>
      </c>
      <c r="C53" s="928" t="n">
        <v>0</v>
      </c>
      <c r="D53" s="928" t="n">
        <f aca="false">+$C$35*C53/100</f>
        <v>0</v>
      </c>
      <c r="E53" s="928"/>
      <c r="F53" s="942" t="n">
        <v>0.75</v>
      </c>
      <c r="G53" s="942"/>
      <c r="H53" s="928" t="n">
        <f aca="false">+D53+F53-G53-E53</f>
        <v>0.75</v>
      </c>
      <c r="I53" s="24" t="n">
        <v>0</v>
      </c>
      <c r="J53" s="922" t="n">
        <f aca="false">H53-I53</f>
        <v>0.75</v>
      </c>
      <c r="K53" s="923" t="n">
        <f aca="false">+I53/H53</f>
        <v>0</v>
      </c>
      <c r="M53" s="771"/>
      <c r="V53" s="918"/>
    </row>
    <row r="54" customFormat="false" ht="15.75" hidden="false" customHeight="true" outlineLevel="0" collapsed="false">
      <c r="B54" s="943" t="s">
        <v>455</v>
      </c>
      <c r="C54" s="928" t="n">
        <v>0</v>
      </c>
      <c r="D54" s="928" t="n">
        <f aca="false">+$C$35*C54/100</f>
        <v>0</v>
      </c>
      <c r="E54" s="928"/>
      <c r="F54" s="925" t="n">
        <v>0.75</v>
      </c>
      <c r="G54" s="925"/>
      <c r="H54" s="928" t="n">
        <f aca="false">+D54+F54-G54-E54</f>
        <v>0.75</v>
      </c>
      <c r="I54" s="24" t="n">
        <v>0</v>
      </c>
      <c r="J54" s="922" t="n">
        <f aca="false">H54-I54</f>
        <v>0.75</v>
      </c>
      <c r="K54" s="923" t="n">
        <f aca="false">+I54/H54</f>
        <v>0</v>
      </c>
      <c r="M54" s="771"/>
      <c r="V54" s="918"/>
    </row>
    <row r="55" customFormat="false" ht="18" hidden="false" customHeight="true" outlineLevel="0" collapsed="false">
      <c r="B55" s="920" t="s">
        <v>468</v>
      </c>
      <c r="C55" s="928" t="n">
        <v>0</v>
      </c>
      <c r="D55" s="928" t="n">
        <f aca="false">+$C$35*C55/100</f>
        <v>0</v>
      </c>
      <c r="E55" s="928"/>
      <c r="F55" s="925" t="n">
        <v>0.1014</v>
      </c>
      <c r="G55" s="925"/>
      <c r="H55" s="928" t="n">
        <f aca="false">+D55+F55-G55-E55</f>
        <v>0.1014</v>
      </c>
      <c r="I55" s="24" t="n">
        <v>0</v>
      </c>
      <c r="J55" s="922" t="n">
        <f aca="false">H55-I55</f>
        <v>0.1014</v>
      </c>
      <c r="K55" s="923" t="n">
        <f aca="false">+I55/H55</f>
        <v>0</v>
      </c>
      <c r="M55" s="771"/>
      <c r="V55" s="918"/>
    </row>
    <row r="56" customFormat="false" ht="16.5" hidden="false" customHeight="true" outlineLevel="0" collapsed="false">
      <c r="B56" s="920" t="s">
        <v>457</v>
      </c>
      <c r="C56" s="928" t="n">
        <v>0</v>
      </c>
      <c r="D56" s="928" t="n">
        <f aca="false">+$C$35*C56/100</f>
        <v>0</v>
      </c>
      <c r="E56" s="928"/>
      <c r="F56" s="925" t="n">
        <v>0.124</v>
      </c>
      <c r="G56" s="925"/>
      <c r="H56" s="928" t="n">
        <f aca="false">+D56+F56-G56-E56</f>
        <v>0.124</v>
      </c>
      <c r="I56" s="24" t="n">
        <v>0</v>
      </c>
      <c r="J56" s="922" t="n">
        <f aca="false">H56-I56</f>
        <v>0.124</v>
      </c>
      <c r="K56" s="923" t="n">
        <f aca="false">+I56/H56</f>
        <v>0</v>
      </c>
      <c r="M56" s="771"/>
      <c r="V56" s="918"/>
    </row>
    <row r="57" customFormat="false" ht="16.5" hidden="false" customHeight="true" outlineLevel="0" collapsed="false">
      <c r="B57" s="920" t="str">
        <f aca="false">B25</f>
        <v>ANTONIO DA VENEZIA RETAMALES </v>
      </c>
      <c r="C57" s="928" t="n">
        <v>0</v>
      </c>
      <c r="D57" s="928" t="n">
        <f aca="false">+$C$35*C57/100</f>
        <v>0</v>
      </c>
      <c r="E57" s="928"/>
      <c r="F57" s="925" t="n">
        <v>0</v>
      </c>
      <c r="G57" s="925"/>
      <c r="H57" s="928" t="n">
        <f aca="false">+D57+F57-G57-E57</f>
        <v>0</v>
      </c>
      <c r="I57" s="24" t="n">
        <v>0</v>
      </c>
      <c r="J57" s="922" t="n">
        <f aca="false">H57-I57</f>
        <v>0</v>
      </c>
      <c r="K57" s="923" t="e">
        <f aca="false">+I57/H57</f>
        <v>#DIV/0!</v>
      </c>
      <c r="M57" s="771"/>
      <c r="V57" s="918"/>
    </row>
    <row r="58" customFormat="false" ht="16.5" hidden="false" customHeight="true" outlineLevel="0" collapsed="false">
      <c r="B58" s="920" t="s">
        <v>459</v>
      </c>
      <c r="C58" s="928" t="n">
        <v>0</v>
      </c>
      <c r="D58" s="928" t="n">
        <f aca="false">+$C$35*C58/100</f>
        <v>0</v>
      </c>
      <c r="E58" s="928"/>
      <c r="F58" s="925" t="n">
        <v>800</v>
      </c>
      <c r="G58" s="925"/>
      <c r="H58" s="928" t="n">
        <f aca="false">+D58+F58-G58-E58</f>
        <v>800</v>
      </c>
      <c r="I58" s="24" t="n">
        <v>798.149</v>
      </c>
      <c r="J58" s="922" t="n">
        <f aca="false">H58-I58</f>
        <v>1.851</v>
      </c>
      <c r="K58" s="923" t="n">
        <f aca="false">+I58/H58</f>
        <v>0.99768625</v>
      </c>
      <c r="M58" s="771"/>
      <c r="V58" s="918"/>
    </row>
    <row r="59" customFormat="false" ht="16.5" hidden="false" customHeight="true" outlineLevel="0" collapsed="false">
      <c r="B59" s="920" t="s">
        <v>460</v>
      </c>
      <c r="C59" s="928" t="n">
        <v>0</v>
      </c>
      <c r="D59" s="928" t="n">
        <f aca="false">+$C$35*C59/100</f>
        <v>0</v>
      </c>
      <c r="E59" s="928"/>
      <c r="F59" s="925" t="n">
        <v>650</v>
      </c>
      <c r="G59" s="925"/>
      <c r="H59" s="928" t="n">
        <f aca="false">+D59+F59-G59-E59</f>
        <v>650</v>
      </c>
      <c r="I59" s="24" t="n">
        <v>648.692</v>
      </c>
      <c r="J59" s="922" t="n">
        <f aca="false">H59-I59</f>
        <v>1.30799999999999</v>
      </c>
      <c r="K59" s="923" t="n">
        <f aca="false">+I59/H59</f>
        <v>0.997987692307692</v>
      </c>
      <c r="M59" s="771"/>
      <c r="V59" s="918"/>
    </row>
    <row r="60" customFormat="false" ht="16.5" hidden="false" customHeight="true" outlineLevel="0" collapsed="false">
      <c r="B60" s="920" t="s">
        <v>461</v>
      </c>
      <c r="C60" s="928" t="n">
        <v>0</v>
      </c>
      <c r="D60" s="928" t="n">
        <f aca="false">+$C$35*C60/100</f>
        <v>0</v>
      </c>
      <c r="E60" s="928"/>
      <c r="F60" s="944" t="n">
        <v>200</v>
      </c>
      <c r="G60" s="934"/>
      <c r="H60" s="928" t="n">
        <f aca="false">+D60+F60-G60-E60</f>
        <v>200</v>
      </c>
      <c r="I60" s="24" t="n">
        <v>167.03</v>
      </c>
      <c r="J60" s="922" t="n">
        <f aca="false">H60-I60</f>
        <v>32.97</v>
      </c>
      <c r="K60" s="923" t="n">
        <f aca="false">+I60/H60</f>
        <v>0.83515</v>
      </c>
      <c r="M60" s="771"/>
      <c r="V60" s="918"/>
    </row>
    <row r="61" customFormat="false" ht="13.8" hidden="false" customHeight="false" outlineLevel="0" collapsed="false">
      <c r="B61" s="945"/>
      <c r="C61" s="945"/>
      <c r="D61" s="945"/>
      <c r="E61" s="945"/>
      <c r="F61" s="945"/>
      <c r="G61" s="945"/>
      <c r="H61" s="945"/>
      <c r="I61" s="945"/>
      <c r="J61" s="945"/>
      <c r="K61" s="945"/>
      <c r="M61" s="946"/>
      <c r="V61" s="918"/>
    </row>
    <row r="62" customFormat="false" ht="15.6" hidden="false" customHeight="true" outlineLevel="0" collapsed="false">
      <c r="B62" s="914" t="s">
        <v>462</v>
      </c>
      <c r="C62" s="916" t="s">
        <v>434</v>
      </c>
      <c r="D62" s="916" t="s">
        <v>435</v>
      </c>
      <c r="E62" s="916" t="s">
        <v>436</v>
      </c>
      <c r="F62" s="914" t="s">
        <v>437</v>
      </c>
      <c r="G62" s="914"/>
      <c r="H62" s="916" t="s">
        <v>438</v>
      </c>
      <c r="I62" s="917" t="s">
        <v>44</v>
      </c>
      <c r="J62" s="917"/>
      <c r="K62" s="917"/>
    </row>
    <row r="63" customFormat="false" ht="15.6" hidden="false" customHeight="false" outlineLevel="0" collapsed="false">
      <c r="B63" s="919" t="s">
        <v>463</v>
      </c>
      <c r="C63" s="916"/>
      <c r="D63" s="916"/>
      <c r="E63" s="916"/>
      <c r="F63" s="919" t="s">
        <v>439</v>
      </c>
      <c r="G63" s="919" t="s">
        <v>440</v>
      </c>
      <c r="H63" s="916"/>
      <c r="I63" s="919" t="s">
        <v>53</v>
      </c>
      <c r="J63" s="919" t="s">
        <v>54</v>
      </c>
      <c r="K63" s="919" t="s">
        <v>55</v>
      </c>
      <c r="V63" s="918"/>
    </row>
    <row r="64" customFormat="false" ht="13.8" hidden="false" customHeight="false" outlineLevel="0" collapsed="false">
      <c r="B64" s="919"/>
      <c r="C64" s="928" t="n">
        <f aca="false">SUM(C38:C60)</f>
        <v>100</v>
      </c>
      <c r="D64" s="928" t="n">
        <f aca="false">SUM(D38:D60)</f>
        <v>7800</v>
      </c>
      <c r="E64" s="928" t="n">
        <f aca="false">SUM(E38:E49)</f>
        <v>0</v>
      </c>
      <c r="F64" s="928" t="n">
        <f aca="false">SUM(F38:F60)</f>
        <v>3813.7634</v>
      </c>
      <c r="G64" s="928" t="n">
        <f aca="false">SUM(G38:G60)</f>
        <v>3813.7634</v>
      </c>
      <c r="H64" s="928" t="n">
        <f aca="false">SUM(H38:H60)</f>
        <v>7800</v>
      </c>
      <c r="I64" s="934" t="n">
        <f aca="false">SUM(I38:I60)</f>
        <v>7547.028</v>
      </c>
      <c r="J64" s="928" t="n">
        <f aca="false">SUM(J38:J60)</f>
        <v>252.972</v>
      </c>
      <c r="K64" s="923" t="n">
        <f aca="false">+I64/H64</f>
        <v>0.967567692307692</v>
      </c>
      <c r="N64" s="918"/>
      <c r="O64" s="918"/>
      <c r="P64" s="918"/>
      <c r="Q64" s="918"/>
      <c r="R64" s="918"/>
      <c r="S64" s="918"/>
      <c r="T64" s="918"/>
      <c r="U64" s="918"/>
      <c r="V64" s="918"/>
    </row>
    <row r="65" customFormat="false" ht="13.8" hidden="false" customHeight="false" outlineLevel="0" collapsed="false">
      <c r="C65" s="915"/>
      <c r="D65" s="915"/>
      <c r="E65" s="915"/>
      <c r="N65" s="918"/>
      <c r="O65" s="918"/>
      <c r="P65" s="918"/>
      <c r="Q65" s="918"/>
      <c r="R65" s="918"/>
      <c r="S65" s="918"/>
      <c r="T65" s="918"/>
      <c r="U65" s="918"/>
      <c r="V65" s="918"/>
    </row>
    <row r="66" customFormat="false" ht="15.6" hidden="false" customHeight="false" outlineLevel="0" collapsed="false">
      <c r="B66" s="914" t="s">
        <v>338</v>
      </c>
      <c r="C66" s="915" t="n">
        <v>1076</v>
      </c>
      <c r="D66" s="915"/>
      <c r="E66" s="915"/>
      <c r="N66" s="918"/>
      <c r="O66" s="918"/>
      <c r="P66" s="918"/>
      <c r="Q66" s="918"/>
      <c r="R66" s="918"/>
      <c r="S66" s="918"/>
      <c r="T66" s="918"/>
      <c r="U66" s="918"/>
      <c r="V66" s="918"/>
    </row>
    <row r="67" customFormat="false" ht="15.6" hidden="false" customHeight="true" outlineLevel="0" collapsed="false">
      <c r="B67" s="947" t="s">
        <v>176</v>
      </c>
      <c r="C67" s="947" t="s">
        <v>434</v>
      </c>
      <c r="D67" s="947" t="s">
        <v>435</v>
      </c>
      <c r="E67" s="947" t="s">
        <v>436</v>
      </c>
      <c r="F67" s="914" t="s">
        <v>437</v>
      </c>
      <c r="G67" s="914"/>
      <c r="H67" s="947" t="s">
        <v>438</v>
      </c>
      <c r="I67" s="917" t="s">
        <v>44</v>
      </c>
      <c r="J67" s="917"/>
      <c r="K67" s="917"/>
      <c r="L67" s="771"/>
      <c r="M67" s="771"/>
      <c r="N67" s="918"/>
      <c r="O67" s="771"/>
      <c r="P67" s="771"/>
      <c r="Q67" s="771"/>
      <c r="R67" s="771"/>
      <c r="S67" s="771"/>
      <c r="T67" s="771"/>
      <c r="U67" s="771"/>
      <c r="V67" s="771"/>
    </row>
    <row r="68" customFormat="false" ht="18.75" hidden="false" customHeight="true" outlineLevel="0" collapsed="false">
      <c r="B68" s="947"/>
      <c r="C68" s="947"/>
      <c r="D68" s="947"/>
      <c r="E68" s="947"/>
      <c r="F68" s="948" t="s">
        <v>439</v>
      </c>
      <c r="G68" s="948" t="s">
        <v>440</v>
      </c>
      <c r="H68" s="947"/>
      <c r="I68" s="948" t="s">
        <v>53</v>
      </c>
      <c r="J68" s="948" t="s">
        <v>54</v>
      </c>
      <c r="K68" s="948" t="s">
        <v>55</v>
      </c>
      <c r="L68" s="771"/>
      <c r="M68" s="771"/>
      <c r="N68" s="939"/>
      <c r="O68" s="939"/>
      <c r="P68" s="939"/>
      <c r="Q68" s="939"/>
      <c r="R68" s="939"/>
      <c r="S68" s="939"/>
      <c r="T68" s="939"/>
      <c r="U68" s="771"/>
    </row>
    <row r="69" customFormat="false" ht="14.4" hidden="false" customHeight="false" outlineLevel="0" collapsed="false">
      <c r="A69" s="949" t="s">
        <v>469</v>
      </c>
      <c r="B69" s="950" t="s">
        <v>470</v>
      </c>
      <c r="C69" s="951" t="n">
        <v>12.81</v>
      </c>
      <c r="D69" s="952" t="n">
        <f aca="false">+C69*$C$66/100</f>
        <v>137.8356</v>
      </c>
      <c r="E69" s="952"/>
      <c r="F69" s="953"/>
      <c r="G69" s="953" t="n">
        <v>137.836</v>
      </c>
      <c r="H69" s="952" t="n">
        <f aca="false">+D69-E69+F69-G69</f>
        <v>-0.000400000000013279</v>
      </c>
      <c r="I69" s="954" t="n">
        <v>0</v>
      </c>
      <c r="J69" s="955" t="n">
        <f aca="false">H69-I69</f>
        <v>-0.000400000000013279</v>
      </c>
      <c r="K69" s="956" t="n">
        <f aca="false">+I69/H69</f>
        <v>-0</v>
      </c>
      <c r="L69" s="957"/>
      <c r="M69" s="957"/>
      <c r="N69" s="958"/>
      <c r="O69" s="958"/>
      <c r="P69" s="958"/>
      <c r="Q69" s="958"/>
      <c r="R69" s="958"/>
      <c r="S69" s="958"/>
      <c r="T69" s="958"/>
      <c r="U69" s="771"/>
    </row>
    <row r="70" customFormat="false" ht="14.4" hidden="false" customHeight="false" outlineLevel="0" collapsed="false">
      <c r="A70" s="949"/>
      <c r="B70" s="959" t="s">
        <v>351</v>
      </c>
      <c r="C70" s="960" t="n">
        <v>21.815</v>
      </c>
      <c r="D70" s="928" t="n">
        <f aca="false">+C70*$C$66/100</f>
        <v>234.7294</v>
      </c>
      <c r="E70" s="928"/>
      <c r="F70" s="961"/>
      <c r="G70" s="962" t="n">
        <v>4</v>
      </c>
      <c r="H70" s="928" t="n">
        <f aca="false">+D70-E70+F70-G70</f>
        <v>230.7294</v>
      </c>
      <c r="I70" s="24" t="n">
        <v>229.47</v>
      </c>
      <c r="J70" s="922" t="n">
        <f aca="false">H70-I70</f>
        <v>1.25940000000003</v>
      </c>
      <c r="K70" s="963" t="n">
        <f aca="false">+I70/H70</f>
        <v>0.994541657890152</v>
      </c>
      <c r="L70" s="957"/>
      <c r="M70" s="957"/>
      <c r="N70" s="958"/>
      <c r="O70" s="958"/>
      <c r="P70" s="958"/>
      <c r="Q70" s="958"/>
      <c r="R70" s="958"/>
      <c r="S70" s="958"/>
      <c r="T70" s="958"/>
      <c r="U70" s="771"/>
    </row>
    <row r="71" customFormat="false" ht="13.8" hidden="false" customHeight="false" outlineLevel="0" collapsed="false">
      <c r="A71" s="949"/>
      <c r="B71" s="964" t="s">
        <v>230</v>
      </c>
      <c r="C71" s="960" t="n">
        <v>6.5</v>
      </c>
      <c r="D71" s="928" t="n">
        <f aca="false">+C71*$C$66/100</f>
        <v>69.94</v>
      </c>
      <c r="E71" s="928"/>
      <c r="F71" s="961" t="n">
        <v>137.836</v>
      </c>
      <c r="G71" s="961"/>
      <c r="H71" s="928" t="n">
        <f aca="false">+D71-E71+F71-G71</f>
        <v>207.776</v>
      </c>
      <c r="I71" s="24" t="n">
        <v>207.425</v>
      </c>
      <c r="J71" s="922" t="n">
        <f aca="false">H71-I71</f>
        <v>0.350999999999999</v>
      </c>
      <c r="K71" s="963" t="n">
        <f aca="false">+I71/H71</f>
        <v>0.998310680733097</v>
      </c>
      <c r="L71" s="771"/>
    </row>
    <row r="72" customFormat="false" ht="14.4" hidden="false" customHeight="false" outlineLevel="0" collapsed="false">
      <c r="A72" s="949"/>
      <c r="B72" s="965" t="s">
        <v>471</v>
      </c>
      <c r="C72" s="966" t="n">
        <v>48.875</v>
      </c>
      <c r="D72" s="967" t="n">
        <f aca="false">+C72*$C$66/100</f>
        <v>525.895</v>
      </c>
      <c r="E72" s="967"/>
      <c r="F72" s="968"/>
      <c r="G72" s="969"/>
      <c r="H72" s="967" t="n">
        <f aca="false">+D72-E72+F72-G72</f>
        <v>525.895</v>
      </c>
      <c r="I72" s="970" t="n">
        <v>530.735</v>
      </c>
      <c r="J72" s="971" t="n">
        <f aca="false">H72-I72</f>
        <v>-4.84000000000003</v>
      </c>
      <c r="K72" s="972" t="n">
        <f aca="false">+I72/H72</f>
        <v>1.00920335808479</v>
      </c>
      <c r="L72" s="957"/>
      <c r="V72" s="771"/>
    </row>
    <row r="73" customFormat="false" ht="13.8" hidden="false" customHeight="false" outlineLevel="0" collapsed="false">
      <c r="A73" s="973" t="s">
        <v>472</v>
      </c>
      <c r="B73" s="974" t="s">
        <v>473</v>
      </c>
      <c r="C73" s="951" t="n">
        <v>1</v>
      </c>
      <c r="D73" s="952" t="n">
        <f aca="false">+C73*$C$66/100</f>
        <v>10.76</v>
      </c>
      <c r="E73" s="952"/>
      <c r="F73" s="975"/>
      <c r="G73" s="953"/>
      <c r="H73" s="952" t="n">
        <f aca="false">+D73-E73+F73-G73</f>
        <v>10.76</v>
      </c>
      <c r="I73" s="954" t="n">
        <v>10.614</v>
      </c>
      <c r="J73" s="976" t="n">
        <f aca="false">H73-I73</f>
        <v>0.145999999999999</v>
      </c>
      <c r="K73" s="956" t="n">
        <f aca="false">+I73/H73</f>
        <v>0.986431226765799</v>
      </c>
      <c r="L73" s="957"/>
      <c r="V73" s="771"/>
    </row>
    <row r="74" customFormat="false" ht="13.8" hidden="false" customHeight="false" outlineLevel="0" collapsed="false">
      <c r="A74" s="973"/>
      <c r="B74" s="959" t="s">
        <v>474</v>
      </c>
      <c r="C74" s="960" t="n">
        <v>0</v>
      </c>
      <c r="D74" s="928" t="n">
        <f aca="false">+C74*$C$66/100</f>
        <v>0</v>
      </c>
      <c r="E74" s="928"/>
      <c r="F74" s="961"/>
      <c r="G74" s="962" t="n">
        <v>10.76</v>
      </c>
      <c r="H74" s="928" t="n">
        <f aca="false">+D74-E74+F74-G74</f>
        <v>-10.76</v>
      </c>
      <c r="I74" s="24" t="n">
        <v>0</v>
      </c>
      <c r="J74" s="922" t="n">
        <f aca="false">H74-I74</f>
        <v>-10.76</v>
      </c>
      <c r="K74" s="963" t="n">
        <f aca="false">+I74/H74</f>
        <v>-0</v>
      </c>
      <c r="L74" s="957"/>
      <c r="V74" s="771"/>
    </row>
    <row r="75" customFormat="false" ht="13.8" hidden="false" customHeight="false" outlineLevel="0" collapsed="false">
      <c r="A75" s="973"/>
      <c r="B75" s="959" t="s">
        <v>475</v>
      </c>
      <c r="C75" s="960" t="n">
        <v>0</v>
      </c>
      <c r="D75" s="928" t="n">
        <f aca="false">+C75*$C$66/100</f>
        <v>0</v>
      </c>
      <c r="E75" s="928"/>
      <c r="F75" s="961"/>
      <c r="G75" s="962" t="n">
        <v>10.76</v>
      </c>
      <c r="H75" s="928" t="n">
        <f aca="false">+D75-E75+F75-G75</f>
        <v>-10.76</v>
      </c>
      <c r="I75" s="24" t="n">
        <v>0</v>
      </c>
      <c r="J75" s="922" t="n">
        <f aca="false">H75-I75</f>
        <v>-10.76</v>
      </c>
      <c r="K75" s="963" t="n">
        <f aca="false">+I75/H75</f>
        <v>-0</v>
      </c>
      <c r="L75" s="957"/>
      <c r="V75" s="771"/>
    </row>
    <row r="76" customFormat="false" ht="13.8" hidden="false" customHeight="false" outlineLevel="0" collapsed="false">
      <c r="A76" s="973"/>
      <c r="B76" s="959" t="s">
        <v>476</v>
      </c>
      <c r="C76" s="960" t="n">
        <v>1</v>
      </c>
      <c r="D76" s="928" t="n">
        <f aca="false">+C76*$C$66/100</f>
        <v>10.76</v>
      </c>
      <c r="E76" s="928"/>
      <c r="F76" s="961"/>
      <c r="G76" s="962"/>
      <c r="H76" s="928" t="n">
        <f aca="false">+D76-E76+F76-G76</f>
        <v>10.76</v>
      </c>
      <c r="I76" s="24" t="n">
        <v>10.769</v>
      </c>
      <c r="J76" s="922" t="n">
        <f aca="false">H76-I76</f>
        <v>-0.00900000000000034</v>
      </c>
      <c r="K76" s="963" t="n">
        <f aca="false">+I76/H76</f>
        <v>1.00083643122677</v>
      </c>
      <c r="L76" s="957"/>
      <c r="V76" s="771"/>
    </row>
    <row r="77" customFormat="false" ht="13.8" hidden="false" customHeight="false" outlineLevel="0" collapsed="false">
      <c r="A77" s="973"/>
      <c r="B77" s="959" t="s">
        <v>477</v>
      </c>
      <c r="C77" s="960" t="n">
        <v>0.5</v>
      </c>
      <c r="D77" s="928" t="n">
        <f aca="false">+C77*$C$66/100</f>
        <v>5.38</v>
      </c>
      <c r="E77" s="928"/>
      <c r="F77" s="961"/>
      <c r="G77" s="962"/>
      <c r="H77" s="928" t="n">
        <f aca="false">+D77-E77+F77-G77</f>
        <v>5.38</v>
      </c>
      <c r="I77" s="24" t="n">
        <v>4.853</v>
      </c>
      <c r="J77" s="922" t="n">
        <f aca="false">H77-I77</f>
        <v>0.527</v>
      </c>
      <c r="K77" s="963" t="n">
        <f aca="false">+I77/H77</f>
        <v>0.902044609665427</v>
      </c>
      <c r="L77" s="957"/>
      <c r="V77" s="771"/>
    </row>
    <row r="78" customFormat="false" ht="13.8" hidden="false" customHeight="false" outlineLevel="0" collapsed="false">
      <c r="A78" s="973"/>
      <c r="B78" s="959" t="s">
        <v>478</v>
      </c>
      <c r="C78" s="960" t="n">
        <v>2.5</v>
      </c>
      <c r="D78" s="928" t="n">
        <f aca="false">+C78*$C$66/100</f>
        <v>26.9</v>
      </c>
      <c r="E78" s="928"/>
      <c r="F78" s="961"/>
      <c r="G78" s="962" t="n">
        <v>26.9</v>
      </c>
      <c r="H78" s="928" t="n">
        <f aca="false">+D78-E78+F78-G78</f>
        <v>0</v>
      </c>
      <c r="I78" s="24" t="n">
        <v>0</v>
      </c>
      <c r="J78" s="922" t="n">
        <f aca="false">H78-I78</f>
        <v>0</v>
      </c>
      <c r="K78" s="963" t="e">
        <f aca="false">+I78/H78</f>
        <v>#DIV/0!</v>
      </c>
      <c r="L78" s="957"/>
      <c r="V78" s="771"/>
    </row>
    <row r="79" customFormat="false" ht="13.8" hidden="false" customHeight="false" outlineLevel="0" collapsed="false">
      <c r="A79" s="973"/>
      <c r="B79" s="959" t="s">
        <v>479</v>
      </c>
      <c r="C79" s="960" t="n">
        <v>1</v>
      </c>
      <c r="D79" s="928" t="n">
        <f aca="false">+C79*$C$66/100</f>
        <v>10.76</v>
      </c>
      <c r="E79" s="928"/>
      <c r="F79" s="961"/>
      <c r="G79" s="962"/>
      <c r="H79" s="928" t="n">
        <f aca="false">+D79-E79+F79-G79</f>
        <v>10.76</v>
      </c>
      <c r="I79" s="24" t="n">
        <v>10.654</v>
      </c>
      <c r="J79" s="922" t="n">
        <f aca="false">H79-I79</f>
        <v>0.106</v>
      </c>
      <c r="K79" s="963" t="n">
        <f aca="false">+I79/H79</f>
        <v>0.990148698884758</v>
      </c>
      <c r="L79" s="957"/>
      <c r="V79" s="771"/>
    </row>
    <row r="80" customFormat="false" ht="13.8" hidden="false" customHeight="false" outlineLevel="0" collapsed="false">
      <c r="A80" s="973"/>
      <c r="B80" s="959" t="s">
        <v>480</v>
      </c>
      <c r="C80" s="960" t="n">
        <v>0.5</v>
      </c>
      <c r="D80" s="928" t="n">
        <f aca="false">+C80*$C$66/100</f>
        <v>5.38</v>
      </c>
      <c r="E80" s="928"/>
      <c r="F80" s="961"/>
      <c r="G80" s="962"/>
      <c r="H80" s="928" t="n">
        <f aca="false">+D80-E80+F80-G80</f>
        <v>5.38</v>
      </c>
      <c r="I80" s="24" t="n">
        <v>4.29</v>
      </c>
      <c r="J80" s="922" t="n">
        <f aca="false">H80-I80</f>
        <v>1.09</v>
      </c>
      <c r="K80" s="963" t="n">
        <f aca="false">+I80/H80</f>
        <v>0.797397769516729</v>
      </c>
      <c r="L80" s="957"/>
      <c r="V80" s="771"/>
    </row>
    <row r="81" customFormat="false" ht="13.8" hidden="false" customHeight="false" outlineLevel="0" collapsed="false">
      <c r="A81" s="973"/>
      <c r="B81" s="959" t="s">
        <v>481</v>
      </c>
      <c r="C81" s="960" t="n">
        <v>1.5</v>
      </c>
      <c r="D81" s="928" t="n">
        <f aca="false">+C81*$C$66/100</f>
        <v>16.14</v>
      </c>
      <c r="E81" s="928"/>
      <c r="F81" s="961"/>
      <c r="G81" s="962" t="n">
        <v>6.955</v>
      </c>
      <c r="H81" s="928" t="n">
        <f aca="false">+D81-E81+F81-G81</f>
        <v>9.185</v>
      </c>
      <c r="I81" s="24" t="n">
        <v>0</v>
      </c>
      <c r="J81" s="922" t="n">
        <f aca="false">H81-I81</f>
        <v>9.185</v>
      </c>
      <c r="K81" s="963" t="n">
        <f aca="false">+I81/H81</f>
        <v>0</v>
      </c>
      <c r="L81" s="957"/>
      <c r="V81" s="771"/>
    </row>
    <row r="82" customFormat="false" ht="14.4" hidden="false" customHeight="false" outlineLevel="0" collapsed="false">
      <c r="A82" s="973"/>
      <c r="B82" s="959" t="s">
        <v>482</v>
      </c>
      <c r="C82" s="977" t="n">
        <v>1</v>
      </c>
      <c r="D82" s="928" t="n">
        <f aca="false">+C82*$C$66/100</f>
        <v>10.76</v>
      </c>
      <c r="E82" s="978"/>
      <c r="F82" s="979"/>
      <c r="G82" s="980"/>
      <c r="H82" s="981" t="n">
        <f aca="false">+D82-E82+F82-G82</f>
        <v>10.76</v>
      </c>
      <c r="I82" s="24" t="n">
        <v>10.553</v>
      </c>
      <c r="J82" s="922" t="n">
        <f aca="false">H82-I82</f>
        <v>0.206999999999999</v>
      </c>
      <c r="K82" s="963" t="n">
        <f aca="false">+I82/H82</f>
        <v>0.980762081784387</v>
      </c>
      <c r="L82" s="957"/>
      <c r="V82" s="771"/>
    </row>
    <row r="83" customFormat="false" ht="14.4" hidden="false" customHeight="false" outlineLevel="0" collapsed="false">
      <c r="A83" s="973"/>
      <c r="B83" s="959" t="s">
        <v>483</v>
      </c>
      <c r="C83" s="977" t="n">
        <v>0</v>
      </c>
      <c r="D83" s="928" t="n">
        <f aca="false">+C83*$C$66/100</f>
        <v>0</v>
      </c>
      <c r="E83" s="870"/>
      <c r="F83" s="982" t="n">
        <v>52.42</v>
      </c>
      <c r="G83" s="983"/>
      <c r="H83" s="981" t="n">
        <f aca="false">+D83-E83+F83-G83</f>
        <v>52.42</v>
      </c>
      <c r="I83" s="984" t="n">
        <v>41.332</v>
      </c>
      <c r="J83" s="922" t="n">
        <f aca="false">H83-I83</f>
        <v>11.088</v>
      </c>
      <c r="K83" s="963" t="n">
        <f aca="false">+I83/H83</f>
        <v>0.788477680274704</v>
      </c>
      <c r="L83" s="957"/>
      <c r="V83" s="771"/>
    </row>
    <row r="84" customFormat="false" ht="14.4" hidden="false" customHeight="false" outlineLevel="0" collapsed="false">
      <c r="A84" s="973"/>
      <c r="B84" s="985" t="s">
        <v>484</v>
      </c>
      <c r="C84" s="977" t="n">
        <v>1</v>
      </c>
      <c r="D84" s="928" t="n">
        <f aca="false">+C84*$C$66/100</f>
        <v>10.76</v>
      </c>
      <c r="E84" s="870"/>
      <c r="F84" s="982"/>
      <c r="G84" s="983" t="n">
        <v>1.575</v>
      </c>
      <c r="H84" s="981" t="n">
        <f aca="false">+D84-E84+F84-G84</f>
        <v>9.185</v>
      </c>
      <c r="I84" s="984" t="n">
        <v>0</v>
      </c>
      <c r="J84" s="922" t="n">
        <f aca="false">H84-I84</f>
        <v>9.185</v>
      </c>
      <c r="K84" s="963" t="n">
        <f aca="false">+I84/H84</f>
        <v>0</v>
      </c>
      <c r="L84" s="957"/>
      <c r="V84" s="771"/>
    </row>
    <row r="85" customFormat="false" ht="15" hidden="false" customHeight="false" outlineLevel="0" collapsed="false">
      <c r="A85" s="973"/>
      <c r="B85" s="965" t="s">
        <v>485</v>
      </c>
      <c r="C85" s="986" t="n">
        <v>0</v>
      </c>
      <c r="D85" s="967" t="n">
        <f aca="false">+C85*$C$66/100</f>
        <v>0</v>
      </c>
      <c r="E85" s="987"/>
      <c r="F85" s="988" t="n">
        <v>8.53</v>
      </c>
      <c r="G85" s="989"/>
      <c r="H85" s="990" t="n">
        <f aca="false">+D85-E85+F85-G85</f>
        <v>8.53</v>
      </c>
      <c r="I85" s="991" t="n">
        <v>8.328</v>
      </c>
      <c r="J85" s="971" t="n">
        <f aca="false">H85-I85</f>
        <v>0.202</v>
      </c>
      <c r="K85" s="972" t="n">
        <f aca="false">+I85/H85</f>
        <v>0.976318874560375</v>
      </c>
      <c r="L85" s="957"/>
      <c r="V85" s="771"/>
    </row>
    <row r="86" customFormat="false" ht="13.8" hidden="false" customHeight="false" outlineLevel="0" collapsed="false">
      <c r="B86" s="992"/>
      <c r="C86" s="992"/>
      <c r="D86" s="992"/>
      <c r="E86" s="992"/>
      <c r="F86" s="992"/>
      <c r="G86" s="992"/>
      <c r="H86" s="992"/>
      <c r="I86" s="992"/>
      <c r="J86" s="992"/>
      <c r="K86" s="992"/>
      <c r="M86" s="957"/>
      <c r="V86" s="771"/>
    </row>
    <row r="87" customFormat="false" ht="15.6" hidden="false" customHeight="true" outlineLevel="0" collapsed="false">
      <c r="B87" s="914" t="s">
        <v>462</v>
      </c>
      <c r="C87" s="916" t="s">
        <v>434</v>
      </c>
      <c r="D87" s="916" t="s">
        <v>435</v>
      </c>
      <c r="E87" s="916" t="s">
        <v>436</v>
      </c>
      <c r="F87" s="914" t="s">
        <v>437</v>
      </c>
      <c r="G87" s="914"/>
      <c r="H87" s="916" t="s">
        <v>438</v>
      </c>
      <c r="I87" s="917" t="s">
        <v>44</v>
      </c>
      <c r="J87" s="917"/>
      <c r="K87" s="917"/>
      <c r="N87" s="771"/>
      <c r="O87" s="771"/>
      <c r="P87" s="771"/>
      <c r="Q87" s="771"/>
      <c r="R87" s="771"/>
      <c r="S87" s="771"/>
      <c r="T87" s="771"/>
      <c r="U87" s="771"/>
      <c r="V87" s="771"/>
    </row>
    <row r="88" customFormat="false" ht="15.6" hidden="false" customHeight="false" outlineLevel="0" collapsed="false">
      <c r="B88" s="919" t="s">
        <v>338</v>
      </c>
      <c r="C88" s="916"/>
      <c r="D88" s="916"/>
      <c r="E88" s="916"/>
      <c r="F88" s="919" t="s">
        <v>439</v>
      </c>
      <c r="G88" s="919" t="s">
        <v>440</v>
      </c>
      <c r="H88" s="916"/>
      <c r="I88" s="919" t="s">
        <v>53</v>
      </c>
      <c r="J88" s="919" t="s">
        <v>54</v>
      </c>
      <c r="K88" s="919" t="s">
        <v>55</v>
      </c>
    </row>
    <row r="89" customFormat="false" ht="13.8" hidden="false" customHeight="false" outlineLevel="0" collapsed="false">
      <c r="B89" s="919"/>
      <c r="C89" s="928" t="n">
        <f aca="false">SUM(C69:C85)</f>
        <v>100</v>
      </c>
      <c r="D89" s="928" t="n">
        <f aca="false">SUM(D69:D85)</f>
        <v>1076</v>
      </c>
      <c r="E89" s="928" t="n">
        <f aca="false">SUM(E69:E85)</f>
        <v>0</v>
      </c>
      <c r="F89" s="928" t="n">
        <f aca="false">SUM(F69:F85)</f>
        <v>198.786</v>
      </c>
      <c r="G89" s="928" t="n">
        <f aca="false">SUM(G69:G85)</f>
        <v>198.786</v>
      </c>
      <c r="H89" s="928" t="n">
        <f aca="false">SUM(H69:H85)</f>
        <v>1076</v>
      </c>
      <c r="I89" s="934" t="n">
        <f aca="false">SUM(I69:I85)</f>
        <v>1069.023</v>
      </c>
      <c r="J89" s="928" t="n">
        <f aca="false">SUM(J69:J85)</f>
        <v>6.97699999999998</v>
      </c>
      <c r="K89" s="993" t="n">
        <f aca="false">+I89/H89</f>
        <v>0.993515799256506</v>
      </c>
    </row>
    <row r="91" customFormat="false" ht="13.8" hidden="false" customHeight="false" outlineLevel="0" collapsed="false">
      <c r="B91" s="693"/>
    </row>
    <row r="92" customFormat="false" ht="13.8" hidden="false" customHeight="false" outlineLevel="0" collapsed="false">
      <c r="B92" s="994"/>
      <c r="C92" s="771"/>
    </row>
    <row r="93" customFormat="false" ht="13.8" hidden="false" customHeight="false" outlineLevel="0" collapsed="false">
      <c r="B93" s="994"/>
      <c r="C93" s="771"/>
    </row>
    <row r="94" customFormat="false" ht="13.8" hidden="false" customHeight="false" outlineLevel="0" collapsed="false">
      <c r="B94" s="994"/>
      <c r="C94" s="771"/>
    </row>
    <row r="95" customFormat="false" ht="13.8" hidden="false" customHeight="false" outlineLevel="0" collapsed="false">
      <c r="B95" s="994"/>
      <c r="C95" s="771"/>
    </row>
    <row r="96" customFormat="false" ht="13.8" hidden="false" customHeight="false" outlineLevel="0" collapsed="false">
      <c r="B96" s="994"/>
      <c r="C96" s="771"/>
    </row>
    <row r="97" customFormat="false" ht="13.8" hidden="false" customHeight="false" outlineLevel="0" collapsed="false">
      <c r="B97" s="918"/>
      <c r="C97" s="771"/>
    </row>
  </sheetData>
  <mergeCells count="46">
    <mergeCell ref="B2:K2"/>
    <mergeCell ref="B3:K3"/>
    <mergeCell ref="B6:B7"/>
    <mergeCell ref="C6:C7"/>
    <mergeCell ref="D6:D7"/>
    <mergeCell ref="E6:E7"/>
    <mergeCell ref="F6:G6"/>
    <mergeCell ref="H6:H7"/>
    <mergeCell ref="I6:K6"/>
    <mergeCell ref="C30:C31"/>
    <mergeCell ref="D30:D31"/>
    <mergeCell ref="E30:E31"/>
    <mergeCell ref="F30:G30"/>
    <mergeCell ref="H30:H31"/>
    <mergeCell ref="I30:K30"/>
    <mergeCell ref="B31:B32"/>
    <mergeCell ref="B36:B37"/>
    <mergeCell ref="C36:C37"/>
    <mergeCell ref="D36:D37"/>
    <mergeCell ref="E36:E37"/>
    <mergeCell ref="F36:G36"/>
    <mergeCell ref="H36:H37"/>
    <mergeCell ref="I36:K36"/>
    <mergeCell ref="C62:C63"/>
    <mergeCell ref="D62:D63"/>
    <mergeCell ref="E62:E63"/>
    <mergeCell ref="F62:G62"/>
    <mergeCell ref="H62:H63"/>
    <mergeCell ref="I62:K62"/>
    <mergeCell ref="B63:B64"/>
    <mergeCell ref="B67:B68"/>
    <mergeCell ref="C67:C68"/>
    <mergeCell ref="D67:D68"/>
    <mergeCell ref="E67:E68"/>
    <mergeCell ref="F67:G67"/>
    <mergeCell ref="H67:H68"/>
    <mergeCell ref="I67:K67"/>
    <mergeCell ref="A69:A72"/>
    <mergeCell ref="A73:A85"/>
    <mergeCell ref="C87:C88"/>
    <mergeCell ref="D87:D88"/>
    <mergeCell ref="E87:E88"/>
    <mergeCell ref="F87:G87"/>
    <mergeCell ref="H87:H88"/>
    <mergeCell ref="I87:K87"/>
    <mergeCell ref="B88:B8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2013-07-18T15:01:42Z</dcterms:created>
  <dc:creator>dcatalan</dc:creator>
  <dc:description/>
  <dc:language>en-US</dc:language>
  <cp:lastModifiedBy>rgarcia</cp:lastModifiedBy>
  <cp:lastPrinted>2014-04-24T15:36:22Z</cp:lastPrinted>
  <dcterms:modified xsi:type="dcterms:W3CDTF">2019-08-19T21:46:18Z</dcterms:modified>
  <cp:revision>0</cp:revision>
  <dc:subject/>
  <dc:title/>
</cp:coreProperties>
</file>