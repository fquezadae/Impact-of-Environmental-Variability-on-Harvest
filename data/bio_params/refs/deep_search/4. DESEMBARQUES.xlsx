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IFOP/"/>
    </mc:Choice>
  </mc:AlternateContent>
  <xr:revisionPtr revIDLastSave="1" documentId="13_ncr:1_{9947E0C6-FFCA-402F-B336-B8EC188A997C}" xr6:coauthVersionLast="47" xr6:coauthVersionMax="47" xr10:uidLastSave="{A61D241E-CC9A-49A2-831A-ECBBE8F440E2}"/>
  <bookViews>
    <workbookView xWindow="-120" yWindow="-120" windowWidth="29040" windowHeight="15720" activeTab="1" xr2:uid="{B2CE9BF3-B66B-4A07-87F9-0E5F6A5E8603}"/>
  </bookViews>
  <sheets>
    <sheet name="LEER" sheetId="3" r:id="rId1"/>
    <sheet name="INDUSTRIAL (nacional)" sheetId="1" r:id="rId2"/>
    <sheet name="LANCHAS (CentroSur)" sheetId="2" r:id="rId3"/>
    <sheet name="BOTES (CentroSur)" sheetId="4" r:id="rId4"/>
  </sheets>
  <definedNames>
    <definedName name="_xlnm._FilterDatabase" localSheetId="1" hidden="1">'INDUSTRIAL (nacional)'!$A$2:$L$293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3" i="1" l="1"/>
  <c r="M284" i="1"/>
  <c r="M285" i="1"/>
  <c r="M286" i="1"/>
  <c r="M287" i="1"/>
  <c r="M288" i="1"/>
  <c r="M289" i="1"/>
  <c r="M290" i="1"/>
  <c r="M291" i="1"/>
  <c r="M292" i="1"/>
  <c r="M293" i="1"/>
  <c r="M282" i="1"/>
</calcChain>
</file>

<file path=xl/sharedStrings.xml><?xml version="1.0" encoding="utf-8"?>
<sst xmlns="http://schemas.openxmlformats.org/spreadsheetml/2006/main" count="1723" uniqueCount="61">
  <si>
    <t>JUREL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</si>
  <si>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</si>
  <si>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</si>
  <si>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</si>
  <si>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</si>
  <si>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</si>
  <si>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</si>
  <si>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</si>
  <si>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</si>
  <si>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</si>
  <si>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</si>
  <si>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</si>
  <si>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</si>
  <si>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</si>
  <si>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</si>
  <si>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</si>
  <si>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ANCHOVETA</t>
  </si>
  <si>
    <t>SARDINA COMÚN</t>
  </si>
  <si>
    <t>1) Los datos entregados consideras sólo pesca con cerco.</t>
  </si>
  <si>
    <t>2) Los montos (t) están referidos o asociados a la REGIÓN DONDE SE DESEMBARCARON.</t>
  </si>
  <si>
    <t>3) Las asignaciones mensuales y anuales están asociadas con las FECHAS DE RECALADA O LLEGADA ("Fc_Llegada")</t>
  </si>
  <si>
    <t>5) En el caso de naves Artesanales (Lanchas y botes) se dispone de información de SERNAPESCA desde 2011 en adelante.</t>
  </si>
  <si>
    <t>6) La notación de las regiones (encabezados de columnas) es:</t>
  </si>
  <si>
    <r>
      <t>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gión</t>
    </r>
  </si>
  <si>
    <t>AyP</t>
  </si>
  <si>
    <t>De Arica y Parinacota</t>
  </si>
  <si>
    <t>TPCA</t>
  </si>
  <si>
    <t>De Tarapacá</t>
  </si>
  <si>
    <t>ANTOF</t>
  </si>
  <si>
    <t>De Antofagasta</t>
  </si>
  <si>
    <t>ATCMA</t>
  </si>
  <si>
    <t>De Atacama</t>
  </si>
  <si>
    <t>COQ</t>
  </si>
  <si>
    <t>De Coquimbo</t>
  </si>
  <si>
    <t>VALPO</t>
  </si>
  <si>
    <t>De Valparaíso</t>
  </si>
  <si>
    <t>RM</t>
  </si>
  <si>
    <t>Metropolitana de Santiago</t>
  </si>
  <si>
    <t>LGBO</t>
  </si>
  <si>
    <t>Del Libertador General Bernardo O'higgins</t>
  </si>
  <si>
    <r>
      <t>M</t>
    </r>
    <r>
      <rPr>
        <sz val="12"/>
        <color rgb="FF414141"/>
        <rFont val="Calibri"/>
        <family val="2"/>
        <scheme val="minor"/>
      </rPr>
      <t>AULE</t>
    </r>
  </si>
  <si>
    <t>Del Maule</t>
  </si>
  <si>
    <t>NUBLE</t>
  </si>
  <si>
    <t>De Ñuble</t>
  </si>
  <si>
    <t>BBIO</t>
  </si>
  <si>
    <t>Del Biobío</t>
  </si>
  <si>
    <t>ARAUC</t>
  </si>
  <si>
    <t>De La Araucanía</t>
  </si>
  <si>
    <t>RIOS</t>
  </si>
  <si>
    <t>De Los Ríos</t>
  </si>
  <si>
    <t>LAGOS</t>
  </si>
  <si>
    <t>De Los Lagos</t>
  </si>
  <si>
    <r>
      <t>A</t>
    </r>
    <r>
      <rPr>
        <sz val="12"/>
        <color rgb="FF282828"/>
        <rFont val="Calibri"/>
        <family val="2"/>
        <scheme val="minor"/>
      </rPr>
      <t>Y</t>
    </r>
    <r>
      <rPr>
        <sz val="12"/>
        <color rgb="FF414141"/>
        <rFont val="Calibri"/>
        <family val="2"/>
        <scheme val="minor"/>
      </rPr>
      <t>SEN</t>
    </r>
  </si>
  <si>
    <t>De Aysén del General Carlos Ibáñez Del Campo</t>
  </si>
  <si>
    <t>MAG</t>
  </si>
  <si>
    <t>De Magallanes y de La Antártica Chilena</t>
  </si>
  <si>
    <t>INT</t>
  </si>
  <si>
    <t>Aguas Internacionales</t>
  </si>
  <si>
    <t>Nro usado</t>
  </si>
  <si>
    <r>
      <t>Abr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via</t>
    </r>
    <r>
      <rPr>
        <b/>
        <sz val="12"/>
        <color rgb="FF414141"/>
        <rFont val="Calibri"/>
        <family val="2"/>
        <scheme val="minor"/>
      </rPr>
      <t>t</t>
    </r>
    <r>
      <rPr>
        <b/>
        <sz val="12"/>
        <color rgb="FF282828"/>
        <rFont val="Calibri"/>
        <family val="2"/>
        <scheme val="minor"/>
      </rPr>
      <t>ur</t>
    </r>
    <r>
      <rPr>
        <b/>
        <sz val="12"/>
        <color rgb="FF414141"/>
        <rFont val="Calibri"/>
        <family val="2"/>
        <scheme val="minor"/>
      </rPr>
      <t>a oficial</t>
    </r>
  </si>
  <si>
    <t xml:space="preserve">4) En el caso de naves industriales se eliminaron duplicados que tuvieran mismas toneladas de desembarques, especie, fechas de zarpe-recalada y destinos.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</si>
</sst>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#,##0.0"/>
    <numFmt numFmtId="166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82828"/>
      <name val="Calibri"/>
      <family val="2"/>
      <scheme val="minor"/>
    </font>
    <font>
      <b/>
      <sz val="12"/>
      <color rgb="FF41414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414141"/>
      <name val="Calibri"/>
      <family val="2"/>
      <scheme val="minor"/>
    </font>
    <font>
      <sz val="12"/>
      <color rgb="FF2828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1" applyFont="1" applyBorder="1"/>
    <xf numFmtId="3" fontId="0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166" fontId="0" fillId="0" borderId="0" xfId="0" applyNumberFormat="1"/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D46-1CC2-4D49-9CE1-269879DC424F}">
  <dimension ref="A1:C24"/>
  <sheetViews>
    <sheetView topLeftCell="A7" workbookViewId="0">
      <selection activeCell="H23" sqref="H23"/>
    </sheetView>
  </sheetViews>
  <sheetFormatPr defaultColWidth="11.42578125" defaultRowHeight="15" x14ac:dyDescent="0.25"/>
  <cols>
    <col min="1" max="1" width="11.5703125" customWidth="1"/>
    <col min="2" max="2" width="13.5703125" customWidth="1"/>
    <col min="3" max="3" width="45.5703125" bestFit="1" customWidth="1"/>
  </cols>
  <sheetData>
    <row r="1" spans="1:3" x14ac:dyDescent="0.25">
      <c r="A1" t="s">
        <v>18</v>
      </c>
    </row>
    <row r="2" spans="1:3" x14ac:dyDescent="0.25">
      <c r="A2" t="s">
        <v>19</v>
      </c>
    </row>
    <row r="3" spans="1:3" x14ac:dyDescent="0.25">
      <c r="A3" t="s">
        <v>20</v>
      </c>
    </row>
    <row r="4" spans="1:3" x14ac:dyDescent="0.25">
      <c r="A4" t="s">
        <v>60</v>
      </c>
    </row>
    <row r="5" spans="1:3" x14ac:dyDescent="0.25">
      <c r="A5" t="s">
        <v>21</v>
      </c>
    </row>
    <row r="6" spans="1:3" x14ac:dyDescent="0.25">
      <c r="A6" t="s">
        <v>22</v>
      </c>
    </row>
    <row r="7" spans="1:3" ht="31.5" x14ac:dyDescent="0.25">
      <c r="A7" s="24" t="s">
        <v>58</v>
      </c>
      <c r="B7" s="24" t="s">
        <v>59</v>
      </c>
      <c r="C7" s="25" t="s">
        <v>23</v>
      </c>
    </row>
    <row r="8" spans="1:3" ht="15.75" x14ac:dyDescent="0.25">
      <c r="A8" s="5">
        <v>15</v>
      </c>
      <c r="B8" s="26" t="s">
        <v>24</v>
      </c>
      <c r="C8" s="27" t="s">
        <v>25</v>
      </c>
    </row>
    <row r="9" spans="1:3" ht="15.75" x14ac:dyDescent="0.25">
      <c r="A9" s="5">
        <v>1</v>
      </c>
      <c r="B9" s="26" t="s">
        <v>26</v>
      </c>
      <c r="C9" s="27" t="s">
        <v>27</v>
      </c>
    </row>
    <row r="10" spans="1:3" ht="15.75" x14ac:dyDescent="0.25">
      <c r="A10" s="5">
        <v>2</v>
      </c>
      <c r="B10" s="26" t="s">
        <v>28</v>
      </c>
      <c r="C10" s="27" t="s">
        <v>29</v>
      </c>
    </row>
    <row r="11" spans="1:3" ht="15.75" x14ac:dyDescent="0.25">
      <c r="A11" s="5">
        <v>3</v>
      </c>
      <c r="B11" s="26" t="s">
        <v>30</v>
      </c>
      <c r="C11" s="27" t="s">
        <v>31</v>
      </c>
    </row>
    <row r="12" spans="1:3" ht="15.75" x14ac:dyDescent="0.25">
      <c r="A12" s="5">
        <v>4</v>
      </c>
      <c r="B12" s="26" t="s">
        <v>32</v>
      </c>
      <c r="C12" s="27" t="s">
        <v>33</v>
      </c>
    </row>
    <row r="13" spans="1:3" ht="15.75" x14ac:dyDescent="0.25">
      <c r="A13" s="5">
        <v>5</v>
      </c>
      <c r="B13" s="28" t="s">
        <v>34</v>
      </c>
      <c r="C13" s="27" t="s">
        <v>35</v>
      </c>
    </row>
    <row r="14" spans="1:3" ht="15.75" x14ac:dyDescent="0.25">
      <c r="A14" s="5">
        <v>13</v>
      </c>
      <c r="B14" s="26" t="s">
        <v>36</v>
      </c>
      <c r="C14" s="27" t="s">
        <v>37</v>
      </c>
    </row>
    <row r="15" spans="1:3" ht="15.75" x14ac:dyDescent="0.25">
      <c r="A15" s="5">
        <v>6</v>
      </c>
      <c r="B15" s="26" t="s">
        <v>38</v>
      </c>
      <c r="C15" s="27" t="s">
        <v>39</v>
      </c>
    </row>
    <row r="16" spans="1:3" ht="15.75" x14ac:dyDescent="0.25">
      <c r="A16" s="5">
        <v>7</v>
      </c>
      <c r="B16" s="29" t="s">
        <v>40</v>
      </c>
      <c r="C16" s="27" t="s">
        <v>41</v>
      </c>
    </row>
    <row r="17" spans="1:3" ht="15.75" x14ac:dyDescent="0.25">
      <c r="A17" s="5">
        <v>16</v>
      </c>
      <c r="B17" s="28" t="s">
        <v>42</v>
      </c>
      <c r="C17" s="27" t="s">
        <v>43</v>
      </c>
    </row>
    <row r="18" spans="1:3" ht="15.75" x14ac:dyDescent="0.25">
      <c r="A18" s="5">
        <v>8</v>
      </c>
      <c r="B18" s="26" t="s">
        <v>44</v>
      </c>
      <c r="C18" s="27" t="s">
        <v>45</v>
      </c>
    </row>
    <row r="19" spans="1:3" ht="15.75" x14ac:dyDescent="0.25">
      <c r="A19" s="5">
        <v>9</v>
      </c>
      <c r="B19" s="26" t="s">
        <v>46</v>
      </c>
      <c r="C19" s="27" t="s">
        <v>47</v>
      </c>
    </row>
    <row r="20" spans="1:3" ht="15.75" x14ac:dyDescent="0.25">
      <c r="A20" s="5">
        <v>14</v>
      </c>
      <c r="B20" s="26" t="s">
        <v>48</v>
      </c>
      <c r="C20" s="27" t="s">
        <v>49</v>
      </c>
    </row>
    <row r="21" spans="1:3" ht="15.75" x14ac:dyDescent="0.25">
      <c r="A21" s="5">
        <v>10</v>
      </c>
      <c r="B21" s="26" t="s">
        <v>50</v>
      </c>
      <c r="C21" s="27" t="s">
        <v>51</v>
      </c>
    </row>
    <row r="22" spans="1:3" ht="15.75" x14ac:dyDescent="0.25">
      <c r="A22" s="5">
        <v>11</v>
      </c>
      <c r="B22" s="28" t="s">
        <v>52</v>
      </c>
      <c r="C22" s="27" t="s">
        <v>53</v>
      </c>
    </row>
    <row r="23" spans="1:3" ht="15.75" x14ac:dyDescent="0.25">
      <c r="A23" s="5">
        <v>12</v>
      </c>
      <c r="B23" s="28" t="s">
        <v>54</v>
      </c>
      <c r="C23" s="27" t="s">
        <v>55</v>
      </c>
    </row>
    <row r="24" spans="1:3" ht="15.75" x14ac:dyDescent="0.25">
      <c r="A24" s="5">
        <v>0</v>
      </c>
      <c r="B24" s="28" t="s">
        <v>56</v>
      </c>
      <c r="C24" s="2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602-C0D9-44FB-AB9C-0B56AFC3DE03}">
  <dimension ref="A1:AJ293"/>
  <sheetViews>
    <sheetView tabSelected="1" zoomScale="85" zoomScaleNormal="85" workbookViewId="0">
      <selection activeCell="Q285" sqref="Q285"/>
    </sheetView>
  </sheetViews>
  <sheetFormatPr defaultColWidth="11.42578125" defaultRowHeight="15" x14ac:dyDescent="0.25"/>
  <cols>
    <col min="1" max="1" width="17" bestFit="1" customWidth="1"/>
    <col min="2" max="2" width="18.28515625" bestFit="1" customWidth="1"/>
    <col min="3" max="11" width="8.5703125" style="1" customWidth="1"/>
    <col min="12" max="12" width="13.140625" style="14" customWidth="1"/>
    <col min="13" max="13" width="13.28515625" customWidth="1"/>
    <col min="14" max="14" width="16.85546875" bestFit="1" customWidth="1"/>
    <col min="15" max="15" width="18.42578125" bestFit="1" customWidth="1"/>
    <col min="16" max="22" width="9.7109375" style="1" customWidth="1"/>
    <col min="23" max="23" width="12.5703125" style="14" bestFit="1" customWidth="1"/>
    <col min="24" max="24" width="13.28515625" customWidth="1"/>
    <col min="25" max="25" width="17" bestFit="1" customWidth="1"/>
    <col min="26" max="26" width="18.42578125" bestFit="1" customWidth="1"/>
    <col min="27" max="27" width="7.7109375" style="14" bestFit="1" customWidth="1"/>
    <col min="28" max="28" width="8.7109375" style="14" bestFit="1" customWidth="1"/>
    <col min="29" max="29" width="7.7109375" style="14" bestFit="1" customWidth="1"/>
    <col min="30" max="31" width="6.7109375" style="14" bestFit="1" customWidth="1"/>
    <col min="32" max="32" width="7.7109375" style="14" bestFit="1" customWidth="1"/>
    <col min="33" max="33" width="8.7109375" style="14" bestFit="1" customWidth="1"/>
    <col min="34" max="35" width="6.7109375" style="14" bestFit="1" customWidth="1"/>
    <col min="36" max="36" width="12.5703125" style="14" bestFit="1" customWidth="1"/>
  </cols>
  <sheetData>
    <row r="1" spans="1:36" x14ac:dyDescent="0.25">
      <c r="A1" s="3" t="s">
        <v>0</v>
      </c>
      <c r="N1" s="3" t="s">
        <v>17</v>
      </c>
      <c r="P1" s="14"/>
      <c r="Q1" s="14"/>
      <c r="R1" s="14"/>
      <c r="S1" s="14"/>
      <c r="T1" s="14"/>
      <c r="U1" s="14"/>
      <c r="V1" s="14"/>
      <c r="Y1" s="3" t="s">
        <v>16</v>
      </c>
      <c r="AA1" s="14">
        <v>15</v>
      </c>
      <c r="AB1" s="14">
        <v>1</v>
      </c>
      <c r="AC1" s="14">
        <v>2</v>
      </c>
      <c r="AD1" s="14">
        <v>3</v>
      </c>
      <c r="AE1" s="14">
        <v>4</v>
      </c>
      <c r="AF1" s="14">
        <v>5</v>
      </c>
      <c r="AG1" s="14">
        <v>8</v>
      </c>
      <c r="AH1" s="14">
        <v>14</v>
      </c>
      <c r="AI1" s="14">
        <v>10</v>
      </c>
    </row>
    <row r="2" spans="1:36" s="9" customFormat="1" x14ac:dyDescent="0.25">
      <c r="A2" s="7" t="s">
        <v>1</v>
      </c>
      <c r="B2" s="7" t="s">
        <v>2</v>
      </c>
      <c r="C2" s="8">
        <v>15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8</v>
      </c>
      <c r="J2" s="8">
        <v>14</v>
      </c>
      <c r="K2" s="8">
        <v>10</v>
      </c>
      <c r="L2" s="15" t="s">
        <v>3</v>
      </c>
      <c r="N2" s="7" t="s">
        <v>1</v>
      </c>
      <c r="O2" s="7" t="s">
        <v>2</v>
      </c>
      <c r="P2" s="8">
        <v>1</v>
      </c>
      <c r="Q2" s="8">
        <v>2</v>
      </c>
      <c r="R2" s="8">
        <v>4</v>
      </c>
      <c r="S2" s="8">
        <v>5</v>
      </c>
      <c r="T2" s="8">
        <v>8</v>
      </c>
      <c r="U2" s="8">
        <v>14</v>
      </c>
      <c r="V2" s="8">
        <v>10</v>
      </c>
      <c r="W2" s="15" t="s">
        <v>3</v>
      </c>
      <c r="Y2" s="7" t="s">
        <v>1</v>
      </c>
      <c r="Z2" s="7" t="s">
        <v>2</v>
      </c>
      <c r="AA2" s="15">
        <v>15</v>
      </c>
      <c r="AB2" s="15">
        <v>1</v>
      </c>
      <c r="AC2" s="15">
        <v>2</v>
      </c>
      <c r="AD2" s="15">
        <v>3</v>
      </c>
      <c r="AE2" s="15">
        <v>4</v>
      </c>
      <c r="AF2" s="15">
        <v>5</v>
      </c>
      <c r="AG2" s="15">
        <v>8</v>
      </c>
      <c r="AH2" s="15">
        <v>14</v>
      </c>
      <c r="AI2" s="15">
        <v>10</v>
      </c>
      <c r="AJ2" s="15" t="s">
        <v>3</v>
      </c>
    </row>
    <row r="3" spans="1:36" x14ac:dyDescent="0.25">
      <c r="A3" s="5">
        <v>2000</v>
      </c>
      <c r="B3" s="4" t="s">
        <v>4</v>
      </c>
      <c r="C3" s="13">
        <v>3787.0399999999986</v>
      </c>
      <c r="D3" s="13">
        <v>20641.460000000003</v>
      </c>
      <c r="E3" s="13">
        <v>15608.92</v>
      </c>
      <c r="F3" s="13">
        <v>389.07</v>
      </c>
      <c r="G3" s="13">
        <v>3960.64</v>
      </c>
      <c r="H3" s="13">
        <v>1633.5</v>
      </c>
      <c r="I3" s="13">
        <v>325661.77799999987</v>
      </c>
      <c r="J3" s="13"/>
      <c r="K3" s="13"/>
      <c r="L3" s="16">
        <v>371682.40799999988</v>
      </c>
      <c r="N3" s="5">
        <v>2000</v>
      </c>
      <c r="O3" s="4" t="s">
        <v>4</v>
      </c>
      <c r="P3" s="6"/>
      <c r="Q3" s="6">
        <v>5</v>
      </c>
      <c r="R3" s="6"/>
      <c r="S3" s="6">
        <v>2117</v>
      </c>
      <c r="T3" s="6">
        <v>50339.328999999976</v>
      </c>
      <c r="U3" s="6"/>
      <c r="V3" s="6"/>
      <c r="W3" s="16">
        <v>52461.328999999976</v>
      </c>
      <c r="Y3" s="19">
        <v>2000</v>
      </c>
      <c r="Z3" s="17" t="s">
        <v>4</v>
      </c>
      <c r="AA3" s="18">
        <v>77584.330000000016</v>
      </c>
      <c r="AB3" s="18">
        <v>66058.860000000015</v>
      </c>
      <c r="AC3" s="18">
        <v>5708.72</v>
      </c>
      <c r="AD3" s="18">
        <v>5950.7520000000004</v>
      </c>
      <c r="AE3" s="18">
        <v>251.38000000000002</v>
      </c>
      <c r="AF3" s="18"/>
      <c r="AG3" s="18">
        <v>21768.325000000004</v>
      </c>
      <c r="AH3" s="18"/>
      <c r="AI3" s="18"/>
      <c r="AJ3" s="18">
        <v>177322.36700000006</v>
      </c>
    </row>
    <row r="4" spans="1:36" x14ac:dyDescent="0.25">
      <c r="A4" s="5">
        <v>2000</v>
      </c>
      <c r="B4" s="4" t="s">
        <v>5</v>
      </c>
      <c r="C4" s="13">
        <v>911.65999999999985</v>
      </c>
      <c r="D4" s="13">
        <v>3543.1200000000003</v>
      </c>
      <c r="E4" s="13">
        <v>15553.729999999996</v>
      </c>
      <c r="F4" s="13">
        <v>18</v>
      </c>
      <c r="G4" s="13">
        <v>1994.9</v>
      </c>
      <c r="H4" s="13"/>
      <c r="I4" s="13">
        <v>8368.6689999999981</v>
      </c>
      <c r="J4" s="13"/>
      <c r="K4" s="13"/>
      <c r="L4" s="16">
        <v>30390.078999999994</v>
      </c>
      <c r="N4" s="5">
        <v>2000</v>
      </c>
      <c r="O4" s="4" t="s">
        <v>5</v>
      </c>
      <c r="P4" s="6"/>
      <c r="Q4" s="6">
        <v>18</v>
      </c>
      <c r="R4" s="6"/>
      <c r="S4" s="6">
        <v>1033.7549999999999</v>
      </c>
      <c r="T4" s="6">
        <v>106013.05099999993</v>
      </c>
      <c r="U4" s="6">
        <v>1591</v>
      </c>
      <c r="V4" s="6"/>
      <c r="W4" s="16">
        <v>108655.80599999994</v>
      </c>
      <c r="Y4" s="19">
        <v>2000</v>
      </c>
      <c r="Z4" s="17" t="s">
        <v>5</v>
      </c>
      <c r="AA4" s="18">
        <v>15474.965000000024</v>
      </c>
      <c r="AB4" s="18">
        <v>25096.339999999993</v>
      </c>
      <c r="AC4" s="18">
        <v>23085.21000000001</v>
      </c>
      <c r="AD4" s="18">
        <v>3087.2759999999998</v>
      </c>
      <c r="AE4" s="18">
        <v>1858.1599999999999</v>
      </c>
      <c r="AF4" s="18">
        <v>2774.2350000000006</v>
      </c>
      <c r="AG4" s="18">
        <v>54464.100000000028</v>
      </c>
      <c r="AH4" s="18">
        <v>987</v>
      </c>
      <c r="AI4" s="18"/>
      <c r="AJ4" s="18">
        <v>126827.28600000005</v>
      </c>
    </row>
    <row r="5" spans="1:36" x14ac:dyDescent="0.25">
      <c r="A5" s="5">
        <v>2000</v>
      </c>
      <c r="B5" s="4" t="s">
        <v>6</v>
      </c>
      <c r="C5" s="13">
        <v>43.7</v>
      </c>
      <c r="D5" s="13">
        <v>77.819999999999993</v>
      </c>
      <c r="E5" s="13">
        <v>2182</v>
      </c>
      <c r="F5" s="13">
        <v>1427.8</v>
      </c>
      <c r="G5" s="13">
        <v>4565.7</v>
      </c>
      <c r="H5" s="13">
        <v>0.04</v>
      </c>
      <c r="I5" s="13">
        <v>27656.321999999993</v>
      </c>
      <c r="J5" s="13"/>
      <c r="K5" s="13"/>
      <c r="L5" s="16">
        <v>35953.381999999998</v>
      </c>
      <c r="N5" s="5">
        <v>2000</v>
      </c>
      <c r="O5" s="4" t="s">
        <v>6</v>
      </c>
      <c r="P5" s="6"/>
      <c r="Q5" s="6"/>
      <c r="R5" s="6"/>
      <c r="S5" s="6">
        <v>2039.865</v>
      </c>
      <c r="T5" s="6">
        <v>79742.703999999969</v>
      </c>
      <c r="U5" s="6">
        <v>3807</v>
      </c>
      <c r="V5" s="6"/>
      <c r="W5" s="16">
        <v>85589.568999999974</v>
      </c>
      <c r="Y5" s="19">
        <v>2000</v>
      </c>
      <c r="Z5" s="17" t="s">
        <v>6</v>
      </c>
      <c r="AA5" s="18">
        <v>6252.3210000000036</v>
      </c>
      <c r="AB5" s="18">
        <v>72376.12000000001</v>
      </c>
      <c r="AC5" s="18">
        <v>32854.765000000007</v>
      </c>
      <c r="AD5" s="18">
        <v>5230.0279999999984</v>
      </c>
      <c r="AE5" s="18">
        <v>1286.9699999999996</v>
      </c>
      <c r="AF5" s="18">
        <v>11903.924999999999</v>
      </c>
      <c r="AG5" s="18">
        <v>123903.69799999997</v>
      </c>
      <c r="AH5" s="18">
        <v>1898</v>
      </c>
      <c r="AI5" s="18"/>
      <c r="AJ5" s="18">
        <v>255705.82699999999</v>
      </c>
    </row>
    <row r="6" spans="1:36" x14ac:dyDescent="0.25">
      <c r="A6" s="5">
        <v>2000</v>
      </c>
      <c r="B6" s="4" t="s">
        <v>7</v>
      </c>
      <c r="C6" s="13"/>
      <c r="D6" s="13">
        <v>14408.509999999998</v>
      </c>
      <c r="E6" s="13">
        <v>1399.9339999999997</v>
      </c>
      <c r="F6" s="13">
        <v>968.80000000000007</v>
      </c>
      <c r="G6" s="13">
        <v>3773.9000000000005</v>
      </c>
      <c r="H6" s="13"/>
      <c r="I6" s="13">
        <v>35701.818000000021</v>
      </c>
      <c r="J6" s="13"/>
      <c r="K6" s="13"/>
      <c r="L6" s="16">
        <v>56252.962000000021</v>
      </c>
      <c r="N6" s="5">
        <v>2000</v>
      </c>
      <c r="O6" s="4" t="s">
        <v>7</v>
      </c>
      <c r="P6" s="6"/>
      <c r="Q6" s="6">
        <v>5</v>
      </c>
      <c r="R6" s="6"/>
      <c r="S6" s="6">
        <v>1353.6</v>
      </c>
      <c r="T6" s="6">
        <v>56543.199000000022</v>
      </c>
      <c r="U6" s="6">
        <v>4716</v>
      </c>
      <c r="V6" s="6"/>
      <c r="W6" s="16">
        <v>62617.799000000021</v>
      </c>
      <c r="Y6" s="19">
        <v>2000</v>
      </c>
      <c r="Z6" s="17" t="s">
        <v>7</v>
      </c>
      <c r="AA6" s="18">
        <v>12338.044000000007</v>
      </c>
      <c r="AB6" s="18">
        <v>23683.505000000001</v>
      </c>
      <c r="AC6" s="18">
        <v>22969.235000000008</v>
      </c>
      <c r="AD6" s="18">
        <v>1354.3</v>
      </c>
      <c r="AE6" s="18">
        <v>3991.7999999999997</v>
      </c>
      <c r="AF6" s="18">
        <v>6705.9500000000007</v>
      </c>
      <c r="AG6" s="18">
        <v>57083.735000000037</v>
      </c>
      <c r="AH6" s="18">
        <v>2805</v>
      </c>
      <c r="AI6" s="18"/>
      <c r="AJ6" s="18">
        <v>130931.56900000005</v>
      </c>
    </row>
    <row r="7" spans="1:36" x14ac:dyDescent="0.25">
      <c r="A7" s="5">
        <v>2000</v>
      </c>
      <c r="B7" s="4" t="s">
        <v>8</v>
      </c>
      <c r="C7" s="13">
        <v>290.31</v>
      </c>
      <c r="D7" s="13">
        <v>17132.060000000005</v>
      </c>
      <c r="E7" s="13">
        <v>1407.3400000000001</v>
      </c>
      <c r="F7" s="13">
        <v>1</v>
      </c>
      <c r="G7" s="13">
        <v>7038.6999999999989</v>
      </c>
      <c r="H7" s="13"/>
      <c r="I7" s="13">
        <v>55738.302000000003</v>
      </c>
      <c r="J7" s="13"/>
      <c r="K7" s="13"/>
      <c r="L7" s="16">
        <v>81607.712</v>
      </c>
      <c r="N7" s="5">
        <v>2000</v>
      </c>
      <c r="O7" s="4" t="s">
        <v>8</v>
      </c>
      <c r="P7" s="6"/>
      <c r="Q7" s="6"/>
      <c r="R7" s="6"/>
      <c r="S7" s="6"/>
      <c r="T7" s="6">
        <v>29381.366999999984</v>
      </c>
      <c r="U7" s="6">
        <v>5792</v>
      </c>
      <c r="V7" s="6"/>
      <c r="W7" s="16">
        <v>35173.366999999984</v>
      </c>
      <c r="Y7" s="19">
        <v>2000</v>
      </c>
      <c r="Z7" s="17" t="s">
        <v>8</v>
      </c>
      <c r="AA7" s="18">
        <v>46235.399999999929</v>
      </c>
      <c r="AB7" s="18">
        <v>26158.089999999993</v>
      </c>
      <c r="AC7" s="18">
        <v>18173.309999999998</v>
      </c>
      <c r="AD7" s="18">
        <v>1060</v>
      </c>
      <c r="AE7" s="18">
        <v>2433.6</v>
      </c>
      <c r="AF7" s="18"/>
      <c r="AG7" s="18">
        <v>32230.902000000006</v>
      </c>
      <c r="AH7" s="18">
        <v>581</v>
      </c>
      <c r="AI7" s="18"/>
      <c r="AJ7" s="18">
        <v>126872.30199999992</v>
      </c>
    </row>
    <row r="8" spans="1:36" x14ac:dyDescent="0.25">
      <c r="A8" s="5">
        <v>2000</v>
      </c>
      <c r="B8" s="4" t="s">
        <v>9</v>
      </c>
      <c r="C8" s="13"/>
      <c r="D8" s="13">
        <v>1879.2799999999997</v>
      </c>
      <c r="E8" s="13"/>
      <c r="F8" s="13">
        <v>1</v>
      </c>
      <c r="G8" s="13">
        <v>4071.5299999999997</v>
      </c>
      <c r="H8" s="13"/>
      <c r="I8" s="13">
        <v>71420.899999999965</v>
      </c>
      <c r="J8" s="13">
        <v>997</v>
      </c>
      <c r="K8" s="13"/>
      <c r="L8" s="16">
        <v>78369.709999999963</v>
      </c>
      <c r="N8" s="5">
        <v>2000</v>
      </c>
      <c r="O8" s="4" t="s">
        <v>9</v>
      </c>
      <c r="P8" s="6"/>
      <c r="Q8" s="6"/>
      <c r="R8" s="6">
        <v>4.8899999999999997</v>
      </c>
      <c r="S8" s="6"/>
      <c r="T8" s="6">
        <v>19327.211000000007</v>
      </c>
      <c r="U8" s="6">
        <v>3393</v>
      </c>
      <c r="V8" s="6"/>
      <c r="W8" s="16">
        <v>22725.101000000006</v>
      </c>
      <c r="Y8" s="19">
        <v>2000</v>
      </c>
      <c r="Z8" s="17" t="s">
        <v>9</v>
      </c>
      <c r="AA8" s="18">
        <v>40412.473999999951</v>
      </c>
      <c r="AB8" s="18">
        <v>24932.744999999974</v>
      </c>
      <c r="AC8" s="18">
        <v>4480.75</v>
      </c>
      <c r="AD8" s="18"/>
      <c r="AE8" s="18">
        <v>2651.9599999999987</v>
      </c>
      <c r="AF8" s="18"/>
      <c r="AG8" s="18">
        <v>5352.637999999999</v>
      </c>
      <c r="AH8" s="18">
        <v>588</v>
      </c>
      <c r="AI8" s="18"/>
      <c r="AJ8" s="18">
        <v>78418.566999999923</v>
      </c>
    </row>
    <row r="9" spans="1:36" x14ac:dyDescent="0.25">
      <c r="A9" s="5">
        <v>2000</v>
      </c>
      <c r="B9" s="4" t="s">
        <v>10</v>
      </c>
      <c r="C9" s="13">
        <v>1913.5699999999983</v>
      </c>
      <c r="D9" s="13">
        <v>1833.5000000000018</v>
      </c>
      <c r="E9" s="13">
        <v>66.84</v>
      </c>
      <c r="F9" s="13">
        <v>340</v>
      </c>
      <c r="G9" s="13">
        <v>7076.72</v>
      </c>
      <c r="H9" s="13">
        <v>122</v>
      </c>
      <c r="I9" s="13">
        <v>187975.78499999995</v>
      </c>
      <c r="J9" s="13">
        <v>5562</v>
      </c>
      <c r="K9" s="13"/>
      <c r="L9" s="16">
        <v>204890.41499999995</v>
      </c>
      <c r="N9" s="5">
        <v>2000</v>
      </c>
      <c r="O9" s="4" t="s">
        <v>10</v>
      </c>
      <c r="P9" s="6"/>
      <c r="Q9" s="6"/>
      <c r="R9" s="6">
        <v>1.9</v>
      </c>
      <c r="S9" s="6"/>
      <c r="T9" s="6">
        <v>6.3239999999999998</v>
      </c>
      <c r="U9" s="6">
        <v>105</v>
      </c>
      <c r="V9" s="6"/>
      <c r="W9" s="16">
        <v>113.224</v>
      </c>
      <c r="Y9" s="19">
        <v>2000</v>
      </c>
      <c r="Z9" s="17" t="s">
        <v>10</v>
      </c>
      <c r="AA9" s="18">
        <v>64565.053999999887</v>
      </c>
      <c r="AB9" s="18">
        <v>74974.990000000049</v>
      </c>
      <c r="AC9" s="18">
        <v>1883.56</v>
      </c>
      <c r="AD9" s="18"/>
      <c r="AE9" s="18">
        <v>1279.6500000000005</v>
      </c>
      <c r="AF9" s="18"/>
      <c r="AG9" s="18">
        <v>2.7409999999999997</v>
      </c>
      <c r="AH9" s="18">
        <v>44</v>
      </c>
      <c r="AI9" s="18"/>
      <c r="AJ9" s="18">
        <v>142749.99499999994</v>
      </c>
    </row>
    <row r="10" spans="1:36" x14ac:dyDescent="0.25">
      <c r="A10" s="5">
        <v>2000</v>
      </c>
      <c r="B10" s="4" t="s">
        <v>11</v>
      </c>
      <c r="C10" s="13">
        <v>21.14</v>
      </c>
      <c r="D10" s="13"/>
      <c r="E10" s="13"/>
      <c r="F10" s="13"/>
      <c r="G10" s="13">
        <v>766.55</v>
      </c>
      <c r="H10" s="13"/>
      <c r="I10" s="13">
        <v>101722.17900000002</v>
      </c>
      <c r="J10" s="13">
        <v>1991.06</v>
      </c>
      <c r="K10" s="13"/>
      <c r="L10" s="16">
        <v>104500.92900000002</v>
      </c>
      <c r="N10" s="5">
        <v>2000</v>
      </c>
      <c r="O10" s="4" t="s">
        <v>11</v>
      </c>
      <c r="P10" s="6"/>
      <c r="Q10" s="6"/>
      <c r="R10" s="6">
        <v>0.06</v>
      </c>
      <c r="S10" s="6"/>
      <c r="T10" s="6"/>
      <c r="U10" s="6"/>
      <c r="V10" s="6"/>
      <c r="W10" s="16">
        <v>0.06</v>
      </c>
      <c r="Y10" s="19">
        <v>2000</v>
      </c>
      <c r="Z10" s="17" t="s">
        <v>11</v>
      </c>
      <c r="AA10" s="18">
        <v>3052.9509999999996</v>
      </c>
      <c r="AB10" s="18">
        <v>818.4</v>
      </c>
      <c r="AC10" s="18"/>
      <c r="AD10" s="18"/>
      <c r="AE10" s="18">
        <v>1.075</v>
      </c>
      <c r="AF10" s="18"/>
      <c r="AG10" s="18"/>
      <c r="AH10" s="18"/>
      <c r="AI10" s="18"/>
      <c r="AJ10" s="18">
        <v>3872.4259999999995</v>
      </c>
    </row>
    <row r="11" spans="1:36" x14ac:dyDescent="0.25">
      <c r="A11" s="5">
        <v>2000</v>
      </c>
      <c r="B11" s="4" t="s">
        <v>12</v>
      </c>
      <c r="C11" s="13"/>
      <c r="D11" s="13">
        <v>2175.6999999999994</v>
      </c>
      <c r="E11" s="13">
        <v>60.04</v>
      </c>
      <c r="F11" s="13">
        <v>116</v>
      </c>
      <c r="G11" s="13">
        <v>17.02</v>
      </c>
      <c r="H11" s="13"/>
      <c r="I11" s="13">
        <v>58175.360999999975</v>
      </c>
      <c r="J11" s="13">
        <v>1144.02</v>
      </c>
      <c r="K11" s="13"/>
      <c r="L11" s="16">
        <v>61688.140999999974</v>
      </c>
      <c r="N11" s="5">
        <v>2000</v>
      </c>
      <c r="O11" s="4" t="s">
        <v>12</v>
      </c>
      <c r="P11" s="6"/>
      <c r="Q11" s="6"/>
      <c r="R11" s="6">
        <v>0.24</v>
      </c>
      <c r="S11" s="6"/>
      <c r="T11" s="6">
        <v>6481.1900000000014</v>
      </c>
      <c r="U11" s="6">
        <v>3050</v>
      </c>
      <c r="V11" s="6"/>
      <c r="W11" s="16">
        <v>9531.43</v>
      </c>
      <c r="Y11" s="19">
        <v>2000</v>
      </c>
      <c r="Z11" s="17" t="s">
        <v>12</v>
      </c>
      <c r="AA11" s="18">
        <v>13761.381000000007</v>
      </c>
      <c r="AB11" s="18">
        <v>58912.100000000006</v>
      </c>
      <c r="AC11" s="18">
        <v>18810.899999999994</v>
      </c>
      <c r="AD11" s="18"/>
      <c r="AE11" s="18">
        <v>0.37</v>
      </c>
      <c r="AF11" s="18"/>
      <c r="AG11" s="18">
        <v>1323.44</v>
      </c>
      <c r="AH11" s="18">
        <v>276</v>
      </c>
      <c r="AI11" s="18"/>
      <c r="AJ11" s="18">
        <v>93084.191000000006</v>
      </c>
    </row>
    <row r="12" spans="1:36" x14ac:dyDescent="0.25">
      <c r="A12" s="5">
        <v>2000</v>
      </c>
      <c r="B12" s="4" t="s">
        <v>13</v>
      </c>
      <c r="C12" s="13">
        <v>1.8699999999999999</v>
      </c>
      <c r="D12" s="13">
        <v>1467.3000000000002</v>
      </c>
      <c r="E12" s="13">
        <v>1595.93</v>
      </c>
      <c r="F12" s="13">
        <v>36</v>
      </c>
      <c r="G12" s="13">
        <v>51.78</v>
      </c>
      <c r="H12" s="13"/>
      <c r="I12" s="13">
        <v>46493.306000000026</v>
      </c>
      <c r="J12" s="13"/>
      <c r="K12" s="13"/>
      <c r="L12" s="16">
        <v>49646.186000000023</v>
      </c>
      <c r="N12" s="5">
        <v>2000</v>
      </c>
      <c r="O12" s="4" t="s">
        <v>13</v>
      </c>
      <c r="P12" s="6"/>
      <c r="Q12" s="6">
        <v>4</v>
      </c>
      <c r="R12" s="6"/>
      <c r="S12" s="6"/>
      <c r="T12" s="6">
        <v>13341.440999999997</v>
      </c>
      <c r="U12" s="6">
        <v>9379</v>
      </c>
      <c r="V12" s="6"/>
      <c r="W12" s="16">
        <v>22724.440999999999</v>
      </c>
      <c r="Y12" s="19">
        <v>2000</v>
      </c>
      <c r="Z12" s="17" t="s">
        <v>13</v>
      </c>
      <c r="AA12" s="18">
        <v>11554.563000000009</v>
      </c>
      <c r="AB12" s="18">
        <v>62670.199999999953</v>
      </c>
      <c r="AC12" s="18">
        <v>47516.219999999987</v>
      </c>
      <c r="AD12" s="18">
        <v>1</v>
      </c>
      <c r="AE12" s="18"/>
      <c r="AF12" s="18"/>
      <c r="AG12" s="18">
        <v>1334.395</v>
      </c>
      <c r="AH12" s="18">
        <v>1447</v>
      </c>
      <c r="AI12" s="18"/>
      <c r="AJ12" s="18">
        <v>124523.37799999995</v>
      </c>
    </row>
    <row r="13" spans="1:36" x14ac:dyDescent="0.25">
      <c r="A13" s="5">
        <v>2000</v>
      </c>
      <c r="B13" s="4" t="s">
        <v>14</v>
      </c>
      <c r="C13" s="13">
        <v>14.54</v>
      </c>
      <c r="D13" s="13">
        <v>1742.8000000000002</v>
      </c>
      <c r="E13" s="13">
        <v>61.56</v>
      </c>
      <c r="F13" s="13">
        <v>119</v>
      </c>
      <c r="G13" s="13">
        <v>243.47000000000003</v>
      </c>
      <c r="H13" s="13"/>
      <c r="I13" s="13">
        <v>51412.417000000009</v>
      </c>
      <c r="J13" s="13">
        <v>0.5</v>
      </c>
      <c r="K13" s="13">
        <v>0.8</v>
      </c>
      <c r="L13" s="16">
        <v>53595.087000000014</v>
      </c>
      <c r="N13" s="5">
        <v>2000</v>
      </c>
      <c r="O13" s="4" t="s">
        <v>14</v>
      </c>
      <c r="P13" s="6"/>
      <c r="Q13" s="6"/>
      <c r="R13" s="6"/>
      <c r="S13" s="6"/>
      <c r="T13" s="6">
        <v>12685.795</v>
      </c>
      <c r="U13" s="6">
        <v>1060.0999999999999</v>
      </c>
      <c r="V13" s="6"/>
      <c r="W13" s="16">
        <v>13745.895</v>
      </c>
      <c r="Y13" s="19">
        <v>2000</v>
      </c>
      <c r="Z13" s="17" t="s">
        <v>14</v>
      </c>
      <c r="AA13" s="18">
        <v>16962.737000000016</v>
      </c>
      <c r="AB13" s="18">
        <v>59588.999999999964</v>
      </c>
      <c r="AC13" s="18">
        <v>53932.630000000012</v>
      </c>
      <c r="AD13" s="18">
        <v>3172.83</v>
      </c>
      <c r="AE13" s="18"/>
      <c r="AF13" s="18"/>
      <c r="AG13" s="18">
        <v>281.815</v>
      </c>
      <c r="AH13" s="18">
        <v>835.40000000000009</v>
      </c>
      <c r="AI13" s="18"/>
      <c r="AJ13" s="18">
        <v>134774.41199999998</v>
      </c>
    </row>
    <row r="14" spans="1:36" x14ac:dyDescent="0.25">
      <c r="A14" s="5">
        <v>2000</v>
      </c>
      <c r="B14" s="4" t="s">
        <v>15</v>
      </c>
      <c r="C14" s="13">
        <v>13.972</v>
      </c>
      <c r="D14" s="13">
        <v>5465.1000000000031</v>
      </c>
      <c r="E14" s="13">
        <v>61.080000000000005</v>
      </c>
      <c r="F14" s="13">
        <v>259.29000000000002</v>
      </c>
      <c r="G14" s="13">
        <v>1402.9599999999996</v>
      </c>
      <c r="H14" s="13"/>
      <c r="I14" s="13">
        <v>77562.713999999978</v>
      </c>
      <c r="J14" s="13">
        <v>786</v>
      </c>
      <c r="K14" s="13"/>
      <c r="L14" s="16">
        <v>85551.11599999998</v>
      </c>
      <c r="N14" s="5">
        <v>2000</v>
      </c>
      <c r="O14" s="4" t="s">
        <v>15</v>
      </c>
      <c r="P14" s="6"/>
      <c r="Q14" s="6">
        <v>3</v>
      </c>
      <c r="R14" s="6">
        <v>5.870000000000001</v>
      </c>
      <c r="S14" s="6"/>
      <c r="T14" s="6">
        <v>2905.9410000000003</v>
      </c>
      <c r="U14" s="6">
        <v>3956.7000000000007</v>
      </c>
      <c r="V14" s="6"/>
      <c r="W14" s="16">
        <v>6871.5110000000004</v>
      </c>
      <c r="Y14" s="19">
        <v>2000</v>
      </c>
      <c r="Z14" s="17" t="s">
        <v>15</v>
      </c>
      <c r="AA14" s="18">
        <v>30206.582999999995</v>
      </c>
      <c r="AB14" s="18">
        <v>60140.900000000023</v>
      </c>
      <c r="AC14" s="18">
        <v>23552.250000000011</v>
      </c>
      <c r="AD14" s="18">
        <v>1835.71</v>
      </c>
      <c r="AE14" s="18">
        <v>526.1</v>
      </c>
      <c r="AF14" s="18"/>
      <c r="AG14" s="18">
        <v>81.208000000000013</v>
      </c>
      <c r="AH14" s="18">
        <v>168.89999999999998</v>
      </c>
      <c r="AI14" s="18"/>
      <c r="AJ14" s="18">
        <v>116511.65100000004</v>
      </c>
    </row>
    <row r="15" spans="1:36" x14ac:dyDescent="0.25">
      <c r="A15" s="5">
        <v>2001</v>
      </c>
      <c r="B15" s="4" t="s">
        <v>4</v>
      </c>
      <c r="C15" s="13">
        <v>5.24</v>
      </c>
      <c r="D15" s="13">
        <v>770.80000000000007</v>
      </c>
      <c r="E15" s="13">
        <v>6293.46</v>
      </c>
      <c r="F15" s="13">
        <v>720.41000000000008</v>
      </c>
      <c r="G15" s="13">
        <v>2967.5899999999992</v>
      </c>
      <c r="H15" s="13"/>
      <c r="I15" s="13">
        <v>128176.223</v>
      </c>
      <c r="J15" s="13">
        <v>4146.2700000000004</v>
      </c>
      <c r="K15" s="13"/>
      <c r="L15" s="16">
        <v>143079.99299999999</v>
      </c>
      <c r="N15" s="5">
        <v>2001</v>
      </c>
      <c r="O15" s="4" t="s">
        <v>4</v>
      </c>
      <c r="P15" s="6"/>
      <c r="Q15" s="6">
        <v>5.2</v>
      </c>
      <c r="R15" s="6"/>
      <c r="S15" s="6"/>
      <c r="T15" s="6">
        <v>4410.2750000000005</v>
      </c>
      <c r="U15" s="6">
        <v>102</v>
      </c>
      <c r="V15" s="6"/>
      <c r="W15" s="16">
        <v>4517.4750000000004</v>
      </c>
      <c r="Y15" s="19">
        <v>2001</v>
      </c>
      <c r="Z15" s="17" t="s">
        <v>4</v>
      </c>
      <c r="AA15" s="18">
        <v>23824.44299999997</v>
      </c>
      <c r="AB15" s="18">
        <v>15167.300000000001</v>
      </c>
      <c r="AC15" s="18">
        <v>8642.9300000000021</v>
      </c>
      <c r="AD15" s="18">
        <v>797.01</v>
      </c>
      <c r="AE15" s="18"/>
      <c r="AF15" s="18"/>
      <c r="AG15" s="18">
        <v>314.54599999999994</v>
      </c>
      <c r="AH15" s="18">
        <v>133.6</v>
      </c>
      <c r="AI15" s="18"/>
      <c r="AJ15" s="18">
        <v>48879.828999999976</v>
      </c>
    </row>
    <row r="16" spans="1:36" x14ac:dyDescent="0.25">
      <c r="A16" s="5">
        <v>2001</v>
      </c>
      <c r="B16" s="4" t="s">
        <v>5</v>
      </c>
      <c r="C16" s="13"/>
      <c r="D16" s="13">
        <v>2477.4999999999995</v>
      </c>
      <c r="E16" s="13">
        <v>5841.0600000000022</v>
      </c>
      <c r="F16" s="13">
        <v>4</v>
      </c>
      <c r="G16" s="13">
        <v>1019.42</v>
      </c>
      <c r="H16" s="13"/>
      <c r="I16" s="13">
        <v>57389.601999999999</v>
      </c>
      <c r="J16" s="13">
        <v>2319</v>
      </c>
      <c r="K16" s="13"/>
      <c r="L16" s="16">
        <v>69050.581999999995</v>
      </c>
      <c r="N16" s="5">
        <v>2001</v>
      </c>
      <c r="O16" s="4" t="s">
        <v>5</v>
      </c>
      <c r="P16" s="6"/>
      <c r="Q16" s="6">
        <v>2</v>
      </c>
      <c r="R16" s="6"/>
      <c r="S16" s="6"/>
      <c r="T16" s="6">
        <v>1108</v>
      </c>
      <c r="U16" s="6"/>
      <c r="V16" s="6"/>
      <c r="W16" s="16">
        <v>1110</v>
      </c>
      <c r="Y16" s="19">
        <v>2001</v>
      </c>
      <c r="Z16" s="17" t="s">
        <v>5</v>
      </c>
      <c r="AA16" s="18">
        <v>14925.280000000004</v>
      </c>
      <c r="AB16" s="18">
        <v>20039.77</v>
      </c>
      <c r="AC16" s="18">
        <v>3923.6910000000003</v>
      </c>
      <c r="AD16" s="18"/>
      <c r="AE16" s="18"/>
      <c r="AF16" s="18"/>
      <c r="AG16" s="18">
        <v>3401</v>
      </c>
      <c r="AH16" s="18"/>
      <c r="AI16" s="18"/>
      <c r="AJ16" s="18">
        <v>42289.741000000002</v>
      </c>
    </row>
    <row r="17" spans="1:36" x14ac:dyDescent="0.25">
      <c r="A17" s="5">
        <v>2001</v>
      </c>
      <c r="B17" s="4" t="s">
        <v>6</v>
      </c>
      <c r="C17" s="13">
        <v>42.239999999999995</v>
      </c>
      <c r="D17" s="13">
        <v>992.7299999999999</v>
      </c>
      <c r="E17" s="13">
        <v>180.715</v>
      </c>
      <c r="F17" s="13"/>
      <c r="G17" s="13">
        <v>971.05</v>
      </c>
      <c r="H17" s="13"/>
      <c r="I17" s="13">
        <v>87455.123999999953</v>
      </c>
      <c r="J17" s="13">
        <v>3535</v>
      </c>
      <c r="K17" s="13"/>
      <c r="L17" s="16">
        <v>93176.858999999953</v>
      </c>
      <c r="N17" s="5">
        <v>2001</v>
      </c>
      <c r="O17" s="4" t="s">
        <v>6</v>
      </c>
      <c r="P17" s="6"/>
      <c r="Q17" s="6"/>
      <c r="R17" s="6"/>
      <c r="S17" s="6"/>
      <c r="T17" s="6">
        <v>670.38</v>
      </c>
      <c r="U17" s="6"/>
      <c r="V17" s="6"/>
      <c r="W17" s="16">
        <v>670.38</v>
      </c>
      <c r="Y17" s="19">
        <v>2001</v>
      </c>
      <c r="Z17" s="17" t="s">
        <v>6</v>
      </c>
      <c r="AA17" s="18">
        <v>6307.2830000000013</v>
      </c>
      <c r="AB17" s="18">
        <v>61823.969999999958</v>
      </c>
      <c r="AC17" s="18">
        <v>27230.939999999995</v>
      </c>
      <c r="AD17" s="18"/>
      <c r="AE17" s="18"/>
      <c r="AF17" s="18"/>
      <c r="AG17" s="18">
        <v>1122</v>
      </c>
      <c r="AH17" s="18"/>
      <c r="AI17" s="18"/>
      <c r="AJ17" s="18">
        <v>96484.192999999941</v>
      </c>
    </row>
    <row r="18" spans="1:36" x14ac:dyDescent="0.25">
      <c r="A18" s="5">
        <v>2001</v>
      </c>
      <c r="B18" s="4" t="s">
        <v>7</v>
      </c>
      <c r="C18" s="13"/>
      <c r="D18" s="13">
        <v>139.73999999999998</v>
      </c>
      <c r="E18" s="13">
        <v>647.19600000000003</v>
      </c>
      <c r="F18" s="13">
        <v>118</v>
      </c>
      <c r="G18" s="13">
        <v>754.29600000000005</v>
      </c>
      <c r="H18" s="13"/>
      <c r="I18" s="13">
        <v>108946.76299999999</v>
      </c>
      <c r="J18" s="13">
        <v>1212</v>
      </c>
      <c r="K18" s="13"/>
      <c r="L18" s="16">
        <v>111817.995</v>
      </c>
      <c r="N18" s="5">
        <v>2001</v>
      </c>
      <c r="O18" s="4" t="s">
        <v>7</v>
      </c>
      <c r="P18" s="6"/>
      <c r="Q18" s="6"/>
      <c r="R18" s="6"/>
      <c r="S18" s="6"/>
      <c r="T18" s="6">
        <v>3139.1000000000004</v>
      </c>
      <c r="U18" s="6"/>
      <c r="V18" s="6"/>
      <c r="W18" s="16">
        <v>3139.1000000000004</v>
      </c>
      <c r="Y18" s="19">
        <v>2001</v>
      </c>
      <c r="Z18" s="17" t="s">
        <v>7</v>
      </c>
      <c r="AA18" s="18">
        <v>7060.2439999999979</v>
      </c>
      <c r="AB18" s="18">
        <v>37540.759999999995</v>
      </c>
      <c r="AC18" s="18">
        <v>50824.715999999979</v>
      </c>
      <c r="AD18" s="18">
        <v>1577</v>
      </c>
      <c r="AE18" s="18"/>
      <c r="AF18" s="18"/>
      <c r="AG18" s="18">
        <v>2589.0899999999997</v>
      </c>
      <c r="AH18" s="18"/>
      <c r="AI18" s="18"/>
      <c r="AJ18" s="18">
        <v>99591.809999999969</v>
      </c>
    </row>
    <row r="19" spans="1:36" x14ac:dyDescent="0.25">
      <c r="A19" s="5">
        <v>2001</v>
      </c>
      <c r="B19" s="4" t="s">
        <v>8</v>
      </c>
      <c r="C19" s="13">
        <v>8046.4100000000026</v>
      </c>
      <c r="D19" s="13">
        <v>26645.453999999994</v>
      </c>
      <c r="E19" s="13">
        <v>6938.1960000000017</v>
      </c>
      <c r="F19" s="13">
        <v>12</v>
      </c>
      <c r="G19" s="13">
        <v>2274.6240000000003</v>
      </c>
      <c r="H19" s="13"/>
      <c r="I19" s="13">
        <v>169948.55200000005</v>
      </c>
      <c r="J19" s="13">
        <v>1658.23</v>
      </c>
      <c r="K19" s="13"/>
      <c r="L19" s="16">
        <v>215523.46600000007</v>
      </c>
      <c r="N19" s="5">
        <v>2001</v>
      </c>
      <c r="O19" s="4" t="s">
        <v>10</v>
      </c>
      <c r="P19" s="6"/>
      <c r="Q19" s="6">
        <v>0.5</v>
      </c>
      <c r="R19" s="6"/>
      <c r="S19" s="6"/>
      <c r="T19" s="6">
        <v>1.026</v>
      </c>
      <c r="U19" s="6"/>
      <c r="V19" s="6"/>
      <c r="W19" s="16">
        <v>1.526</v>
      </c>
      <c r="Y19" s="19">
        <v>2001</v>
      </c>
      <c r="Z19" s="17" t="s">
        <v>8</v>
      </c>
      <c r="AA19" s="18">
        <v>16819.977999999996</v>
      </c>
      <c r="AB19" s="18">
        <v>31237.234999999993</v>
      </c>
      <c r="AC19" s="18">
        <v>23617.546000000031</v>
      </c>
      <c r="AD19" s="18">
        <v>1945</v>
      </c>
      <c r="AE19" s="18">
        <v>9.7999999999999989</v>
      </c>
      <c r="AF19" s="18"/>
      <c r="AG19" s="18">
        <v>0.2</v>
      </c>
      <c r="AH19" s="18"/>
      <c r="AI19" s="18"/>
      <c r="AJ19" s="18">
        <v>73629.75900000002</v>
      </c>
    </row>
    <row r="20" spans="1:36" x14ac:dyDescent="0.25">
      <c r="A20" s="5">
        <v>2001</v>
      </c>
      <c r="B20" s="4" t="s">
        <v>9</v>
      </c>
      <c r="C20" s="13">
        <v>2110.7399999999998</v>
      </c>
      <c r="D20" s="13">
        <v>6248.11</v>
      </c>
      <c r="E20" s="13">
        <v>1352.883</v>
      </c>
      <c r="F20" s="13"/>
      <c r="G20" s="13">
        <v>1095.1300000000001</v>
      </c>
      <c r="H20" s="13"/>
      <c r="I20" s="13">
        <v>100356.64299999995</v>
      </c>
      <c r="J20" s="13">
        <v>1853.6</v>
      </c>
      <c r="K20" s="13"/>
      <c r="L20" s="16">
        <v>113017.10599999996</v>
      </c>
      <c r="N20" s="5">
        <v>2001</v>
      </c>
      <c r="O20" s="4" t="s">
        <v>11</v>
      </c>
      <c r="P20" s="6">
        <v>0.70599999999999996</v>
      </c>
      <c r="Q20" s="6"/>
      <c r="R20" s="6"/>
      <c r="S20" s="6"/>
      <c r="T20" s="6">
        <v>0.01</v>
      </c>
      <c r="U20" s="6"/>
      <c r="V20" s="6"/>
      <c r="W20" s="16">
        <v>0.71599999999999997</v>
      </c>
      <c r="Y20" s="19">
        <v>2001</v>
      </c>
      <c r="Z20" s="17" t="s">
        <v>9</v>
      </c>
      <c r="AA20" s="18">
        <v>7773.6339999999955</v>
      </c>
      <c r="AB20" s="18">
        <v>45138.125000000036</v>
      </c>
      <c r="AC20" s="18">
        <v>7426.409999999998</v>
      </c>
      <c r="AD20" s="18">
        <v>1065</v>
      </c>
      <c r="AE20" s="18"/>
      <c r="AF20" s="18"/>
      <c r="AG20" s="18">
        <v>0.27</v>
      </c>
      <c r="AH20" s="18"/>
      <c r="AI20" s="18"/>
      <c r="AJ20" s="18">
        <v>61403.439000000028</v>
      </c>
    </row>
    <row r="21" spans="1:36" x14ac:dyDescent="0.25">
      <c r="A21" s="5">
        <v>2001</v>
      </c>
      <c r="B21" s="4" t="s">
        <v>10</v>
      </c>
      <c r="C21" s="13"/>
      <c r="D21" s="13">
        <v>11134.968999999996</v>
      </c>
      <c r="E21" s="13">
        <v>4580.3689999999997</v>
      </c>
      <c r="F21" s="13"/>
      <c r="G21" s="13">
        <v>6004.3799999999983</v>
      </c>
      <c r="H21" s="13"/>
      <c r="I21" s="13">
        <v>98770.774000000078</v>
      </c>
      <c r="J21" s="13">
        <v>2995.7799999999997</v>
      </c>
      <c r="K21" s="13"/>
      <c r="L21" s="16">
        <v>123486.27200000007</v>
      </c>
      <c r="N21" s="5">
        <v>2001</v>
      </c>
      <c r="O21" s="4" t="s">
        <v>12</v>
      </c>
      <c r="P21" s="6"/>
      <c r="Q21" s="6"/>
      <c r="R21" s="6"/>
      <c r="S21" s="6"/>
      <c r="T21" s="6">
        <v>234.61099999999999</v>
      </c>
      <c r="U21" s="6">
        <v>5963.5299999999979</v>
      </c>
      <c r="V21" s="6"/>
      <c r="W21" s="16">
        <v>6198.1409999999978</v>
      </c>
      <c r="Y21" s="19">
        <v>2001</v>
      </c>
      <c r="Z21" s="17" t="s">
        <v>10</v>
      </c>
      <c r="AA21" s="18">
        <v>890.97</v>
      </c>
      <c r="AB21" s="18">
        <v>16208.290000000005</v>
      </c>
      <c r="AC21" s="18">
        <v>9032.1309999999976</v>
      </c>
      <c r="AD21" s="18"/>
      <c r="AE21" s="18">
        <v>0.3</v>
      </c>
      <c r="AF21" s="18"/>
      <c r="AG21" s="18">
        <v>3.7130000000000001</v>
      </c>
      <c r="AH21" s="18"/>
      <c r="AI21" s="18"/>
      <c r="AJ21" s="18">
        <v>26135.404000000002</v>
      </c>
    </row>
    <row r="22" spans="1:36" x14ac:dyDescent="0.25">
      <c r="A22" s="5">
        <v>2001</v>
      </c>
      <c r="B22" s="4" t="s">
        <v>11</v>
      </c>
      <c r="C22" s="13">
        <v>581.51</v>
      </c>
      <c r="D22" s="13">
        <v>58272.289999999994</v>
      </c>
      <c r="E22" s="13">
        <v>10829.414000000002</v>
      </c>
      <c r="F22" s="13"/>
      <c r="G22" s="13">
        <v>256.16999999999996</v>
      </c>
      <c r="H22" s="13"/>
      <c r="I22" s="13">
        <v>147981.28600000011</v>
      </c>
      <c r="J22" s="13">
        <v>5213.71</v>
      </c>
      <c r="K22" s="13"/>
      <c r="L22" s="16">
        <v>223134.38000000009</v>
      </c>
      <c r="N22" s="5">
        <v>2001</v>
      </c>
      <c r="O22" s="4" t="s">
        <v>13</v>
      </c>
      <c r="P22" s="6"/>
      <c r="Q22" s="6"/>
      <c r="R22" s="6"/>
      <c r="S22" s="6"/>
      <c r="T22" s="6">
        <v>12176.691000000003</v>
      </c>
      <c r="U22" s="6">
        <v>8085.0099999999993</v>
      </c>
      <c r="V22" s="6"/>
      <c r="W22" s="16">
        <v>20261.701000000001</v>
      </c>
      <c r="Y22" s="19">
        <v>2001</v>
      </c>
      <c r="Z22" s="17" t="s">
        <v>11</v>
      </c>
      <c r="AA22" s="18">
        <v>1023.6390000000001</v>
      </c>
      <c r="AB22" s="18">
        <v>9847.9070000000047</v>
      </c>
      <c r="AC22" s="18">
        <v>1021.0080000000002</v>
      </c>
      <c r="AD22" s="18">
        <v>173</v>
      </c>
      <c r="AE22" s="18"/>
      <c r="AF22" s="18"/>
      <c r="AG22" s="18">
        <v>1.4999999999999999E-2</v>
      </c>
      <c r="AH22" s="18"/>
      <c r="AI22" s="18"/>
      <c r="AJ22" s="18">
        <v>12065.569000000005</v>
      </c>
    </row>
    <row r="23" spans="1:36" x14ac:dyDescent="0.25">
      <c r="A23" s="5">
        <v>2001</v>
      </c>
      <c r="B23" s="4" t="s">
        <v>12</v>
      </c>
      <c r="C23" s="13">
        <v>205.80100000000002</v>
      </c>
      <c r="D23" s="13">
        <v>34320.543999999994</v>
      </c>
      <c r="E23" s="13">
        <v>11701.610999999999</v>
      </c>
      <c r="F23" s="13"/>
      <c r="G23" s="13">
        <v>1.68</v>
      </c>
      <c r="H23" s="13"/>
      <c r="I23" s="13">
        <v>113663.00900000001</v>
      </c>
      <c r="J23" s="13">
        <v>300.63</v>
      </c>
      <c r="K23" s="13"/>
      <c r="L23" s="16">
        <v>160193.27499999999</v>
      </c>
      <c r="N23" s="5">
        <v>2001</v>
      </c>
      <c r="O23" s="4" t="s">
        <v>14</v>
      </c>
      <c r="P23" s="6"/>
      <c r="Q23" s="6"/>
      <c r="R23" s="6"/>
      <c r="S23" s="6"/>
      <c r="T23" s="6">
        <v>5921.969000000001</v>
      </c>
      <c r="U23" s="6">
        <v>4306.32</v>
      </c>
      <c r="V23" s="6"/>
      <c r="W23" s="16">
        <v>10228.289000000001</v>
      </c>
      <c r="Y23" s="19">
        <v>2001</v>
      </c>
      <c r="Z23" s="17" t="s">
        <v>12</v>
      </c>
      <c r="AA23" s="18">
        <v>10962.309000000001</v>
      </c>
      <c r="AB23" s="18">
        <v>21366.695999999971</v>
      </c>
      <c r="AC23" s="18">
        <v>5187.4629999999988</v>
      </c>
      <c r="AD23" s="18"/>
      <c r="AE23" s="18">
        <v>1.2</v>
      </c>
      <c r="AF23" s="18"/>
      <c r="AG23" s="18">
        <v>207.92400000000001</v>
      </c>
      <c r="AH23" s="18">
        <v>1962.7400000000002</v>
      </c>
      <c r="AI23" s="18"/>
      <c r="AJ23" s="18">
        <v>39688.331999999966</v>
      </c>
    </row>
    <row r="24" spans="1:36" x14ac:dyDescent="0.25">
      <c r="A24" s="5">
        <v>2001</v>
      </c>
      <c r="B24" s="4" t="s">
        <v>13</v>
      </c>
      <c r="C24" s="13">
        <v>905.97999999999979</v>
      </c>
      <c r="D24" s="13">
        <v>22363.934000000012</v>
      </c>
      <c r="E24" s="13">
        <v>7975.1460000000006</v>
      </c>
      <c r="F24" s="13"/>
      <c r="G24" s="13">
        <v>1282.1000000000001</v>
      </c>
      <c r="H24" s="13"/>
      <c r="I24" s="13">
        <v>76160.748000000051</v>
      </c>
      <c r="J24" s="13">
        <v>259.32</v>
      </c>
      <c r="K24" s="13"/>
      <c r="L24" s="16">
        <v>108947.22800000006</v>
      </c>
      <c r="N24" s="5">
        <v>2001</v>
      </c>
      <c r="O24" s="4" t="s">
        <v>15</v>
      </c>
      <c r="P24" s="6"/>
      <c r="Q24" s="6"/>
      <c r="R24" s="6"/>
      <c r="S24" s="6"/>
      <c r="T24" s="6">
        <v>2559.2799999999997</v>
      </c>
      <c r="U24" s="6">
        <v>456.30999999999995</v>
      </c>
      <c r="V24" s="6"/>
      <c r="W24" s="16">
        <v>3015.5899999999997</v>
      </c>
      <c r="Y24" s="19">
        <v>2001</v>
      </c>
      <c r="Z24" s="17" t="s">
        <v>13</v>
      </c>
      <c r="AA24" s="18">
        <v>26048.259999999991</v>
      </c>
      <c r="AB24" s="18">
        <v>39108.587000000036</v>
      </c>
      <c r="AC24" s="18">
        <v>10203.692000000001</v>
      </c>
      <c r="AD24" s="18"/>
      <c r="AE24" s="18">
        <v>1.1499999999999999</v>
      </c>
      <c r="AF24" s="18"/>
      <c r="AG24" s="18">
        <v>6226.9140000000025</v>
      </c>
      <c r="AH24" s="18">
        <v>6016.57</v>
      </c>
      <c r="AI24" s="18"/>
      <c r="AJ24" s="18">
        <v>87605.17300000001</v>
      </c>
    </row>
    <row r="25" spans="1:36" x14ac:dyDescent="0.25">
      <c r="A25" s="5">
        <v>2001</v>
      </c>
      <c r="B25" s="4" t="s">
        <v>14</v>
      </c>
      <c r="C25" s="13"/>
      <c r="D25" s="13">
        <v>12418.600000000004</v>
      </c>
      <c r="E25" s="13">
        <v>875.93700000000001</v>
      </c>
      <c r="F25" s="13"/>
      <c r="G25" s="13">
        <v>169.99</v>
      </c>
      <c r="H25" s="13"/>
      <c r="I25" s="13">
        <v>94307.519</v>
      </c>
      <c r="J25" s="13">
        <v>284.34000000000003</v>
      </c>
      <c r="K25" s="13"/>
      <c r="L25" s="16">
        <v>108056.386</v>
      </c>
      <c r="N25" s="5">
        <v>2002</v>
      </c>
      <c r="O25" s="4" t="s">
        <v>4</v>
      </c>
      <c r="P25" s="6"/>
      <c r="Q25" s="6"/>
      <c r="R25" s="6"/>
      <c r="S25" s="6"/>
      <c r="T25" s="6">
        <v>939.03300000000013</v>
      </c>
      <c r="U25" s="6"/>
      <c r="V25" s="6"/>
      <c r="W25" s="16">
        <v>939.03300000000013</v>
      </c>
      <c r="Y25" s="19">
        <v>2001</v>
      </c>
      <c r="Z25" s="17" t="s">
        <v>14</v>
      </c>
      <c r="AA25" s="18">
        <v>2466.7149999999988</v>
      </c>
      <c r="AB25" s="18">
        <v>16442.22</v>
      </c>
      <c r="AC25" s="18">
        <v>2561.1980000000003</v>
      </c>
      <c r="AD25" s="18"/>
      <c r="AE25" s="18"/>
      <c r="AF25" s="18"/>
      <c r="AG25" s="18">
        <v>5937.9370000000017</v>
      </c>
      <c r="AH25" s="18">
        <v>2876.1900000000005</v>
      </c>
      <c r="AI25" s="18"/>
      <c r="AJ25" s="18">
        <v>30284.260000000002</v>
      </c>
    </row>
    <row r="26" spans="1:36" x14ac:dyDescent="0.25">
      <c r="A26" s="5">
        <v>2001</v>
      </c>
      <c r="B26" s="4" t="s">
        <v>15</v>
      </c>
      <c r="C26" s="13"/>
      <c r="D26" s="13">
        <v>666.76999999999987</v>
      </c>
      <c r="E26" s="13">
        <v>2123.6060000000002</v>
      </c>
      <c r="F26" s="13"/>
      <c r="G26" s="13"/>
      <c r="H26" s="13"/>
      <c r="I26" s="13">
        <v>139340.01200000002</v>
      </c>
      <c r="J26" s="13">
        <v>2784.66</v>
      </c>
      <c r="K26" s="13"/>
      <c r="L26" s="16">
        <v>144915.04800000001</v>
      </c>
      <c r="N26" s="5">
        <v>2002</v>
      </c>
      <c r="O26" s="4" t="s">
        <v>5</v>
      </c>
      <c r="P26" s="6"/>
      <c r="Q26" s="6"/>
      <c r="R26" s="6"/>
      <c r="S26" s="6"/>
      <c r="T26" s="6">
        <v>1987.6390000000001</v>
      </c>
      <c r="U26" s="6"/>
      <c r="V26" s="6"/>
      <c r="W26" s="16">
        <v>1987.6390000000001</v>
      </c>
      <c r="Y26" s="19">
        <v>2001</v>
      </c>
      <c r="Z26" s="17" t="s">
        <v>15</v>
      </c>
      <c r="AA26" s="18">
        <v>3275.7859999999996</v>
      </c>
      <c r="AB26" s="18">
        <v>14613.651</v>
      </c>
      <c r="AC26" s="18">
        <v>4506.8830000000025</v>
      </c>
      <c r="AD26" s="18"/>
      <c r="AE26" s="18"/>
      <c r="AF26" s="18"/>
      <c r="AG26" s="18">
        <v>1211.7080000000001</v>
      </c>
      <c r="AH26" s="18">
        <v>95.440000000000012</v>
      </c>
      <c r="AI26" s="18"/>
      <c r="AJ26" s="18">
        <v>23703.467999999997</v>
      </c>
    </row>
    <row r="27" spans="1:36" x14ac:dyDescent="0.25">
      <c r="A27" s="5">
        <v>2002</v>
      </c>
      <c r="B27" s="4" t="s">
        <v>4</v>
      </c>
      <c r="C27" s="13">
        <v>83.274000000000001</v>
      </c>
      <c r="D27" s="13">
        <v>848.94100000000003</v>
      </c>
      <c r="E27" s="13">
        <v>5366.4479999999994</v>
      </c>
      <c r="F27" s="13"/>
      <c r="G27" s="13"/>
      <c r="H27" s="13"/>
      <c r="I27" s="13">
        <v>64372.955000000002</v>
      </c>
      <c r="J27" s="13"/>
      <c r="K27" s="13"/>
      <c r="L27" s="16">
        <v>70671.618000000002</v>
      </c>
      <c r="N27" s="5">
        <v>2002</v>
      </c>
      <c r="O27" s="4" t="s">
        <v>6</v>
      </c>
      <c r="P27" s="6"/>
      <c r="Q27" s="6"/>
      <c r="R27" s="6"/>
      <c r="S27" s="6"/>
      <c r="T27" s="6">
        <v>1383.4239999999998</v>
      </c>
      <c r="U27" s="6">
        <v>28.82</v>
      </c>
      <c r="V27" s="6"/>
      <c r="W27" s="16">
        <v>1412.2439999999997</v>
      </c>
      <c r="Y27" s="19">
        <v>2002</v>
      </c>
      <c r="Z27" s="17" t="s">
        <v>4</v>
      </c>
      <c r="AA27" s="18">
        <v>7582.3529999999937</v>
      </c>
      <c r="AB27" s="18">
        <v>29398.669999999969</v>
      </c>
      <c r="AC27" s="18">
        <v>2717.5789999999997</v>
      </c>
      <c r="AD27" s="18"/>
      <c r="AE27" s="18"/>
      <c r="AF27" s="18"/>
      <c r="AG27" s="18">
        <v>208.43199999999996</v>
      </c>
      <c r="AH27" s="18"/>
      <c r="AI27" s="18"/>
      <c r="AJ27" s="18">
        <v>39907.033999999963</v>
      </c>
    </row>
    <row r="28" spans="1:36" x14ac:dyDescent="0.25">
      <c r="A28" s="5">
        <v>2002</v>
      </c>
      <c r="B28" s="4" t="s">
        <v>5</v>
      </c>
      <c r="C28" s="13">
        <v>3082.4919999999997</v>
      </c>
      <c r="D28" s="13">
        <v>845.51400000000012</v>
      </c>
      <c r="E28" s="13">
        <v>832.18600000000015</v>
      </c>
      <c r="F28" s="13"/>
      <c r="G28" s="13">
        <v>1098.8400000000001</v>
      </c>
      <c r="H28" s="13"/>
      <c r="I28" s="13">
        <v>69616.31200000002</v>
      </c>
      <c r="J28" s="13">
        <v>4101.880000000001</v>
      </c>
      <c r="K28" s="13"/>
      <c r="L28" s="16">
        <v>79577.224000000031</v>
      </c>
      <c r="N28" s="5">
        <v>2002</v>
      </c>
      <c r="O28" s="4" t="s">
        <v>7</v>
      </c>
      <c r="P28" s="6"/>
      <c r="Q28" s="6"/>
      <c r="R28" s="6"/>
      <c r="S28" s="6"/>
      <c r="T28" s="6">
        <v>5202.3260000000009</v>
      </c>
      <c r="U28" s="6"/>
      <c r="V28" s="6"/>
      <c r="W28" s="16">
        <v>5202.3260000000009</v>
      </c>
      <c r="Y28" s="19">
        <v>2002</v>
      </c>
      <c r="Z28" s="17" t="s">
        <v>5</v>
      </c>
      <c r="AA28" s="18">
        <v>15484.222000000011</v>
      </c>
      <c r="AB28" s="18">
        <v>31489.16499999999</v>
      </c>
      <c r="AC28" s="18">
        <v>6816.1710000000003</v>
      </c>
      <c r="AD28" s="18"/>
      <c r="AE28" s="18"/>
      <c r="AF28" s="18"/>
      <c r="AG28" s="18">
        <v>1270.0309999999999</v>
      </c>
      <c r="AH28" s="18"/>
      <c r="AI28" s="18"/>
      <c r="AJ28" s="18">
        <v>55059.589000000007</v>
      </c>
    </row>
    <row r="29" spans="1:36" x14ac:dyDescent="0.25">
      <c r="A29" s="5">
        <v>2002</v>
      </c>
      <c r="B29" s="4" t="s">
        <v>6</v>
      </c>
      <c r="C29" s="13">
        <v>0.27900000000000003</v>
      </c>
      <c r="D29" s="13">
        <v>21459.872000000007</v>
      </c>
      <c r="E29" s="13">
        <v>27987.819999999989</v>
      </c>
      <c r="F29" s="13"/>
      <c r="G29" s="13">
        <v>1089.855</v>
      </c>
      <c r="H29" s="13"/>
      <c r="I29" s="13">
        <v>128751.5930000001</v>
      </c>
      <c r="J29" s="13">
        <v>2567.6899999999996</v>
      </c>
      <c r="K29" s="13"/>
      <c r="L29" s="16">
        <v>181857.10900000008</v>
      </c>
      <c r="N29" s="5">
        <v>2002</v>
      </c>
      <c r="O29" s="4" t="s">
        <v>8</v>
      </c>
      <c r="P29" s="6"/>
      <c r="Q29" s="6"/>
      <c r="R29" s="6"/>
      <c r="S29" s="6">
        <v>185.60000000000002</v>
      </c>
      <c r="T29" s="6">
        <v>5714.9959999999992</v>
      </c>
      <c r="U29" s="6">
        <v>45.524999999999999</v>
      </c>
      <c r="V29" s="6"/>
      <c r="W29" s="16">
        <v>5946.1209999999992</v>
      </c>
      <c r="Y29" s="19">
        <v>2002</v>
      </c>
      <c r="Z29" s="17" t="s">
        <v>6</v>
      </c>
      <c r="AA29" s="18">
        <v>6363.6330000000007</v>
      </c>
      <c r="AB29" s="18">
        <v>19514.406999999985</v>
      </c>
      <c r="AC29" s="18">
        <v>17249.929</v>
      </c>
      <c r="AD29" s="18"/>
      <c r="AE29" s="18">
        <v>2.62</v>
      </c>
      <c r="AF29" s="18"/>
      <c r="AG29" s="18">
        <v>2493.3599999999997</v>
      </c>
      <c r="AH29" s="18">
        <v>10.08</v>
      </c>
      <c r="AI29" s="18"/>
      <c r="AJ29" s="18">
        <v>45634.028999999988</v>
      </c>
    </row>
    <row r="30" spans="1:36" x14ac:dyDescent="0.25">
      <c r="A30" s="5">
        <v>2002</v>
      </c>
      <c r="B30" s="4" t="s">
        <v>7</v>
      </c>
      <c r="C30" s="13"/>
      <c r="D30" s="13">
        <v>1058.7659999999998</v>
      </c>
      <c r="E30" s="13">
        <v>1182.2919999999992</v>
      </c>
      <c r="F30" s="13">
        <v>93</v>
      </c>
      <c r="G30" s="13">
        <v>863.39900000000023</v>
      </c>
      <c r="H30" s="13"/>
      <c r="I30" s="13">
        <v>188175.71600000001</v>
      </c>
      <c r="J30" s="13">
        <v>4650.317</v>
      </c>
      <c r="K30" s="13"/>
      <c r="L30" s="16">
        <v>196023.49000000002</v>
      </c>
      <c r="N30" s="5">
        <v>2002</v>
      </c>
      <c r="O30" s="4" t="s">
        <v>9</v>
      </c>
      <c r="P30" s="6"/>
      <c r="Q30" s="6"/>
      <c r="R30" s="6"/>
      <c r="S30" s="6"/>
      <c r="T30" s="6"/>
      <c r="U30" s="6">
        <v>1.319</v>
      </c>
      <c r="V30" s="6"/>
      <c r="W30" s="16">
        <v>1.319</v>
      </c>
      <c r="Y30" s="19">
        <v>2002</v>
      </c>
      <c r="Z30" s="17" t="s">
        <v>7</v>
      </c>
      <c r="AA30" s="18">
        <v>18575.977999999999</v>
      </c>
      <c r="AB30" s="18">
        <v>40544.574000000001</v>
      </c>
      <c r="AC30" s="18">
        <v>32069.417000000005</v>
      </c>
      <c r="AD30" s="18">
        <v>195</v>
      </c>
      <c r="AE30" s="18"/>
      <c r="AF30" s="18">
        <v>394.85</v>
      </c>
      <c r="AG30" s="18">
        <v>15578.807999999997</v>
      </c>
      <c r="AH30" s="18"/>
      <c r="AI30" s="18"/>
      <c r="AJ30" s="18">
        <v>107358.62700000001</v>
      </c>
    </row>
    <row r="31" spans="1:36" x14ac:dyDescent="0.25">
      <c r="A31" s="5">
        <v>2002</v>
      </c>
      <c r="B31" s="4" t="s">
        <v>8</v>
      </c>
      <c r="C31" s="13">
        <v>5.2520000000000007</v>
      </c>
      <c r="D31" s="13">
        <v>4501.4409999999989</v>
      </c>
      <c r="E31" s="13">
        <v>2325.5800000000008</v>
      </c>
      <c r="F31" s="13">
        <v>391</v>
      </c>
      <c r="G31" s="13">
        <v>190.57100000000003</v>
      </c>
      <c r="H31" s="13"/>
      <c r="I31" s="13">
        <v>123570.11299999992</v>
      </c>
      <c r="J31" s="13">
        <v>1674.4319999999998</v>
      </c>
      <c r="K31" s="13"/>
      <c r="L31" s="16">
        <v>132658.38899999991</v>
      </c>
      <c r="N31" s="5">
        <v>2002</v>
      </c>
      <c r="O31" s="4" t="s">
        <v>12</v>
      </c>
      <c r="P31" s="6"/>
      <c r="Q31" s="6"/>
      <c r="R31" s="6"/>
      <c r="S31" s="6"/>
      <c r="T31" s="6">
        <v>6841.6230000000005</v>
      </c>
      <c r="U31" s="6">
        <v>5441.2339999999986</v>
      </c>
      <c r="V31" s="6"/>
      <c r="W31" s="16">
        <v>12282.857</v>
      </c>
      <c r="Y31" s="19">
        <v>2002</v>
      </c>
      <c r="Z31" s="17" t="s">
        <v>8</v>
      </c>
      <c r="AA31" s="18">
        <v>28136.891999999974</v>
      </c>
      <c r="AB31" s="18">
        <v>52946.618000000031</v>
      </c>
      <c r="AC31" s="18">
        <v>5401.8140000000012</v>
      </c>
      <c r="AD31" s="18"/>
      <c r="AE31" s="18"/>
      <c r="AF31" s="18">
        <v>273.62</v>
      </c>
      <c r="AG31" s="18">
        <v>15291.889999999998</v>
      </c>
      <c r="AH31" s="18">
        <v>143.375</v>
      </c>
      <c r="AI31" s="18"/>
      <c r="AJ31" s="18">
        <v>102194.209</v>
      </c>
    </row>
    <row r="32" spans="1:36" x14ac:dyDescent="0.25">
      <c r="A32" s="5">
        <v>2002</v>
      </c>
      <c r="B32" s="4" t="s">
        <v>9</v>
      </c>
      <c r="C32" s="13">
        <v>153.22299999999998</v>
      </c>
      <c r="D32" s="13">
        <v>5855.1990000000014</v>
      </c>
      <c r="E32" s="13">
        <v>421.78300000000007</v>
      </c>
      <c r="F32" s="13"/>
      <c r="G32" s="13">
        <v>566.1110000000001</v>
      </c>
      <c r="H32" s="13"/>
      <c r="I32" s="13">
        <v>171049.27899999998</v>
      </c>
      <c r="J32" s="13">
        <v>6292.753999999999</v>
      </c>
      <c r="K32" s="13">
        <v>332.51400000000001</v>
      </c>
      <c r="L32" s="16">
        <v>184670.86299999995</v>
      </c>
      <c r="N32" s="5">
        <v>2002</v>
      </c>
      <c r="O32" s="4" t="s">
        <v>13</v>
      </c>
      <c r="P32" s="6"/>
      <c r="Q32" s="6"/>
      <c r="R32" s="6"/>
      <c r="S32" s="6"/>
      <c r="T32" s="6">
        <v>5935.6389999999992</v>
      </c>
      <c r="U32" s="6">
        <v>2631.1010000000001</v>
      </c>
      <c r="V32" s="6"/>
      <c r="W32" s="16">
        <v>8566.74</v>
      </c>
      <c r="Y32" s="19">
        <v>2002</v>
      </c>
      <c r="Z32" s="17" t="s">
        <v>9</v>
      </c>
      <c r="AA32" s="18">
        <v>35993.541999999994</v>
      </c>
      <c r="AB32" s="18">
        <v>98729.504999999976</v>
      </c>
      <c r="AC32" s="18">
        <v>3049.1859999999992</v>
      </c>
      <c r="AD32" s="18"/>
      <c r="AE32" s="18"/>
      <c r="AF32" s="18"/>
      <c r="AG32" s="18"/>
      <c r="AH32" s="18">
        <v>71.980999999999995</v>
      </c>
      <c r="AI32" s="18"/>
      <c r="AJ32" s="18">
        <v>137844.21399999995</v>
      </c>
    </row>
    <row r="33" spans="1:36" x14ac:dyDescent="0.25">
      <c r="A33" s="5">
        <v>2002</v>
      </c>
      <c r="B33" s="4" t="s">
        <v>10</v>
      </c>
      <c r="C33" s="13">
        <v>3120.5579999999991</v>
      </c>
      <c r="D33" s="13">
        <v>3020.6809999999991</v>
      </c>
      <c r="E33" s="13">
        <v>1180.6439999999998</v>
      </c>
      <c r="F33" s="13"/>
      <c r="G33" s="13">
        <v>162.00400000000002</v>
      </c>
      <c r="H33" s="13"/>
      <c r="I33" s="13">
        <v>121191.12999999996</v>
      </c>
      <c r="J33" s="13">
        <v>2529.5549999999994</v>
      </c>
      <c r="K33" s="13"/>
      <c r="L33" s="16">
        <v>131204.57199999996</v>
      </c>
      <c r="N33" s="5">
        <v>2002</v>
      </c>
      <c r="O33" s="4" t="s">
        <v>14</v>
      </c>
      <c r="P33" s="6"/>
      <c r="Q33" s="6"/>
      <c r="R33" s="6"/>
      <c r="S33" s="6"/>
      <c r="T33" s="6">
        <v>213.476</v>
      </c>
      <c r="U33" s="6">
        <v>7.9859999999999998</v>
      </c>
      <c r="V33" s="6"/>
      <c r="W33" s="16">
        <v>221.46199999999999</v>
      </c>
      <c r="Y33" s="19">
        <v>2002</v>
      </c>
      <c r="Z33" s="17" t="s">
        <v>10</v>
      </c>
      <c r="AA33" s="18">
        <v>30574.765999999996</v>
      </c>
      <c r="AB33" s="18">
        <v>139267.29699999993</v>
      </c>
      <c r="AC33" s="18">
        <v>11856.258000000002</v>
      </c>
      <c r="AD33" s="18"/>
      <c r="AE33" s="18"/>
      <c r="AF33" s="18"/>
      <c r="AG33" s="18"/>
      <c r="AH33" s="18">
        <v>40.558999999999997</v>
      </c>
      <c r="AI33" s="18"/>
      <c r="AJ33" s="18">
        <v>181738.87999999995</v>
      </c>
    </row>
    <row r="34" spans="1:36" x14ac:dyDescent="0.25">
      <c r="A34" s="5">
        <v>2002</v>
      </c>
      <c r="B34" s="4" t="s">
        <v>11</v>
      </c>
      <c r="C34" s="13"/>
      <c r="D34" s="13">
        <v>3062.7389999999991</v>
      </c>
      <c r="E34" s="13">
        <v>1194.6710000000005</v>
      </c>
      <c r="F34" s="13"/>
      <c r="G34" s="13">
        <v>816.73200000000008</v>
      </c>
      <c r="H34" s="13"/>
      <c r="I34" s="13">
        <v>70611.028999999995</v>
      </c>
      <c r="J34" s="13">
        <v>1596.174</v>
      </c>
      <c r="K34" s="13"/>
      <c r="L34" s="16">
        <v>77281.345000000001</v>
      </c>
      <c r="N34" s="5">
        <v>2002</v>
      </c>
      <c r="O34" s="4" t="s">
        <v>15</v>
      </c>
      <c r="P34" s="6"/>
      <c r="Q34" s="6"/>
      <c r="R34" s="6"/>
      <c r="S34" s="6"/>
      <c r="T34" s="6">
        <v>13.353999999999999</v>
      </c>
      <c r="U34" s="6"/>
      <c r="V34" s="6"/>
      <c r="W34" s="16">
        <v>13.353999999999999</v>
      </c>
      <c r="Y34" s="19">
        <v>2002</v>
      </c>
      <c r="Z34" s="17" t="s">
        <v>11</v>
      </c>
      <c r="AA34" s="18">
        <v>434.72399999999999</v>
      </c>
      <c r="AB34" s="18">
        <v>27118.651999999973</v>
      </c>
      <c r="AC34" s="18">
        <v>2988.1219999999989</v>
      </c>
      <c r="AD34" s="18"/>
      <c r="AE34" s="18"/>
      <c r="AF34" s="18"/>
      <c r="AG34" s="18"/>
      <c r="AH34" s="18"/>
      <c r="AI34" s="18"/>
      <c r="AJ34" s="18">
        <v>30541.49799999997</v>
      </c>
    </row>
    <row r="35" spans="1:36" x14ac:dyDescent="0.25">
      <c r="A35" s="5">
        <v>2002</v>
      </c>
      <c r="B35" s="4" t="s">
        <v>12</v>
      </c>
      <c r="C35" s="13"/>
      <c r="D35" s="13">
        <v>561.00300000000016</v>
      </c>
      <c r="E35" s="13">
        <v>150.786</v>
      </c>
      <c r="F35" s="13"/>
      <c r="G35" s="13">
        <v>181.99300000000002</v>
      </c>
      <c r="H35" s="13"/>
      <c r="I35" s="13">
        <v>58170.894999999939</v>
      </c>
      <c r="J35" s="13">
        <v>10.164999999999999</v>
      </c>
      <c r="K35" s="13"/>
      <c r="L35" s="16">
        <v>59074.841999999939</v>
      </c>
      <c r="N35" s="5">
        <v>2003</v>
      </c>
      <c r="O35" s="4" t="s">
        <v>5</v>
      </c>
      <c r="P35" s="6"/>
      <c r="Q35" s="6"/>
      <c r="R35" s="6"/>
      <c r="S35" s="6">
        <v>20.954999999999998</v>
      </c>
      <c r="T35" s="6">
        <v>3372.619999999999</v>
      </c>
      <c r="U35" s="6"/>
      <c r="V35" s="6"/>
      <c r="W35" s="16">
        <v>3393.5749999999989</v>
      </c>
      <c r="Y35" s="19">
        <v>2002</v>
      </c>
      <c r="Z35" s="17" t="s">
        <v>12</v>
      </c>
      <c r="AA35" s="18">
        <v>1161.0770000000002</v>
      </c>
      <c r="AB35" s="18">
        <v>60920.488000000019</v>
      </c>
      <c r="AC35" s="18">
        <v>11412.855999999996</v>
      </c>
      <c r="AD35" s="18"/>
      <c r="AE35" s="18">
        <v>3.8559999999999999</v>
      </c>
      <c r="AF35" s="18"/>
      <c r="AG35" s="18">
        <v>8502.3360000000011</v>
      </c>
      <c r="AH35" s="18">
        <v>3458.3399999999997</v>
      </c>
      <c r="AI35" s="18"/>
      <c r="AJ35" s="18">
        <v>85458.953000000009</v>
      </c>
    </row>
    <row r="36" spans="1:36" x14ac:dyDescent="0.25">
      <c r="A36" s="5">
        <v>2002</v>
      </c>
      <c r="B36" s="4" t="s">
        <v>13</v>
      </c>
      <c r="C36" s="13">
        <v>2.9249999999999998</v>
      </c>
      <c r="D36" s="13">
        <v>62.751999999999995</v>
      </c>
      <c r="E36" s="13">
        <v>37.418999999999997</v>
      </c>
      <c r="F36" s="13"/>
      <c r="G36" s="13"/>
      <c r="H36" s="13"/>
      <c r="I36" s="13">
        <v>47114.867000000006</v>
      </c>
      <c r="J36" s="13">
        <v>103.595</v>
      </c>
      <c r="K36" s="13"/>
      <c r="L36" s="16">
        <v>47321.558000000005</v>
      </c>
      <c r="N36" s="5">
        <v>2003</v>
      </c>
      <c r="O36" s="4" t="s">
        <v>6</v>
      </c>
      <c r="P36" s="6"/>
      <c r="Q36" s="6"/>
      <c r="R36" s="6"/>
      <c r="S36" s="6"/>
      <c r="T36" s="6">
        <v>8185.7520000000022</v>
      </c>
      <c r="U36" s="6"/>
      <c r="V36" s="6"/>
      <c r="W36" s="16">
        <v>8185.7520000000022</v>
      </c>
      <c r="Y36" s="19">
        <v>2002</v>
      </c>
      <c r="Z36" s="17" t="s">
        <v>13</v>
      </c>
      <c r="AA36" s="18">
        <v>38837.475000000006</v>
      </c>
      <c r="AB36" s="18">
        <v>130104.84000000004</v>
      </c>
      <c r="AC36" s="18">
        <v>26019.750999999993</v>
      </c>
      <c r="AD36" s="18"/>
      <c r="AE36" s="18"/>
      <c r="AF36" s="18"/>
      <c r="AG36" s="18">
        <v>8010.773000000001</v>
      </c>
      <c r="AH36" s="18">
        <v>4207.7160000000013</v>
      </c>
      <c r="AI36" s="18"/>
      <c r="AJ36" s="18">
        <v>207180.55500000005</v>
      </c>
    </row>
    <row r="37" spans="1:36" x14ac:dyDescent="0.25">
      <c r="A37" s="5">
        <v>2002</v>
      </c>
      <c r="B37" s="4" t="s">
        <v>14</v>
      </c>
      <c r="C37" s="13">
        <v>3.4940000000000002</v>
      </c>
      <c r="D37" s="13">
        <v>4290.1200000000017</v>
      </c>
      <c r="E37" s="13">
        <v>154.60899999999998</v>
      </c>
      <c r="F37" s="13"/>
      <c r="G37" s="13">
        <v>23.864000000000001</v>
      </c>
      <c r="H37" s="13"/>
      <c r="I37" s="13">
        <v>44281.53800000003</v>
      </c>
      <c r="J37" s="13">
        <v>1312.7089999999998</v>
      </c>
      <c r="K37" s="13"/>
      <c r="L37" s="16">
        <v>50066.334000000032</v>
      </c>
      <c r="N37" s="5">
        <v>2003</v>
      </c>
      <c r="O37" s="4" t="s">
        <v>7</v>
      </c>
      <c r="P37" s="6"/>
      <c r="Q37" s="6"/>
      <c r="R37" s="6"/>
      <c r="S37" s="6"/>
      <c r="T37" s="6">
        <v>14357.177999999994</v>
      </c>
      <c r="U37" s="6"/>
      <c r="V37" s="6"/>
      <c r="W37" s="16">
        <v>14357.177999999994</v>
      </c>
      <c r="Y37" s="19">
        <v>2002</v>
      </c>
      <c r="Z37" s="17" t="s">
        <v>14</v>
      </c>
      <c r="AA37" s="18">
        <v>16550.592999999993</v>
      </c>
      <c r="AB37" s="18">
        <v>86640.126000000193</v>
      </c>
      <c r="AC37" s="18">
        <v>25717.791000000023</v>
      </c>
      <c r="AD37" s="18"/>
      <c r="AE37" s="18"/>
      <c r="AF37" s="18"/>
      <c r="AG37" s="18">
        <v>656.43599999999992</v>
      </c>
      <c r="AH37" s="18">
        <v>6.6139999999999999</v>
      </c>
      <c r="AI37" s="18"/>
      <c r="AJ37" s="18">
        <v>129571.56000000022</v>
      </c>
    </row>
    <row r="38" spans="1:36" x14ac:dyDescent="0.25">
      <c r="A38" s="5">
        <v>2002</v>
      </c>
      <c r="B38" s="4" t="s">
        <v>15</v>
      </c>
      <c r="C38" s="13">
        <v>7488.4040000000023</v>
      </c>
      <c r="D38" s="13">
        <v>7530.141999999998</v>
      </c>
      <c r="E38" s="13">
        <v>92.099000000000004</v>
      </c>
      <c r="F38" s="13">
        <v>34.685000000000002</v>
      </c>
      <c r="G38" s="13">
        <v>2726.7799999999997</v>
      </c>
      <c r="H38" s="13"/>
      <c r="I38" s="13">
        <v>256341.54300000021</v>
      </c>
      <c r="J38" s="13">
        <v>1898.1</v>
      </c>
      <c r="K38" s="13"/>
      <c r="L38" s="16">
        <v>276111.7530000002</v>
      </c>
      <c r="N38" s="5">
        <v>2003</v>
      </c>
      <c r="O38" s="4" t="s">
        <v>8</v>
      </c>
      <c r="P38" s="6"/>
      <c r="Q38" s="6"/>
      <c r="R38" s="6"/>
      <c r="S38" s="6">
        <v>0.24</v>
      </c>
      <c r="T38" s="6">
        <v>3238.107</v>
      </c>
      <c r="U38" s="6"/>
      <c r="V38" s="6"/>
      <c r="W38" s="16">
        <v>3238.3469999999998</v>
      </c>
      <c r="Y38" s="19">
        <v>2002</v>
      </c>
      <c r="Z38" s="17" t="s">
        <v>15</v>
      </c>
      <c r="AA38" s="18">
        <v>24196.484000000008</v>
      </c>
      <c r="AB38" s="18">
        <v>27623.877000000004</v>
      </c>
      <c r="AC38" s="18">
        <v>1528.1310000000003</v>
      </c>
      <c r="AD38" s="18">
        <v>0.308</v>
      </c>
      <c r="AE38" s="18"/>
      <c r="AF38" s="18"/>
      <c r="AG38" s="18">
        <v>28.954000000000001</v>
      </c>
      <c r="AH38" s="18"/>
      <c r="AI38" s="18"/>
      <c r="AJ38" s="18">
        <v>53377.754000000008</v>
      </c>
    </row>
    <row r="39" spans="1:36" x14ac:dyDescent="0.25">
      <c r="A39" s="5">
        <v>2003</v>
      </c>
      <c r="B39" s="4" t="s">
        <v>4</v>
      </c>
      <c r="C39" s="13">
        <v>592.28700000000015</v>
      </c>
      <c r="D39" s="13">
        <v>440.99899999999997</v>
      </c>
      <c r="E39" s="13">
        <v>9.7129999999999992</v>
      </c>
      <c r="F39" s="13"/>
      <c r="G39" s="13">
        <v>328.78</v>
      </c>
      <c r="H39" s="13"/>
      <c r="I39" s="13">
        <v>75554.771999999983</v>
      </c>
      <c r="J39" s="13">
        <v>583.45699999999999</v>
      </c>
      <c r="K39" s="13"/>
      <c r="L39" s="16">
        <v>77510.007999999973</v>
      </c>
      <c r="N39" s="5">
        <v>2003</v>
      </c>
      <c r="O39" s="4" t="s">
        <v>9</v>
      </c>
      <c r="P39" s="6"/>
      <c r="Q39" s="6"/>
      <c r="R39" s="6"/>
      <c r="S39" s="6"/>
      <c r="T39" s="6">
        <v>5.3940000000000001</v>
      </c>
      <c r="U39" s="6"/>
      <c r="V39" s="6"/>
      <c r="W39" s="16">
        <v>5.3940000000000001</v>
      </c>
      <c r="Y39" s="19">
        <v>2003</v>
      </c>
      <c r="Z39" s="17" t="s">
        <v>4</v>
      </c>
      <c r="AA39" s="18">
        <v>5783.6000000000013</v>
      </c>
      <c r="AB39" s="18">
        <v>2235.6980000000008</v>
      </c>
      <c r="AC39" s="18">
        <v>130.79599999999999</v>
      </c>
      <c r="AD39" s="18"/>
      <c r="AE39" s="18">
        <v>1.9870000000000001</v>
      </c>
      <c r="AF39" s="18"/>
      <c r="AG39" s="18"/>
      <c r="AH39" s="18"/>
      <c r="AI39" s="18"/>
      <c r="AJ39" s="18">
        <v>8152.0810000000029</v>
      </c>
    </row>
    <row r="40" spans="1:36" x14ac:dyDescent="0.25">
      <c r="A40" s="5">
        <v>2003</v>
      </c>
      <c r="B40" s="4" t="s">
        <v>5</v>
      </c>
      <c r="C40" s="13">
        <v>7573.9619999999995</v>
      </c>
      <c r="D40" s="13">
        <v>11815.08599999999</v>
      </c>
      <c r="E40" s="13">
        <v>22.274000000000001</v>
      </c>
      <c r="F40" s="13"/>
      <c r="G40" s="13">
        <v>96.277999999999992</v>
      </c>
      <c r="H40" s="13"/>
      <c r="I40" s="13">
        <v>36988.166999999979</v>
      </c>
      <c r="J40" s="13">
        <v>587.31599999999992</v>
      </c>
      <c r="K40" s="13"/>
      <c r="L40" s="16">
        <v>57083.082999999962</v>
      </c>
      <c r="N40" s="5">
        <v>2003</v>
      </c>
      <c r="O40" s="4" t="s">
        <v>10</v>
      </c>
      <c r="P40" s="6"/>
      <c r="Q40" s="6"/>
      <c r="R40" s="6"/>
      <c r="S40" s="6"/>
      <c r="T40" s="6">
        <v>90.947000000000003</v>
      </c>
      <c r="U40" s="6">
        <v>186.64</v>
      </c>
      <c r="V40" s="6"/>
      <c r="W40" s="16">
        <v>277.58699999999999</v>
      </c>
      <c r="Y40" s="19">
        <v>2003</v>
      </c>
      <c r="Z40" s="17" t="s">
        <v>5</v>
      </c>
      <c r="AA40" s="18">
        <v>7186.6350000000048</v>
      </c>
      <c r="AB40" s="18">
        <v>827.61399999999992</v>
      </c>
      <c r="AC40" s="18">
        <v>185.20699999999999</v>
      </c>
      <c r="AD40" s="18"/>
      <c r="AE40" s="18"/>
      <c r="AF40" s="18">
        <v>13.97</v>
      </c>
      <c r="AG40" s="18">
        <v>6899.708999999998</v>
      </c>
      <c r="AH40" s="18"/>
      <c r="AI40" s="18"/>
      <c r="AJ40" s="18">
        <v>15113.135000000002</v>
      </c>
    </row>
    <row r="41" spans="1:36" x14ac:dyDescent="0.25">
      <c r="A41" s="5">
        <v>2003</v>
      </c>
      <c r="B41" s="4" t="s">
        <v>6</v>
      </c>
      <c r="C41" s="13">
        <v>2308.4750000000004</v>
      </c>
      <c r="D41" s="13">
        <v>14047.192000000001</v>
      </c>
      <c r="E41" s="13">
        <v>11850.966</v>
      </c>
      <c r="F41" s="13">
        <v>0.27300000000000002</v>
      </c>
      <c r="G41" s="13">
        <v>4585.4589999999989</v>
      </c>
      <c r="H41" s="13"/>
      <c r="I41" s="13">
        <v>92150.929999999949</v>
      </c>
      <c r="J41" s="13">
        <v>3683.058</v>
      </c>
      <c r="K41" s="13"/>
      <c r="L41" s="16">
        <v>128626.35299999996</v>
      </c>
      <c r="N41" s="5">
        <v>2003</v>
      </c>
      <c r="O41" s="4" t="s">
        <v>12</v>
      </c>
      <c r="P41" s="6"/>
      <c r="Q41" s="6"/>
      <c r="R41" s="6"/>
      <c r="S41" s="6"/>
      <c r="T41" s="6">
        <v>4756.402000000001</v>
      </c>
      <c r="U41" s="6">
        <v>4236.6580000000004</v>
      </c>
      <c r="V41" s="6"/>
      <c r="W41" s="16">
        <v>8993.0600000000013</v>
      </c>
      <c r="Y41" s="19">
        <v>2003</v>
      </c>
      <c r="Z41" s="17" t="s">
        <v>6</v>
      </c>
      <c r="AA41" s="18">
        <v>1332.7989999999998</v>
      </c>
      <c r="AB41" s="18">
        <v>56815.995999999999</v>
      </c>
      <c r="AC41" s="18">
        <v>16299.772999999994</v>
      </c>
      <c r="AD41" s="18">
        <v>466.84800000000001</v>
      </c>
      <c r="AE41" s="18">
        <v>64.78</v>
      </c>
      <c r="AF41" s="18"/>
      <c r="AG41" s="18">
        <v>22390.698</v>
      </c>
      <c r="AH41" s="18"/>
      <c r="AI41" s="18"/>
      <c r="AJ41" s="18">
        <v>97370.894</v>
      </c>
    </row>
    <row r="42" spans="1:36" x14ac:dyDescent="0.25">
      <c r="A42" s="5">
        <v>2003</v>
      </c>
      <c r="B42" s="4" t="s">
        <v>7</v>
      </c>
      <c r="C42" s="13">
        <v>22.48</v>
      </c>
      <c r="D42" s="13">
        <v>12551.944000000003</v>
      </c>
      <c r="E42" s="13">
        <v>2289.5539999999996</v>
      </c>
      <c r="F42" s="13"/>
      <c r="G42" s="13">
        <v>122.968</v>
      </c>
      <c r="H42" s="13"/>
      <c r="I42" s="13">
        <v>176125.27899999992</v>
      </c>
      <c r="J42" s="13">
        <v>1358.0619999999999</v>
      </c>
      <c r="K42" s="13"/>
      <c r="L42" s="16">
        <v>192470.28699999992</v>
      </c>
      <c r="N42" s="5">
        <v>2003</v>
      </c>
      <c r="O42" s="4" t="s">
        <v>13</v>
      </c>
      <c r="P42" s="6"/>
      <c r="Q42" s="6"/>
      <c r="R42" s="6"/>
      <c r="S42" s="6"/>
      <c r="T42" s="6">
        <v>1187.8019999999997</v>
      </c>
      <c r="U42" s="6">
        <v>379.15100000000007</v>
      </c>
      <c r="V42" s="6"/>
      <c r="W42" s="16">
        <v>1566.9529999999997</v>
      </c>
      <c r="Y42" s="19">
        <v>2003</v>
      </c>
      <c r="Z42" s="17" t="s">
        <v>7</v>
      </c>
      <c r="AA42" s="18">
        <v>5633.1309999999994</v>
      </c>
      <c r="AB42" s="18">
        <v>51193.885000000038</v>
      </c>
      <c r="AC42" s="18">
        <v>22825.30899999999</v>
      </c>
      <c r="AD42" s="18">
        <v>1214.2080000000001</v>
      </c>
      <c r="AE42" s="18">
        <v>1501.877</v>
      </c>
      <c r="AF42" s="18">
        <v>1085.3700000000001</v>
      </c>
      <c r="AG42" s="18">
        <v>28265.957000000002</v>
      </c>
      <c r="AH42" s="18"/>
      <c r="AI42" s="18"/>
      <c r="AJ42" s="18">
        <v>111719.73700000002</v>
      </c>
    </row>
    <row r="43" spans="1:36" x14ac:dyDescent="0.25">
      <c r="A43" s="5">
        <v>2003</v>
      </c>
      <c r="B43" s="4" t="s">
        <v>8</v>
      </c>
      <c r="C43" s="13">
        <v>1328.8500000000004</v>
      </c>
      <c r="D43" s="13">
        <v>4269.9139999999989</v>
      </c>
      <c r="E43" s="13">
        <v>1303.7009999999998</v>
      </c>
      <c r="F43" s="13"/>
      <c r="G43" s="13">
        <v>913.9319999999999</v>
      </c>
      <c r="H43" s="13"/>
      <c r="I43" s="13">
        <v>189495.07</v>
      </c>
      <c r="J43" s="13">
        <v>4056.2860000000001</v>
      </c>
      <c r="K43" s="13"/>
      <c r="L43" s="16">
        <v>201367.753</v>
      </c>
      <c r="N43" s="5">
        <v>2003</v>
      </c>
      <c r="O43" s="4" t="s">
        <v>14</v>
      </c>
      <c r="P43" s="6"/>
      <c r="Q43" s="6"/>
      <c r="R43" s="6"/>
      <c r="S43" s="6"/>
      <c r="T43" s="6">
        <v>0.45400000000000001</v>
      </c>
      <c r="U43" s="6"/>
      <c r="V43" s="6"/>
      <c r="W43" s="16">
        <v>0.45400000000000001</v>
      </c>
      <c r="Y43" s="19">
        <v>2003</v>
      </c>
      <c r="Z43" s="17" t="s">
        <v>8</v>
      </c>
      <c r="AA43" s="18">
        <v>10688.116000000004</v>
      </c>
      <c r="AB43" s="18">
        <v>29882.17400000001</v>
      </c>
      <c r="AC43" s="18">
        <v>28292.010000000002</v>
      </c>
      <c r="AD43" s="18">
        <v>371.96800000000002</v>
      </c>
      <c r="AE43" s="18">
        <v>3823.1379999999999</v>
      </c>
      <c r="AF43" s="18">
        <v>199.04999999999998</v>
      </c>
      <c r="AG43" s="18">
        <v>5020.4670000000006</v>
      </c>
      <c r="AH43" s="18"/>
      <c r="AI43" s="18"/>
      <c r="AJ43" s="18">
        <v>78276.923000000024</v>
      </c>
    </row>
    <row r="44" spans="1:36" x14ac:dyDescent="0.25">
      <c r="A44" s="5">
        <v>2003</v>
      </c>
      <c r="B44" s="4" t="s">
        <v>9</v>
      </c>
      <c r="C44" s="13">
        <v>7619.2429999999922</v>
      </c>
      <c r="D44" s="13">
        <v>7109.4819999999991</v>
      </c>
      <c r="E44" s="13">
        <v>1276.6610000000003</v>
      </c>
      <c r="F44" s="13">
        <v>0.25800000000000001</v>
      </c>
      <c r="G44" s="13">
        <v>34.764000000000003</v>
      </c>
      <c r="H44" s="13"/>
      <c r="I44" s="13">
        <v>144069.41600000014</v>
      </c>
      <c r="J44" s="13">
        <v>535.54499999999996</v>
      </c>
      <c r="K44" s="13"/>
      <c r="L44" s="16">
        <v>160645.36900000015</v>
      </c>
      <c r="N44" s="5">
        <v>2003</v>
      </c>
      <c r="O44" s="4" t="s">
        <v>15</v>
      </c>
      <c r="P44" s="6"/>
      <c r="Q44" s="6"/>
      <c r="R44" s="6"/>
      <c r="S44" s="6"/>
      <c r="T44" s="6">
        <v>17.349</v>
      </c>
      <c r="U44" s="6"/>
      <c r="V44" s="6"/>
      <c r="W44" s="16">
        <v>17.349</v>
      </c>
      <c r="Y44" s="19">
        <v>2003</v>
      </c>
      <c r="Z44" s="17" t="s">
        <v>9</v>
      </c>
      <c r="AA44" s="18">
        <v>8861.3069999999971</v>
      </c>
      <c r="AB44" s="18">
        <v>12601.436999999994</v>
      </c>
      <c r="AC44" s="18">
        <v>3971.7600000000011</v>
      </c>
      <c r="AD44" s="18">
        <v>2951.0540000000001</v>
      </c>
      <c r="AE44" s="18">
        <v>5057.5290000000005</v>
      </c>
      <c r="AF44" s="18"/>
      <c r="AG44" s="18">
        <v>199.68600000000001</v>
      </c>
      <c r="AH44" s="18"/>
      <c r="AI44" s="18"/>
      <c r="AJ44" s="18">
        <v>33642.772999999994</v>
      </c>
    </row>
    <row r="45" spans="1:36" x14ac:dyDescent="0.25">
      <c r="A45" s="5">
        <v>2003</v>
      </c>
      <c r="B45" s="4" t="s">
        <v>10</v>
      </c>
      <c r="C45" s="13">
        <v>7307.1290000000017</v>
      </c>
      <c r="D45" s="13">
        <v>6799.5450000000001</v>
      </c>
      <c r="E45" s="13">
        <v>4806.188000000001</v>
      </c>
      <c r="F45" s="13"/>
      <c r="G45" s="13"/>
      <c r="H45" s="13"/>
      <c r="I45" s="13">
        <v>209491.27599999987</v>
      </c>
      <c r="J45" s="13">
        <v>2837.5729999999999</v>
      </c>
      <c r="K45" s="13"/>
      <c r="L45" s="16">
        <v>231241.71099999986</v>
      </c>
      <c r="N45" s="5">
        <v>2004</v>
      </c>
      <c r="O45" s="4" t="s">
        <v>5</v>
      </c>
      <c r="P45" s="6"/>
      <c r="Q45" s="6"/>
      <c r="R45" s="6"/>
      <c r="S45" s="6"/>
      <c r="T45" s="6">
        <v>14908.475999999997</v>
      </c>
      <c r="U45" s="6"/>
      <c r="V45" s="6"/>
      <c r="W45" s="16">
        <v>14908.475999999997</v>
      </c>
      <c r="Y45" s="19">
        <v>2003</v>
      </c>
      <c r="Z45" s="17" t="s">
        <v>10</v>
      </c>
      <c r="AA45" s="18">
        <v>7879.0239999999985</v>
      </c>
      <c r="AB45" s="18">
        <v>3253.7470000000012</v>
      </c>
      <c r="AC45" s="18">
        <v>263.28299999999996</v>
      </c>
      <c r="AD45" s="18">
        <v>3831.4609999999998</v>
      </c>
      <c r="AE45" s="18">
        <v>1405.3829999999998</v>
      </c>
      <c r="AF45" s="18"/>
      <c r="AG45" s="18">
        <v>67.498000000000005</v>
      </c>
      <c r="AH45" s="18">
        <v>14.36</v>
      </c>
      <c r="AI45" s="18"/>
      <c r="AJ45" s="18">
        <v>16714.756000000001</v>
      </c>
    </row>
    <row r="46" spans="1:36" x14ac:dyDescent="0.25">
      <c r="A46" s="5">
        <v>2003</v>
      </c>
      <c r="B46" s="4" t="s">
        <v>11</v>
      </c>
      <c r="C46" s="13">
        <v>1933.4690000000001</v>
      </c>
      <c r="D46" s="13">
        <v>11289.481999999998</v>
      </c>
      <c r="E46" s="13">
        <v>4452.7330000000029</v>
      </c>
      <c r="F46" s="13"/>
      <c r="G46" s="13"/>
      <c r="H46" s="13"/>
      <c r="I46" s="13">
        <v>154983.01300000001</v>
      </c>
      <c r="J46" s="13"/>
      <c r="K46" s="13"/>
      <c r="L46" s="16">
        <v>172658.69700000001</v>
      </c>
      <c r="N46" s="5">
        <v>2004</v>
      </c>
      <c r="O46" s="4" t="s">
        <v>6</v>
      </c>
      <c r="P46" s="6"/>
      <c r="Q46" s="6"/>
      <c r="R46" s="6"/>
      <c r="S46" s="6"/>
      <c r="T46" s="6">
        <v>19293.555999999997</v>
      </c>
      <c r="U46" s="6"/>
      <c r="V46" s="6"/>
      <c r="W46" s="16">
        <v>19293.555999999997</v>
      </c>
      <c r="Y46" s="19">
        <v>2003</v>
      </c>
      <c r="Z46" s="17" t="s">
        <v>11</v>
      </c>
      <c r="AA46" s="18">
        <v>1610.93</v>
      </c>
      <c r="AB46" s="18">
        <v>3356.4630000000002</v>
      </c>
      <c r="AC46" s="18">
        <v>1196.107</v>
      </c>
      <c r="AD46" s="18">
        <v>3195.1689999999999</v>
      </c>
      <c r="AE46" s="18">
        <v>520.53800000000012</v>
      </c>
      <c r="AF46" s="18"/>
      <c r="AG46" s="18"/>
      <c r="AH46" s="18"/>
      <c r="AI46" s="18"/>
      <c r="AJ46" s="18">
        <v>9879.2070000000003</v>
      </c>
    </row>
    <row r="47" spans="1:36" x14ac:dyDescent="0.25">
      <c r="A47" s="5">
        <v>2003</v>
      </c>
      <c r="B47" s="4" t="s">
        <v>12</v>
      </c>
      <c r="C47" s="13">
        <v>411.00699999999995</v>
      </c>
      <c r="D47" s="13">
        <v>3767.9679999999989</v>
      </c>
      <c r="E47" s="13">
        <v>7054.8930000000009</v>
      </c>
      <c r="F47" s="13"/>
      <c r="G47" s="13"/>
      <c r="H47" s="13"/>
      <c r="I47" s="13">
        <v>33823.85</v>
      </c>
      <c r="J47" s="13"/>
      <c r="K47" s="13"/>
      <c r="L47" s="16">
        <v>45057.717999999993</v>
      </c>
      <c r="N47" s="5">
        <v>2004</v>
      </c>
      <c r="O47" s="4" t="s">
        <v>7</v>
      </c>
      <c r="P47" s="6"/>
      <c r="Q47" s="6"/>
      <c r="R47" s="6"/>
      <c r="S47" s="6"/>
      <c r="T47" s="6">
        <v>20913.925999999981</v>
      </c>
      <c r="U47" s="6"/>
      <c r="V47" s="6"/>
      <c r="W47" s="16">
        <v>20913.925999999981</v>
      </c>
      <c r="Y47" s="19">
        <v>2003</v>
      </c>
      <c r="Z47" s="17" t="s">
        <v>12</v>
      </c>
      <c r="AA47" s="18">
        <v>1860.8280000000004</v>
      </c>
      <c r="AB47" s="18">
        <v>13139.84299999999</v>
      </c>
      <c r="AC47" s="18">
        <v>3226.621000000001</v>
      </c>
      <c r="AD47" s="18">
        <v>1823.2319999999995</v>
      </c>
      <c r="AE47" s="18">
        <v>611.48599999999999</v>
      </c>
      <c r="AF47" s="18"/>
      <c r="AG47" s="18">
        <v>14079.272999999999</v>
      </c>
      <c r="AH47" s="18">
        <v>4329.8639999999996</v>
      </c>
      <c r="AI47" s="18"/>
      <c r="AJ47" s="18">
        <v>39071.146999999997</v>
      </c>
    </row>
    <row r="48" spans="1:36" x14ac:dyDescent="0.25">
      <c r="A48" s="5">
        <v>2003</v>
      </c>
      <c r="B48" s="4" t="s">
        <v>13</v>
      </c>
      <c r="C48" s="13"/>
      <c r="D48" s="13">
        <v>1836.107</v>
      </c>
      <c r="E48" s="13">
        <v>3265.9799999999991</v>
      </c>
      <c r="F48" s="13"/>
      <c r="G48" s="13"/>
      <c r="H48" s="13"/>
      <c r="I48" s="13">
        <v>27982.491999999987</v>
      </c>
      <c r="J48" s="13">
        <v>930.26700000000005</v>
      </c>
      <c r="K48" s="13"/>
      <c r="L48" s="16">
        <v>34014.845999999983</v>
      </c>
      <c r="N48" s="5">
        <v>2004</v>
      </c>
      <c r="O48" s="4" t="s">
        <v>8</v>
      </c>
      <c r="P48" s="6"/>
      <c r="Q48" s="6"/>
      <c r="R48" s="6"/>
      <c r="S48" s="6">
        <v>2011.8759999999995</v>
      </c>
      <c r="T48" s="6">
        <v>2581.3129999999996</v>
      </c>
      <c r="U48" s="6">
        <v>1484.5859999999998</v>
      </c>
      <c r="V48" s="6"/>
      <c r="W48" s="16">
        <v>6077.7749999999996</v>
      </c>
      <c r="Y48" s="19">
        <v>2003</v>
      </c>
      <c r="Z48" s="17" t="s">
        <v>13</v>
      </c>
      <c r="AA48" s="18">
        <v>553.92499999999984</v>
      </c>
      <c r="AB48" s="18">
        <v>4037.5139999999992</v>
      </c>
      <c r="AC48" s="18">
        <v>2003.7959999999998</v>
      </c>
      <c r="AD48" s="18">
        <v>55.103999999999999</v>
      </c>
      <c r="AE48" s="18">
        <v>55.85</v>
      </c>
      <c r="AF48" s="18"/>
      <c r="AG48" s="18">
        <v>2154.585</v>
      </c>
      <c r="AH48" s="18">
        <v>1359.155</v>
      </c>
      <c r="AI48" s="18"/>
      <c r="AJ48" s="18">
        <v>10219.929</v>
      </c>
    </row>
    <row r="49" spans="1:36" x14ac:dyDescent="0.25">
      <c r="A49" s="5">
        <v>2003</v>
      </c>
      <c r="B49" s="4" t="s">
        <v>14</v>
      </c>
      <c r="C49" s="13">
        <v>27.170999999999999</v>
      </c>
      <c r="D49" s="13">
        <v>297.74400000000003</v>
      </c>
      <c r="E49" s="13">
        <v>385.39200000000011</v>
      </c>
      <c r="F49" s="13"/>
      <c r="G49" s="13"/>
      <c r="H49" s="13"/>
      <c r="I49" s="13">
        <v>28086.774999999998</v>
      </c>
      <c r="J49" s="13">
        <v>778.30700000000002</v>
      </c>
      <c r="K49" s="13"/>
      <c r="L49" s="16">
        <v>29575.388999999999</v>
      </c>
      <c r="N49" s="5">
        <v>2004</v>
      </c>
      <c r="O49" s="4" t="s">
        <v>9</v>
      </c>
      <c r="P49" s="6"/>
      <c r="Q49" s="6"/>
      <c r="R49" s="6"/>
      <c r="S49" s="6">
        <v>209.02799999999999</v>
      </c>
      <c r="T49" s="6">
        <v>680.553</v>
      </c>
      <c r="U49" s="6">
        <v>808.33699999999999</v>
      </c>
      <c r="V49" s="6"/>
      <c r="W49" s="16">
        <v>1697.9180000000001</v>
      </c>
      <c r="Y49" s="19">
        <v>2003</v>
      </c>
      <c r="Z49" s="17" t="s">
        <v>14</v>
      </c>
      <c r="AA49" s="18">
        <v>1803.3859999999993</v>
      </c>
      <c r="AB49" s="18">
        <v>6218.7349999999988</v>
      </c>
      <c r="AC49" s="18">
        <v>10862.781999999996</v>
      </c>
      <c r="AD49" s="18"/>
      <c r="AE49" s="18">
        <v>610.68100000000004</v>
      </c>
      <c r="AF49" s="18"/>
      <c r="AG49" s="18">
        <v>22.256</v>
      </c>
      <c r="AH49" s="18">
        <v>52.9</v>
      </c>
      <c r="AI49" s="18"/>
      <c r="AJ49" s="18">
        <v>19570.739999999998</v>
      </c>
    </row>
    <row r="50" spans="1:36" x14ac:dyDescent="0.25">
      <c r="A50" s="5">
        <v>2003</v>
      </c>
      <c r="B50" s="4" t="s">
        <v>15</v>
      </c>
      <c r="C50" s="13"/>
      <c r="D50" s="13">
        <v>278.02200000000005</v>
      </c>
      <c r="E50" s="13">
        <v>1482.6480000000004</v>
      </c>
      <c r="F50" s="13"/>
      <c r="G50" s="13">
        <v>18.265999999999998</v>
      </c>
      <c r="H50" s="13"/>
      <c r="I50" s="13">
        <v>49999.116999999969</v>
      </c>
      <c r="J50" s="13">
        <v>1341.222</v>
      </c>
      <c r="K50" s="13"/>
      <c r="L50" s="16">
        <v>53119.274999999972</v>
      </c>
      <c r="N50" s="5">
        <v>2004</v>
      </c>
      <c r="O50" s="4" t="s">
        <v>10</v>
      </c>
      <c r="P50" s="6"/>
      <c r="Q50" s="6"/>
      <c r="R50" s="6"/>
      <c r="S50" s="6">
        <v>333.90499999999997</v>
      </c>
      <c r="T50" s="6">
        <v>385.67500000000001</v>
      </c>
      <c r="U50" s="6"/>
      <c r="V50" s="6"/>
      <c r="W50" s="16">
        <v>719.57999999999993</v>
      </c>
      <c r="Y50" s="19">
        <v>2003</v>
      </c>
      <c r="Z50" s="17" t="s">
        <v>15</v>
      </c>
      <c r="AA50" s="18">
        <v>2.0960000000000001</v>
      </c>
      <c r="AB50" s="18">
        <v>288.46899999999994</v>
      </c>
      <c r="AC50" s="18">
        <v>202.71099999999998</v>
      </c>
      <c r="AD50" s="18"/>
      <c r="AE50" s="18">
        <v>37.627000000000002</v>
      </c>
      <c r="AF50" s="18"/>
      <c r="AG50" s="18">
        <v>106.571</v>
      </c>
      <c r="AH50" s="18"/>
      <c r="AI50" s="18"/>
      <c r="AJ50" s="18">
        <v>637.47399999999993</v>
      </c>
    </row>
    <row r="51" spans="1:36" x14ac:dyDescent="0.25">
      <c r="A51" s="5">
        <v>2004</v>
      </c>
      <c r="B51" s="4" t="s">
        <v>4</v>
      </c>
      <c r="C51" s="13"/>
      <c r="D51" s="13">
        <v>4518.67</v>
      </c>
      <c r="E51" s="13">
        <v>19533.541000000005</v>
      </c>
      <c r="F51" s="13"/>
      <c r="G51" s="13">
        <v>395.41600000000005</v>
      </c>
      <c r="H51" s="13"/>
      <c r="I51" s="13">
        <v>125565.15999999997</v>
      </c>
      <c r="J51" s="13">
        <v>4124.3530000000001</v>
      </c>
      <c r="K51" s="13"/>
      <c r="L51" s="16">
        <v>154137.13999999998</v>
      </c>
      <c r="N51" s="5">
        <v>2004</v>
      </c>
      <c r="O51" s="4" t="s">
        <v>12</v>
      </c>
      <c r="P51" s="6"/>
      <c r="Q51" s="6"/>
      <c r="R51" s="6"/>
      <c r="S51" s="6"/>
      <c r="T51" s="6">
        <v>19.405999999999999</v>
      </c>
      <c r="U51" s="6"/>
      <c r="V51" s="6"/>
      <c r="W51" s="16">
        <v>19.405999999999999</v>
      </c>
      <c r="Y51" s="19">
        <v>2004</v>
      </c>
      <c r="Z51" s="17" t="s">
        <v>4</v>
      </c>
      <c r="AA51" s="18">
        <v>1735.7270000000001</v>
      </c>
      <c r="AB51" s="18">
        <v>17139.488999999998</v>
      </c>
      <c r="AC51" s="18">
        <v>6840.7360000000035</v>
      </c>
      <c r="AD51" s="18"/>
      <c r="AE51" s="18"/>
      <c r="AF51" s="18"/>
      <c r="AG51" s="18"/>
      <c r="AH51" s="18"/>
      <c r="AI51" s="18"/>
      <c r="AJ51" s="18">
        <v>25715.952000000001</v>
      </c>
    </row>
    <row r="52" spans="1:36" x14ac:dyDescent="0.25">
      <c r="A52" s="5">
        <v>2004</v>
      </c>
      <c r="B52" s="4" t="s">
        <v>5</v>
      </c>
      <c r="C52" s="13">
        <v>11.58</v>
      </c>
      <c r="D52" s="13">
        <v>14700.545999999998</v>
      </c>
      <c r="E52" s="13">
        <v>31912.473000000002</v>
      </c>
      <c r="F52" s="13"/>
      <c r="G52" s="13">
        <v>1956.143</v>
      </c>
      <c r="H52" s="13"/>
      <c r="I52" s="13">
        <v>86670.082000000009</v>
      </c>
      <c r="J52" s="13">
        <v>303.30899999999997</v>
      </c>
      <c r="K52" s="13"/>
      <c r="L52" s="16">
        <v>135554.13300000003</v>
      </c>
      <c r="N52" s="5">
        <v>2004</v>
      </c>
      <c r="O52" s="4" t="s">
        <v>13</v>
      </c>
      <c r="P52" s="6"/>
      <c r="Q52" s="6"/>
      <c r="R52" s="6"/>
      <c r="S52" s="6"/>
      <c r="T52" s="6">
        <v>2039.8530000000001</v>
      </c>
      <c r="U52" s="6">
        <v>2856.1190000000006</v>
      </c>
      <c r="V52" s="6"/>
      <c r="W52" s="16">
        <v>4895.9720000000007</v>
      </c>
      <c r="Y52" s="19">
        <v>2004</v>
      </c>
      <c r="Z52" s="17" t="s">
        <v>5</v>
      </c>
      <c r="AA52" s="18">
        <v>20669.887999999999</v>
      </c>
      <c r="AB52" s="18">
        <v>78268.631999999998</v>
      </c>
      <c r="AC52" s="18">
        <v>19807.25599999999</v>
      </c>
      <c r="AD52" s="18"/>
      <c r="AE52" s="18"/>
      <c r="AF52" s="18">
        <v>937.32900000000006</v>
      </c>
      <c r="AG52" s="18">
        <v>27643.725000000002</v>
      </c>
      <c r="AH52" s="18"/>
      <c r="AI52" s="18"/>
      <c r="AJ52" s="18">
        <v>147326.82999999999</v>
      </c>
    </row>
    <row r="53" spans="1:36" x14ac:dyDescent="0.25">
      <c r="A53" s="5">
        <v>2004</v>
      </c>
      <c r="B53" s="4" t="s">
        <v>6</v>
      </c>
      <c r="C53" s="13">
        <v>2016.1290000000006</v>
      </c>
      <c r="D53" s="13">
        <v>15125.934000000005</v>
      </c>
      <c r="E53" s="13">
        <v>6870.4459999999981</v>
      </c>
      <c r="F53" s="13"/>
      <c r="G53" s="13"/>
      <c r="H53" s="13"/>
      <c r="I53" s="13">
        <v>120874.67000000001</v>
      </c>
      <c r="J53" s="13">
        <v>3726.1609999999996</v>
      </c>
      <c r="K53" s="13"/>
      <c r="L53" s="16">
        <v>148613.34</v>
      </c>
      <c r="N53" s="5">
        <v>2004</v>
      </c>
      <c r="O53" s="4" t="s">
        <v>14</v>
      </c>
      <c r="P53" s="6"/>
      <c r="Q53" s="6"/>
      <c r="R53" s="6"/>
      <c r="S53" s="6"/>
      <c r="T53" s="6">
        <v>1632.0289999999998</v>
      </c>
      <c r="U53" s="6">
        <v>333.61700000000002</v>
      </c>
      <c r="V53" s="6"/>
      <c r="W53" s="16">
        <v>1965.6459999999997</v>
      </c>
      <c r="Y53" s="19">
        <v>2004</v>
      </c>
      <c r="Z53" s="17" t="s">
        <v>6</v>
      </c>
      <c r="AA53" s="18">
        <v>29997.389999999989</v>
      </c>
      <c r="AB53" s="18">
        <v>63842.766999999905</v>
      </c>
      <c r="AC53" s="18">
        <v>37159.78800000003</v>
      </c>
      <c r="AD53" s="18"/>
      <c r="AE53" s="18">
        <v>1652.0819999999999</v>
      </c>
      <c r="AF53" s="18">
        <v>866.92499999999995</v>
      </c>
      <c r="AG53" s="18">
        <v>36702.928000000022</v>
      </c>
      <c r="AH53" s="18"/>
      <c r="AI53" s="18"/>
      <c r="AJ53" s="18">
        <v>170221.87999999992</v>
      </c>
    </row>
    <row r="54" spans="1:36" x14ac:dyDescent="0.25">
      <c r="A54" s="5">
        <v>2004</v>
      </c>
      <c r="B54" s="4" t="s">
        <v>7</v>
      </c>
      <c r="C54" s="13">
        <v>345.48500000000001</v>
      </c>
      <c r="D54" s="13">
        <v>6871.5650000000014</v>
      </c>
      <c r="E54" s="13">
        <v>4505.3800000000019</v>
      </c>
      <c r="F54" s="13"/>
      <c r="G54" s="13"/>
      <c r="H54" s="13"/>
      <c r="I54" s="13">
        <v>113242.66200000013</v>
      </c>
      <c r="J54" s="13">
        <v>1421.7090000000001</v>
      </c>
      <c r="K54" s="13"/>
      <c r="L54" s="16">
        <v>126386.80100000014</v>
      </c>
      <c r="N54" s="5">
        <v>2004</v>
      </c>
      <c r="O54" s="4" t="s">
        <v>15</v>
      </c>
      <c r="P54" s="6"/>
      <c r="Q54" s="6"/>
      <c r="R54" s="6"/>
      <c r="S54" s="6"/>
      <c r="T54" s="6">
        <v>350.96800000000002</v>
      </c>
      <c r="U54" s="6"/>
      <c r="V54" s="6"/>
      <c r="W54" s="16">
        <v>350.96800000000002</v>
      </c>
      <c r="Y54" s="19">
        <v>2004</v>
      </c>
      <c r="Z54" s="17" t="s">
        <v>7</v>
      </c>
      <c r="AA54" s="18">
        <v>6648.3739999999989</v>
      </c>
      <c r="AB54" s="18">
        <v>76306.411999999953</v>
      </c>
      <c r="AC54" s="18">
        <v>26144.530999999999</v>
      </c>
      <c r="AD54" s="18"/>
      <c r="AE54" s="18">
        <v>2310.3620000000001</v>
      </c>
      <c r="AF54" s="18"/>
      <c r="AG54" s="18">
        <v>34554.810000000012</v>
      </c>
      <c r="AH54" s="18"/>
      <c r="AI54" s="18">
        <v>87.765000000000001</v>
      </c>
      <c r="AJ54" s="18">
        <v>146052.25399999996</v>
      </c>
    </row>
    <row r="55" spans="1:36" x14ac:dyDescent="0.25">
      <c r="A55" s="5">
        <v>2004</v>
      </c>
      <c r="B55" s="4" t="s">
        <v>8</v>
      </c>
      <c r="C55" s="13">
        <v>4570.7090000000017</v>
      </c>
      <c r="D55" s="13">
        <v>4323.387999999999</v>
      </c>
      <c r="E55" s="13">
        <v>1039.8690000000001</v>
      </c>
      <c r="F55" s="13"/>
      <c r="G55" s="13">
        <v>2.4419999999999997</v>
      </c>
      <c r="H55" s="13"/>
      <c r="I55" s="13">
        <v>184937.20700000017</v>
      </c>
      <c r="J55" s="13">
        <v>6620.701</v>
      </c>
      <c r="K55" s="13"/>
      <c r="L55" s="16">
        <v>201494.31600000017</v>
      </c>
      <c r="N55" s="5">
        <v>2005</v>
      </c>
      <c r="O55" s="4" t="s">
        <v>5</v>
      </c>
      <c r="P55" s="6"/>
      <c r="Q55" s="6"/>
      <c r="R55" s="6"/>
      <c r="S55" s="6"/>
      <c r="T55" s="6">
        <v>3206.6380000000008</v>
      </c>
      <c r="U55" s="6">
        <v>666.62900000000002</v>
      </c>
      <c r="V55" s="6"/>
      <c r="W55" s="16">
        <v>3873.2670000000007</v>
      </c>
      <c r="Y55" s="19">
        <v>2004</v>
      </c>
      <c r="Z55" s="17" t="s">
        <v>8</v>
      </c>
      <c r="AA55" s="18">
        <v>29926.705000000005</v>
      </c>
      <c r="AB55" s="18">
        <v>62789.148999999961</v>
      </c>
      <c r="AC55" s="18">
        <v>9472.3580000000038</v>
      </c>
      <c r="AD55" s="18"/>
      <c r="AE55" s="18">
        <v>3804.529</v>
      </c>
      <c r="AF55" s="18"/>
      <c r="AG55" s="18">
        <v>6851.2750000000005</v>
      </c>
      <c r="AH55" s="18">
        <v>61.813999999999993</v>
      </c>
      <c r="AI55" s="18"/>
      <c r="AJ55" s="18">
        <v>112905.82999999996</v>
      </c>
    </row>
    <row r="56" spans="1:36" x14ac:dyDescent="0.25">
      <c r="A56" s="5">
        <v>2004</v>
      </c>
      <c r="B56" s="4" t="s">
        <v>9</v>
      </c>
      <c r="C56" s="13">
        <v>61.637999999999998</v>
      </c>
      <c r="D56" s="13">
        <v>1109.2740000000001</v>
      </c>
      <c r="E56" s="13"/>
      <c r="F56" s="13"/>
      <c r="G56" s="13"/>
      <c r="H56" s="13"/>
      <c r="I56" s="13">
        <v>136135.72199999989</v>
      </c>
      <c r="J56" s="13">
        <v>2801.6479999999997</v>
      </c>
      <c r="K56" s="13"/>
      <c r="L56" s="16">
        <v>140108.28199999989</v>
      </c>
      <c r="N56" s="5">
        <v>2005</v>
      </c>
      <c r="O56" s="4" t="s">
        <v>6</v>
      </c>
      <c r="P56" s="6"/>
      <c r="Q56" s="6"/>
      <c r="R56" s="6"/>
      <c r="S56" s="6">
        <v>75.230999999999995</v>
      </c>
      <c r="T56" s="6">
        <v>11600.179000000002</v>
      </c>
      <c r="U56" s="6">
        <v>906.53700000000015</v>
      </c>
      <c r="V56" s="6"/>
      <c r="W56" s="16">
        <v>12581.947000000002</v>
      </c>
      <c r="Y56" s="19">
        <v>2004</v>
      </c>
      <c r="Z56" s="17" t="s">
        <v>9</v>
      </c>
      <c r="AA56" s="18">
        <v>96534.165999999983</v>
      </c>
      <c r="AB56" s="18">
        <v>100972.90199999994</v>
      </c>
      <c r="AC56" s="18">
        <v>8900.4009999999998</v>
      </c>
      <c r="AD56" s="18">
        <v>2658.1519999999996</v>
      </c>
      <c r="AE56" s="18">
        <v>4264.0300000000007</v>
      </c>
      <c r="AF56" s="18">
        <v>697.81999999999994</v>
      </c>
      <c r="AG56" s="18">
        <v>881.50800000000004</v>
      </c>
      <c r="AH56" s="18">
        <v>58.762999999999998</v>
      </c>
      <c r="AI56" s="18"/>
      <c r="AJ56" s="18">
        <v>214967.74199999994</v>
      </c>
    </row>
    <row r="57" spans="1:36" x14ac:dyDescent="0.25">
      <c r="A57" s="5">
        <v>2004</v>
      </c>
      <c r="B57" s="4" t="s">
        <v>10</v>
      </c>
      <c r="C57" s="13">
        <v>981.27799999999979</v>
      </c>
      <c r="D57" s="13">
        <v>81.655000000000001</v>
      </c>
      <c r="E57" s="13"/>
      <c r="F57" s="13"/>
      <c r="G57" s="13"/>
      <c r="H57" s="13"/>
      <c r="I57" s="13">
        <v>141436.74800000002</v>
      </c>
      <c r="J57" s="13">
        <v>3369.779</v>
      </c>
      <c r="K57" s="13"/>
      <c r="L57" s="16">
        <v>145869.46000000002</v>
      </c>
      <c r="N57" s="5">
        <v>2005</v>
      </c>
      <c r="O57" s="4" t="s">
        <v>7</v>
      </c>
      <c r="P57" s="6"/>
      <c r="Q57" s="6"/>
      <c r="R57" s="6"/>
      <c r="S57" s="6">
        <v>137.63200000000001</v>
      </c>
      <c r="T57" s="6">
        <v>10684.925000000003</v>
      </c>
      <c r="U57" s="6">
        <v>1656.4359999999999</v>
      </c>
      <c r="V57" s="6"/>
      <c r="W57" s="16">
        <v>12478.993000000002</v>
      </c>
      <c r="Y57" s="19">
        <v>2004</v>
      </c>
      <c r="Z57" s="17" t="s">
        <v>10</v>
      </c>
      <c r="AA57" s="18">
        <v>74633.462000000058</v>
      </c>
      <c r="AB57" s="18">
        <v>49174.060000000005</v>
      </c>
      <c r="AC57" s="18">
        <v>717.35700000000008</v>
      </c>
      <c r="AD57" s="18">
        <v>3278.8109999999997</v>
      </c>
      <c r="AE57" s="18">
        <v>4293.1730000000016</v>
      </c>
      <c r="AF57" s="18">
        <v>471.17700000000002</v>
      </c>
      <c r="AG57" s="18">
        <v>924.99500000000012</v>
      </c>
      <c r="AH57" s="18"/>
      <c r="AI57" s="18"/>
      <c r="AJ57" s="18">
        <v>133493.03500000006</v>
      </c>
    </row>
    <row r="58" spans="1:36" x14ac:dyDescent="0.25">
      <c r="A58" s="5">
        <v>2004</v>
      </c>
      <c r="B58" s="4" t="s">
        <v>11</v>
      </c>
      <c r="C58" s="13">
        <v>318.99399999999997</v>
      </c>
      <c r="D58" s="13">
        <v>38.259</v>
      </c>
      <c r="E58" s="13"/>
      <c r="F58" s="13"/>
      <c r="G58" s="13"/>
      <c r="H58" s="13"/>
      <c r="I58" s="13">
        <v>149751.66999999993</v>
      </c>
      <c r="J58" s="13">
        <v>4523.2860000000001</v>
      </c>
      <c r="K58" s="13"/>
      <c r="L58" s="16">
        <v>154632.20899999992</v>
      </c>
      <c r="N58" s="5">
        <v>2005</v>
      </c>
      <c r="O58" s="4" t="s">
        <v>8</v>
      </c>
      <c r="P58" s="6"/>
      <c r="Q58" s="6"/>
      <c r="R58" s="6"/>
      <c r="S58" s="6">
        <v>58.77</v>
      </c>
      <c r="T58" s="6">
        <v>3298.9319999999998</v>
      </c>
      <c r="U58" s="6"/>
      <c r="V58" s="6"/>
      <c r="W58" s="16">
        <v>3357.7019999999998</v>
      </c>
      <c r="Y58" s="19">
        <v>2004</v>
      </c>
      <c r="Z58" s="17" t="s">
        <v>11</v>
      </c>
      <c r="AA58" s="18">
        <v>21269.425999999996</v>
      </c>
      <c r="AB58" s="18">
        <v>28229.518999999986</v>
      </c>
      <c r="AC58" s="18">
        <v>1149.5419999999999</v>
      </c>
      <c r="AD58" s="18">
        <v>1212.049</v>
      </c>
      <c r="AE58" s="18">
        <v>1415.029</v>
      </c>
      <c r="AF58" s="18"/>
      <c r="AG58" s="18"/>
      <c r="AH58" s="18"/>
      <c r="AI58" s="18"/>
      <c r="AJ58" s="18">
        <v>53275.564999999981</v>
      </c>
    </row>
    <row r="59" spans="1:36" x14ac:dyDescent="0.25">
      <c r="A59" s="5">
        <v>2004</v>
      </c>
      <c r="B59" s="4" t="s">
        <v>12</v>
      </c>
      <c r="C59" s="13">
        <v>40.005999999999993</v>
      </c>
      <c r="D59" s="13">
        <v>14.611000000000001</v>
      </c>
      <c r="E59" s="13">
        <v>174.35999999999999</v>
      </c>
      <c r="F59" s="13"/>
      <c r="G59" s="13"/>
      <c r="H59" s="13"/>
      <c r="I59" s="13">
        <v>44974.555000000015</v>
      </c>
      <c r="J59" s="13">
        <v>1390.5329999999999</v>
      </c>
      <c r="K59" s="13"/>
      <c r="L59" s="16">
        <v>46594.065000000017</v>
      </c>
      <c r="N59" s="5">
        <v>2005</v>
      </c>
      <c r="O59" s="4" t="s">
        <v>9</v>
      </c>
      <c r="P59" s="6"/>
      <c r="Q59" s="6"/>
      <c r="R59" s="6"/>
      <c r="S59" s="6"/>
      <c r="T59" s="6">
        <v>793.03</v>
      </c>
      <c r="U59" s="6">
        <v>1824.2090000000001</v>
      </c>
      <c r="V59" s="6"/>
      <c r="W59" s="16">
        <v>2617.239</v>
      </c>
      <c r="Y59" s="19">
        <v>2004</v>
      </c>
      <c r="Z59" s="17" t="s">
        <v>12</v>
      </c>
      <c r="AA59" s="18">
        <v>20107.734999999993</v>
      </c>
      <c r="AB59" s="18">
        <v>57028.430000000066</v>
      </c>
      <c r="AC59" s="18">
        <v>15733.214000000002</v>
      </c>
      <c r="AD59" s="18">
        <v>262.58</v>
      </c>
      <c r="AE59" s="18">
        <v>293.67</v>
      </c>
      <c r="AF59" s="18"/>
      <c r="AG59" s="18">
        <v>111.89400000000001</v>
      </c>
      <c r="AH59" s="18"/>
      <c r="AI59" s="18"/>
      <c r="AJ59" s="18">
        <v>93537.523000000074</v>
      </c>
    </row>
    <row r="60" spans="1:36" x14ac:dyDescent="0.25">
      <c r="A60" s="5">
        <v>2004</v>
      </c>
      <c r="B60" s="4" t="s">
        <v>13</v>
      </c>
      <c r="C60" s="13">
        <v>292.995</v>
      </c>
      <c r="D60" s="13">
        <v>546.82199999999989</v>
      </c>
      <c r="E60" s="13">
        <v>205.84</v>
      </c>
      <c r="F60" s="13"/>
      <c r="G60" s="13"/>
      <c r="H60" s="13"/>
      <c r="I60" s="13">
        <v>12649.603999999999</v>
      </c>
      <c r="J60" s="13">
        <v>12.5</v>
      </c>
      <c r="K60" s="13"/>
      <c r="L60" s="16">
        <v>13707.760999999999</v>
      </c>
      <c r="N60" s="5">
        <v>2005</v>
      </c>
      <c r="O60" s="4" t="s">
        <v>10</v>
      </c>
      <c r="P60" s="6"/>
      <c r="Q60" s="6"/>
      <c r="R60" s="6"/>
      <c r="S60" s="6"/>
      <c r="T60" s="6">
        <v>726.89699999999993</v>
      </c>
      <c r="U60" s="6">
        <v>1053.5039999999999</v>
      </c>
      <c r="V60" s="6"/>
      <c r="W60" s="16">
        <v>1780.4009999999998</v>
      </c>
      <c r="Y60" s="19">
        <v>2004</v>
      </c>
      <c r="Z60" s="17" t="s">
        <v>13</v>
      </c>
      <c r="AA60" s="18">
        <v>29491.916000000005</v>
      </c>
      <c r="AB60" s="18">
        <v>110854.28500000008</v>
      </c>
      <c r="AC60" s="18">
        <v>23505.599999999988</v>
      </c>
      <c r="AD60" s="18"/>
      <c r="AE60" s="18"/>
      <c r="AF60" s="18"/>
      <c r="AG60" s="18">
        <v>7563.31</v>
      </c>
      <c r="AH60" s="18">
        <v>2814.2449999999994</v>
      </c>
      <c r="AI60" s="18"/>
      <c r="AJ60" s="18">
        <v>174229.35600000006</v>
      </c>
    </row>
    <row r="61" spans="1:36" x14ac:dyDescent="0.25">
      <c r="A61" s="5">
        <v>2004</v>
      </c>
      <c r="B61" s="4" t="s">
        <v>14</v>
      </c>
      <c r="C61" s="13">
        <v>1332.876</v>
      </c>
      <c r="D61" s="13">
        <v>16831.30100000001</v>
      </c>
      <c r="E61" s="13">
        <v>2527.9510000000009</v>
      </c>
      <c r="F61" s="13"/>
      <c r="G61" s="13"/>
      <c r="H61" s="13"/>
      <c r="I61" s="13">
        <v>12160.441999999997</v>
      </c>
      <c r="J61" s="13">
        <v>454.911</v>
      </c>
      <c r="K61" s="13">
        <v>68.465000000000003</v>
      </c>
      <c r="L61" s="16">
        <v>33375.946000000004</v>
      </c>
      <c r="N61" s="5">
        <v>2005</v>
      </c>
      <c r="O61" s="4" t="s">
        <v>12</v>
      </c>
      <c r="P61" s="6"/>
      <c r="Q61" s="6"/>
      <c r="R61" s="6"/>
      <c r="S61" s="6"/>
      <c r="T61" s="6">
        <v>2691.7890000000002</v>
      </c>
      <c r="U61" s="6">
        <v>1875.6989999999998</v>
      </c>
      <c r="V61" s="6"/>
      <c r="W61" s="16">
        <v>4567.4880000000003</v>
      </c>
      <c r="Y61" s="19">
        <v>2004</v>
      </c>
      <c r="Z61" s="17" t="s">
        <v>14</v>
      </c>
      <c r="AA61" s="18">
        <v>4445.7439999999988</v>
      </c>
      <c r="AB61" s="18">
        <v>21921.231999999996</v>
      </c>
      <c r="AC61" s="18">
        <v>8935.43</v>
      </c>
      <c r="AD61" s="18"/>
      <c r="AE61" s="18">
        <v>88.784999999999997</v>
      </c>
      <c r="AF61" s="18"/>
      <c r="AG61" s="18">
        <v>6570.3609999999999</v>
      </c>
      <c r="AH61" s="18">
        <v>603.15300000000002</v>
      </c>
      <c r="AI61" s="18">
        <v>139.70400000000001</v>
      </c>
      <c r="AJ61" s="18">
        <v>42704.408999999992</v>
      </c>
    </row>
    <row r="62" spans="1:36" x14ac:dyDescent="0.25">
      <c r="A62" s="5">
        <v>2004</v>
      </c>
      <c r="B62" s="4" t="s">
        <v>15</v>
      </c>
      <c r="C62" s="13">
        <v>1.282</v>
      </c>
      <c r="D62" s="13">
        <v>5758.9479999999994</v>
      </c>
      <c r="E62" s="13">
        <v>9678.8880000000045</v>
      </c>
      <c r="F62" s="13"/>
      <c r="G62" s="13">
        <v>2.4140000000000001</v>
      </c>
      <c r="H62" s="13"/>
      <c r="I62" s="13">
        <v>89646.638000000006</v>
      </c>
      <c r="J62" s="13"/>
      <c r="K62" s="13"/>
      <c r="L62" s="16">
        <v>105088.17000000001</v>
      </c>
      <c r="N62" s="5">
        <v>2005</v>
      </c>
      <c r="O62" s="4" t="s">
        <v>13</v>
      </c>
      <c r="P62" s="6"/>
      <c r="Q62" s="6"/>
      <c r="R62" s="6"/>
      <c r="S62" s="6"/>
      <c r="T62" s="6">
        <v>10125.027999999998</v>
      </c>
      <c r="U62" s="6">
        <v>4963.5779999999995</v>
      </c>
      <c r="V62" s="6"/>
      <c r="W62" s="16">
        <v>15088.605999999998</v>
      </c>
      <c r="Y62" s="19">
        <v>2004</v>
      </c>
      <c r="Z62" s="17" t="s">
        <v>15</v>
      </c>
      <c r="AA62" s="18">
        <v>12785.029999999993</v>
      </c>
      <c r="AB62" s="18">
        <v>50474.270999999972</v>
      </c>
      <c r="AC62" s="18">
        <v>10778.735999999997</v>
      </c>
      <c r="AD62" s="18">
        <v>145.30500000000001</v>
      </c>
      <c r="AE62" s="18">
        <v>684.48099999999999</v>
      </c>
      <c r="AF62" s="18"/>
      <c r="AG62" s="18">
        <v>2230.942</v>
      </c>
      <c r="AH62" s="18"/>
      <c r="AI62" s="18"/>
      <c r="AJ62" s="18">
        <v>77098.764999999941</v>
      </c>
    </row>
    <row r="63" spans="1:36" x14ac:dyDescent="0.25">
      <c r="A63" s="5">
        <v>2005</v>
      </c>
      <c r="B63" s="4" t="s">
        <v>4</v>
      </c>
      <c r="C63" s="13">
        <v>160.78199999999995</v>
      </c>
      <c r="D63" s="13">
        <v>55.636999999999986</v>
      </c>
      <c r="E63" s="13"/>
      <c r="F63" s="13"/>
      <c r="G63" s="13">
        <v>46.445</v>
      </c>
      <c r="H63" s="13">
        <v>88.176000000000002</v>
      </c>
      <c r="I63" s="13">
        <v>129169.859</v>
      </c>
      <c r="J63" s="13"/>
      <c r="K63" s="13"/>
      <c r="L63" s="16">
        <v>129520.89899999999</v>
      </c>
      <c r="N63" s="5">
        <v>2005</v>
      </c>
      <c r="O63" s="4" t="s">
        <v>14</v>
      </c>
      <c r="P63" s="6"/>
      <c r="Q63" s="6"/>
      <c r="R63" s="6"/>
      <c r="S63" s="6"/>
      <c r="T63" s="6">
        <v>1708.586</v>
      </c>
      <c r="U63" s="6">
        <v>864.46399999999994</v>
      </c>
      <c r="V63" s="6"/>
      <c r="W63" s="16">
        <v>2573.0500000000002</v>
      </c>
      <c r="Y63" s="19">
        <v>2005</v>
      </c>
      <c r="Z63" s="17" t="s">
        <v>4</v>
      </c>
      <c r="AA63" s="18">
        <v>32827.701000000001</v>
      </c>
      <c r="AB63" s="18">
        <v>20466.659000000003</v>
      </c>
      <c r="AC63" s="18">
        <v>271.04399999999998</v>
      </c>
      <c r="AD63" s="18"/>
      <c r="AE63" s="18">
        <v>305.13</v>
      </c>
      <c r="AF63" s="18"/>
      <c r="AG63" s="18"/>
      <c r="AH63" s="18"/>
      <c r="AI63" s="18"/>
      <c r="AJ63" s="18">
        <v>53870.534</v>
      </c>
    </row>
    <row r="64" spans="1:36" x14ac:dyDescent="0.25">
      <c r="A64" s="5">
        <v>2005</v>
      </c>
      <c r="B64" s="4" t="s">
        <v>5</v>
      </c>
      <c r="C64" s="13">
        <v>21.895</v>
      </c>
      <c r="D64" s="13">
        <v>602.28099999999995</v>
      </c>
      <c r="E64" s="13">
        <v>1775.6380000000001</v>
      </c>
      <c r="F64" s="13"/>
      <c r="G64" s="13">
        <v>94.45</v>
      </c>
      <c r="H64" s="13"/>
      <c r="I64" s="13">
        <v>106193.501</v>
      </c>
      <c r="J64" s="13"/>
      <c r="K64" s="13"/>
      <c r="L64" s="16">
        <v>108687.765</v>
      </c>
      <c r="N64" s="5">
        <v>2005</v>
      </c>
      <c r="O64" s="4" t="s">
        <v>15</v>
      </c>
      <c r="P64" s="6"/>
      <c r="Q64" s="6"/>
      <c r="R64" s="6"/>
      <c r="S64" s="6"/>
      <c r="T64" s="6">
        <v>507.11599999999999</v>
      </c>
      <c r="U64" s="6"/>
      <c r="V64" s="6"/>
      <c r="W64" s="16">
        <v>507.11599999999999</v>
      </c>
      <c r="Y64" s="19">
        <v>2005</v>
      </c>
      <c r="Z64" s="17" t="s">
        <v>5</v>
      </c>
      <c r="AA64" s="18">
        <v>2835.2</v>
      </c>
      <c r="AB64" s="18">
        <v>17336.018999999993</v>
      </c>
      <c r="AC64" s="18">
        <v>1849.5790000000004</v>
      </c>
      <c r="AD64" s="18"/>
      <c r="AE64" s="18">
        <v>186.08</v>
      </c>
      <c r="AF64" s="18"/>
      <c r="AG64" s="18">
        <v>12767.125999999998</v>
      </c>
      <c r="AH64" s="18">
        <v>444.07099999999991</v>
      </c>
      <c r="AI64" s="18"/>
      <c r="AJ64" s="18">
        <v>35418.074999999997</v>
      </c>
    </row>
    <row r="65" spans="1:36" x14ac:dyDescent="0.25">
      <c r="A65" s="5">
        <v>2005</v>
      </c>
      <c r="B65" s="4" t="s">
        <v>6</v>
      </c>
      <c r="C65" s="13">
        <v>1426.972</v>
      </c>
      <c r="D65" s="13">
        <v>23192.589</v>
      </c>
      <c r="E65" s="13">
        <v>18435.591000000008</v>
      </c>
      <c r="F65" s="13"/>
      <c r="G65" s="13">
        <v>130.37</v>
      </c>
      <c r="H65" s="13"/>
      <c r="I65" s="13">
        <v>106365.56700000002</v>
      </c>
      <c r="J65" s="13"/>
      <c r="K65" s="13"/>
      <c r="L65" s="16">
        <v>149551.08900000004</v>
      </c>
      <c r="N65" s="5">
        <v>2006</v>
      </c>
      <c r="O65" s="4" t="s">
        <v>5</v>
      </c>
      <c r="P65" s="6"/>
      <c r="Q65" s="6"/>
      <c r="R65" s="6"/>
      <c r="S65" s="6"/>
      <c r="T65" s="6">
        <v>406.87</v>
      </c>
      <c r="U65" s="6"/>
      <c r="V65" s="6"/>
      <c r="W65" s="16">
        <v>406.87</v>
      </c>
      <c r="Y65" s="19">
        <v>2005</v>
      </c>
      <c r="Z65" s="17" t="s">
        <v>6</v>
      </c>
      <c r="AA65" s="18">
        <v>21663.982000000004</v>
      </c>
      <c r="AB65" s="18">
        <v>65195.648000000023</v>
      </c>
      <c r="AC65" s="18">
        <v>8895.4050000000061</v>
      </c>
      <c r="AD65" s="18"/>
      <c r="AE65" s="18">
        <v>1612.539</v>
      </c>
      <c r="AF65" s="18">
        <v>1250.212</v>
      </c>
      <c r="AG65" s="18">
        <v>37575.16899999998</v>
      </c>
      <c r="AH65" s="18">
        <v>379.26299999999998</v>
      </c>
      <c r="AI65" s="18"/>
      <c r="AJ65" s="18">
        <v>136572.21800000002</v>
      </c>
    </row>
    <row r="66" spans="1:36" x14ac:dyDescent="0.25">
      <c r="A66" s="5">
        <v>2005</v>
      </c>
      <c r="B66" s="4" t="s">
        <v>7</v>
      </c>
      <c r="C66" s="13">
        <v>2550.7850000000003</v>
      </c>
      <c r="D66" s="13">
        <v>18187.035000000025</v>
      </c>
      <c r="E66" s="13">
        <v>6201.8909999999978</v>
      </c>
      <c r="F66" s="13"/>
      <c r="G66" s="13"/>
      <c r="H66" s="13"/>
      <c r="I66" s="13">
        <v>155946.38299999986</v>
      </c>
      <c r="J66" s="13">
        <v>1746.5030000000002</v>
      </c>
      <c r="K66" s="13"/>
      <c r="L66" s="16">
        <v>184632.59699999986</v>
      </c>
      <c r="N66" s="5">
        <v>2006</v>
      </c>
      <c r="O66" s="4" t="s">
        <v>6</v>
      </c>
      <c r="P66" s="6"/>
      <c r="Q66" s="6"/>
      <c r="R66" s="6"/>
      <c r="S66" s="6">
        <v>1018.2269999999999</v>
      </c>
      <c r="T66" s="6">
        <v>8996.4009999999998</v>
      </c>
      <c r="U66" s="6"/>
      <c r="V66" s="6"/>
      <c r="W66" s="16">
        <v>10014.628000000001</v>
      </c>
      <c r="Y66" s="19">
        <v>2005</v>
      </c>
      <c r="Z66" s="17" t="s">
        <v>7</v>
      </c>
      <c r="AA66" s="18">
        <v>12159.619000000006</v>
      </c>
      <c r="AB66" s="18">
        <v>106242.95500000003</v>
      </c>
      <c r="AC66" s="18">
        <v>29083.633999999998</v>
      </c>
      <c r="AD66" s="18"/>
      <c r="AE66" s="18">
        <v>1826.3510000000003</v>
      </c>
      <c r="AF66" s="18">
        <v>3533.9649999999992</v>
      </c>
      <c r="AG66" s="18">
        <v>37374.590000000004</v>
      </c>
      <c r="AH66" s="18">
        <v>1059.8430000000001</v>
      </c>
      <c r="AI66" s="18"/>
      <c r="AJ66" s="18">
        <v>191280.95700000002</v>
      </c>
    </row>
    <row r="67" spans="1:36" x14ac:dyDescent="0.25">
      <c r="A67" s="5">
        <v>2005</v>
      </c>
      <c r="B67" s="4" t="s">
        <v>8</v>
      </c>
      <c r="C67" s="13">
        <v>2286.8670000000002</v>
      </c>
      <c r="D67" s="13">
        <v>19838.65800000001</v>
      </c>
      <c r="E67" s="13">
        <v>3951.9540000000011</v>
      </c>
      <c r="F67" s="13"/>
      <c r="G67" s="13"/>
      <c r="H67" s="13"/>
      <c r="I67" s="13">
        <v>137832.52899999998</v>
      </c>
      <c r="J67" s="13">
        <v>6699.0950000000012</v>
      </c>
      <c r="K67" s="13"/>
      <c r="L67" s="16">
        <v>170609.103</v>
      </c>
      <c r="N67" s="5">
        <v>2006</v>
      </c>
      <c r="O67" s="4" t="s">
        <v>7</v>
      </c>
      <c r="P67" s="6"/>
      <c r="Q67" s="6"/>
      <c r="R67" s="6"/>
      <c r="S67" s="6">
        <v>602.88199999999995</v>
      </c>
      <c r="T67" s="6">
        <v>8544.5969999999998</v>
      </c>
      <c r="U67" s="6"/>
      <c r="V67" s="6"/>
      <c r="W67" s="16">
        <v>9147.4789999999994</v>
      </c>
      <c r="Y67" s="19">
        <v>2005</v>
      </c>
      <c r="Z67" s="17" t="s">
        <v>8</v>
      </c>
      <c r="AA67" s="18">
        <v>18218.092000000015</v>
      </c>
      <c r="AB67" s="18">
        <v>31222.76400000001</v>
      </c>
      <c r="AC67" s="18">
        <v>8637.6349999999966</v>
      </c>
      <c r="AD67" s="18"/>
      <c r="AE67" s="18">
        <v>1466.7980000000002</v>
      </c>
      <c r="AF67" s="18">
        <v>2005.385</v>
      </c>
      <c r="AG67" s="18">
        <v>16071.111999999999</v>
      </c>
      <c r="AH67" s="18"/>
      <c r="AI67" s="18"/>
      <c r="AJ67" s="18">
        <v>77621.786000000022</v>
      </c>
    </row>
    <row r="68" spans="1:36" x14ac:dyDescent="0.25">
      <c r="A68" s="5">
        <v>2005</v>
      </c>
      <c r="B68" s="4" t="s">
        <v>9</v>
      </c>
      <c r="C68" s="13">
        <v>5173.9759999999987</v>
      </c>
      <c r="D68" s="13">
        <v>12166.242999999989</v>
      </c>
      <c r="E68" s="13">
        <v>485.12200000000001</v>
      </c>
      <c r="F68" s="13"/>
      <c r="G68" s="13"/>
      <c r="H68" s="13"/>
      <c r="I68" s="13">
        <v>185702.44400000011</v>
      </c>
      <c r="J68" s="13">
        <v>4363.0709999999999</v>
      </c>
      <c r="K68" s="13"/>
      <c r="L68" s="16">
        <v>207890.85600000009</v>
      </c>
      <c r="N68" s="5">
        <v>2006</v>
      </c>
      <c r="O68" s="4" t="s">
        <v>8</v>
      </c>
      <c r="P68" s="6"/>
      <c r="Q68" s="6"/>
      <c r="R68" s="6"/>
      <c r="S68" s="6">
        <v>51.929000000000002</v>
      </c>
      <c r="T68" s="6">
        <v>7520.7980000000025</v>
      </c>
      <c r="U68" s="6">
        <v>194.86600000000001</v>
      </c>
      <c r="V68" s="6"/>
      <c r="W68" s="16">
        <v>7767.5930000000026</v>
      </c>
      <c r="Y68" s="19">
        <v>2005</v>
      </c>
      <c r="Z68" s="17" t="s">
        <v>9</v>
      </c>
      <c r="AA68" s="18">
        <v>22974.767999999996</v>
      </c>
      <c r="AB68" s="18">
        <v>23428.553999999986</v>
      </c>
      <c r="AC68" s="18">
        <v>570.19399999999996</v>
      </c>
      <c r="AD68" s="18"/>
      <c r="AE68" s="18">
        <v>3740.2660000000001</v>
      </c>
      <c r="AF68" s="18"/>
      <c r="AG68" s="18">
        <v>8251.509</v>
      </c>
      <c r="AH68" s="18">
        <v>705.78500000000008</v>
      </c>
      <c r="AI68" s="18"/>
      <c r="AJ68" s="18">
        <v>59671.075999999994</v>
      </c>
    </row>
    <row r="69" spans="1:36" x14ac:dyDescent="0.25">
      <c r="A69" s="5">
        <v>2005</v>
      </c>
      <c r="B69" s="4" t="s">
        <v>10</v>
      </c>
      <c r="C69" s="13">
        <v>8976.4489999999969</v>
      </c>
      <c r="D69" s="13">
        <v>3760.1950000000015</v>
      </c>
      <c r="E69" s="13">
        <v>0.50700000000000001</v>
      </c>
      <c r="F69" s="13"/>
      <c r="G69" s="13">
        <v>8.3060000000000009</v>
      </c>
      <c r="H69" s="13"/>
      <c r="I69" s="13">
        <v>192877.99799999982</v>
      </c>
      <c r="J69" s="13">
        <v>3237.502</v>
      </c>
      <c r="K69" s="13"/>
      <c r="L69" s="16">
        <v>208860.95699999982</v>
      </c>
      <c r="N69" s="5">
        <v>2006</v>
      </c>
      <c r="O69" s="4" t="s">
        <v>9</v>
      </c>
      <c r="P69" s="6"/>
      <c r="Q69" s="6"/>
      <c r="R69" s="6">
        <v>16.91</v>
      </c>
      <c r="S69" s="6">
        <v>98.361999999999995</v>
      </c>
      <c r="T69" s="6">
        <v>4456.2130000000016</v>
      </c>
      <c r="U69" s="6"/>
      <c r="V69" s="6"/>
      <c r="W69" s="16">
        <v>4571.4850000000015</v>
      </c>
      <c r="Y69" s="19">
        <v>2005</v>
      </c>
      <c r="Z69" s="17" t="s">
        <v>10</v>
      </c>
      <c r="AA69" s="18">
        <v>25725.111999999983</v>
      </c>
      <c r="AB69" s="18">
        <v>31945.188000000002</v>
      </c>
      <c r="AC69" s="18">
        <v>16.632999999999999</v>
      </c>
      <c r="AD69" s="18"/>
      <c r="AE69" s="18">
        <v>1342.3829999999998</v>
      </c>
      <c r="AF69" s="18"/>
      <c r="AG69" s="18">
        <v>2746.9879999999998</v>
      </c>
      <c r="AH69" s="18">
        <v>696.096</v>
      </c>
      <c r="AI69" s="18"/>
      <c r="AJ69" s="18">
        <v>62472.399999999987</v>
      </c>
    </row>
    <row r="70" spans="1:36" x14ac:dyDescent="0.25">
      <c r="A70" s="5">
        <v>2005</v>
      </c>
      <c r="B70" s="4" t="s">
        <v>11</v>
      </c>
      <c r="C70" s="13">
        <v>189.72099999999998</v>
      </c>
      <c r="D70" s="13">
        <v>3155.1369999999997</v>
      </c>
      <c r="E70" s="13">
        <v>16.640999999999998</v>
      </c>
      <c r="F70" s="13"/>
      <c r="G70" s="13"/>
      <c r="H70" s="13"/>
      <c r="I70" s="13">
        <v>103424.67400000006</v>
      </c>
      <c r="J70" s="13"/>
      <c r="K70" s="13"/>
      <c r="L70" s="16">
        <v>106786.17300000005</v>
      </c>
      <c r="N70" s="5">
        <v>2006</v>
      </c>
      <c r="O70" s="4" t="s">
        <v>10</v>
      </c>
      <c r="P70" s="6"/>
      <c r="Q70" s="6"/>
      <c r="R70" s="6"/>
      <c r="S70" s="6"/>
      <c r="T70" s="6">
        <v>1171.847</v>
      </c>
      <c r="U70" s="6"/>
      <c r="V70" s="6"/>
      <c r="W70" s="16">
        <v>1171.847</v>
      </c>
      <c r="Y70" s="19">
        <v>2005</v>
      </c>
      <c r="Z70" s="17" t="s">
        <v>11</v>
      </c>
      <c r="AA70" s="18">
        <v>3036.5509999999999</v>
      </c>
      <c r="AB70" s="18">
        <v>12646.057999999995</v>
      </c>
      <c r="AC70" s="18">
        <v>18.315000000000001</v>
      </c>
      <c r="AD70" s="18"/>
      <c r="AE70" s="18">
        <v>369.81399999999996</v>
      </c>
      <c r="AF70" s="18"/>
      <c r="AG70" s="18"/>
      <c r="AH70" s="18"/>
      <c r="AI70" s="18"/>
      <c r="AJ70" s="18">
        <v>16070.737999999996</v>
      </c>
    </row>
    <row r="71" spans="1:36" x14ac:dyDescent="0.25">
      <c r="A71" s="5">
        <v>2005</v>
      </c>
      <c r="B71" s="4" t="s">
        <v>12</v>
      </c>
      <c r="C71" s="13"/>
      <c r="D71" s="13">
        <v>1032.1360000000002</v>
      </c>
      <c r="E71" s="13">
        <v>128.583</v>
      </c>
      <c r="F71" s="13"/>
      <c r="G71" s="13"/>
      <c r="H71" s="13"/>
      <c r="I71" s="13">
        <v>14408.304000000004</v>
      </c>
      <c r="J71" s="13"/>
      <c r="K71" s="13"/>
      <c r="L71" s="16">
        <v>15569.023000000005</v>
      </c>
      <c r="N71" s="5">
        <v>2006</v>
      </c>
      <c r="O71" s="4" t="s">
        <v>11</v>
      </c>
      <c r="P71" s="6"/>
      <c r="Q71" s="6"/>
      <c r="R71" s="6"/>
      <c r="S71" s="6"/>
      <c r="T71" s="6">
        <v>1044.248</v>
      </c>
      <c r="U71" s="6">
        <v>3122.8670000000006</v>
      </c>
      <c r="V71" s="6"/>
      <c r="W71" s="16">
        <v>4167.1150000000007</v>
      </c>
      <c r="Y71" s="19">
        <v>2005</v>
      </c>
      <c r="Z71" s="17" t="s">
        <v>12</v>
      </c>
      <c r="AA71" s="18">
        <v>311.28200000000004</v>
      </c>
      <c r="AB71" s="18">
        <v>52474.722999999991</v>
      </c>
      <c r="AC71" s="18">
        <v>10070.101999999999</v>
      </c>
      <c r="AD71" s="18"/>
      <c r="AE71" s="18"/>
      <c r="AF71" s="18"/>
      <c r="AG71" s="18">
        <v>8694.7209999999977</v>
      </c>
      <c r="AH71" s="18">
        <v>1976.1279999999999</v>
      </c>
      <c r="AI71" s="18"/>
      <c r="AJ71" s="18">
        <v>73526.955999999976</v>
      </c>
    </row>
    <row r="72" spans="1:36" x14ac:dyDescent="0.25">
      <c r="A72" s="5">
        <v>2005</v>
      </c>
      <c r="B72" s="4" t="s">
        <v>13</v>
      </c>
      <c r="C72" s="13">
        <v>63.533999999999985</v>
      </c>
      <c r="D72" s="13">
        <v>1686.2249999999997</v>
      </c>
      <c r="E72" s="13">
        <v>814.29899999999975</v>
      </c>
      <c r="F72" s="13"/>
      <c r="G72" s="13"/>
      <c r="H72" s="13"/>
      <c r="I72" s="13">
        <v>4940.4769999999999</v>
      </c>
      <c r="J72" s="13">
        <v>68.873999999999995</v>
      </c>
      <c r="K72" s="13"/>
      <c r="L72" s="16">
        <v>7573.4089999999987</v>
      </c>
      <c r="N72" s="5">
        <v>2006</v>
      </c>
      <c r="O72" s="4" t="s">
        <v>12</v>
      </c>
      <c r="P72" s="6"/>
      <c r="Q72" s="6"/>
      <c r="R72" s="6"/>
      <c r="S72" s="6"/>
      <c r="T72" s="6">
        <v>3523.4020000000005</v>
      </c>
      <c r="U72" s="6">
        <v>4198.5869999999995</v>
      </c>
      <c r="V72" s="6"/>
      <c r="W72" s="16">
        <v>7721.9889999999996</v>
      </c>
      <c r="Y72" s="19">
        <v>2005</v>
      </c>
      <c r="Z72" s="17" t="s">
        <v>13</v>
      </c>
      <c r="AA72" s="18">
        <v>26002.089999999997</v>
      </c>
      <c r="AB72" s="18">
        <v>75969.48000000001</v>
      </c>
      <c r="AC72" s="18">
        <v>40356.261000000006</v>
      </c>
      <c r="AD72" s="18"/>
      <c r="AE72" s="18"/>
      <c r="AF72" s="18"/>
      <c r="AG72" s="18">
        <v>17689.84</v>
      </c>
      <c r="AH72" s="18">
        <v>4644.0609999999997</v>
      </c>
      <c r="AI72" s="18"/>
      <c r="AJ72" s="18">
        <v>164661.73199999999</v>
      </c>
    </row>
    <row r="73" spans="1:36" x14ac:dyDescent="0.25">
      <c r="A73" s="5">
        <v>2005</v>
      </c>
      <c r="B73" s="4" t="s">
        <v>14</v>
      </c>
      <c r="C73" s="13">
        <v>74.370999999999995</v>
      </c>
      <c r="D73" s="13">
        <v>5841.3140000000003</v>
      </c>
      <c r="E73" s="13">
        <v>9028.8370000000014</v>
      </c>
      <c r="F73" s="13"/>
      <c r="G73" s="13"/>
      <c r="H73" s="13"/>
      <c r="I73" s="13">
        <v>2947.4900000000007</v>
      </c>
      <c r="J73" s="13"/>
      <c r="K73" s="13"/>
      <c r="L73" s="16">
        <v>17892.012000000002</v>
      </c>
      <c r="N73" s="5">
        <v>2006</v>
      </c>
      <c r="O73" s="4" t="s">
        <v>13</v>
      </c>
      <c r="P73" s="6"/>
      <c r="Q73" s="6"/>
      <c r="R73" s="6"/>
      <c r="S73" s="6"/>
      <c r="T73" s="6">
        <v>18080.081999999999</v>
      </c>
      <c r="U73" s="6">
        <v>2952.3130000000001</v>
      </c>
      <c r="V73" s="6"/>
      <c r="W73" s="16">
        <v>21032.394999999997</v>
      </c>
      <c r="Y73" s="19">
        <v>2005</v>
      </c>
      <c r="Z73" s="17" t="s">
        <v>14</v>
      </c>
      <c r="AA73" s="18">
        <v>7898.6849999999995</v>
      </c>
      <c r="AB73" s="18">
        <v>61822.007999999951</v>
      </c>
      <c r="AC73" s="18">
        <v>26597.842000000004</v>
      </c>
      <c r="AD73" s="18"/>
      <c r="AE73" s="18"/>
      <c r="AF73" s="18"/>
      <c r="AG73" s="18">
        <v>1638.818</v>
      </c>
      <c r="AH73" s="18">
        <v>1723.3360000000002</v>
      </c>
      <c r="AI73" s="18"/>
      <c r="AJ73" s="18">
        <v>99680.688999999955</v>
      </c>
    </row>
    <row r="74" spans="1:36" x14ac:dyDescent="0.25">
      <c r="A74" s="5">
        <v>2005</v>
      </c>
      <c r="B74" s="4" t="s">
        <v>15</v>
      </c>
      <c r="C74" s="13">
        <v>3705.9650000000029</v>
      </c>
      <c r="D74" s="13">
        <v>6671.2869999999975</v>
      </c>
      <c r="E74" s="13">
        <v>1207.0479999999998</v>
      </c>
      <c r="F74" s="13"/>
      <c r="G74" s="13">
        <v>32.594999999999999</v>
      </c>
      <c r="H74" s="13">
        <v>479.03899999999999</v>
      </c>
      <c r="I74" s="13">
        <v>93605.415999999954</v>
      </c>
      <c r="J74" s="13"/>
      <c r="K74" s="13"/>
      <c r="L74" s="16">
        <v>105701.34999999995</v>
      </c>
      <c r="N74" s="5">
        <v>2006</v>
      </c>
      <c r="O74" s="4" t="s">
        <v>14</v>
      </c>
      <c r="P74" s="6"/>
      <c r="Q74" s="6"/>
      <c r="R74" s="6"/>
      <c r="S74" s="6">
        <v>27.218</v>
      </c>
      <c r="T74" s="6">
        <v>13324.597000000002</v>
      </c>
      <c r="U74" s="6">
        <v>1209.3500000000001</v>
      </c>
      <c r="V74" s="6"/>
      <c r="W74" s="16">
        <v>14561.165000000003</v>
      </c>
      <c r="Y74" s="19">
        <v>2005</v>
      </c>
      <c r="Z74" s="17" t="s">
        <v>15</v>
      </c>
      <c r="AA74" s="18">
        <v>20158.44300000001</v>
      </c>
      <c r="AB74" s="18">
        <v>78198.059000000008</v>
      </c>
      <c r="AC74" s="18">
        <v>6944.603000000001</v>
      </c>
      <c r="AD74" s="18"/>
      <c r="AE74" s="18">
        <v>89.68</v>
      </c>
      <c r="AF74" s="18"/>
      <c r="AG74" s="18">
        <v>601.29899999999998</v>
      </c>
      <c r="AH74" s="18"/>
      <c r="AI74" s="18"/>
      <c r="AJ74" s="18">
        <v>105992.08400000002</v>
      </c>
    </row>
    <row r="75" spans="1:36" x14ac:dyDescent="0.25">
      <c r="A75" s="5">
        <v>2006</v>
      </c>
      <c r="B75" s="4" t="s">
        <v>4</v>
      </c>
      <c r="C75" s="13">
        <v>4159.0199999999977</v>
      </c>
      <c r="D75" s="13">
        <v>10829.545000000006</v>
      </c>
      <c r="E75" s="13">
        <v>346.33200000000011</v>
      </c>
      <c r="F75" s="13"/>
      <c r="G75" s="13">
        <v>342.952</v>
      </c>
      <c r="H75" s="13"/>
      <c r="I75" s="13">
        <v>100350.16900000004</v>
      </c>
      <c r="J75" s="13">
        <v>84.79</v>
      </c>
      <c r="K75" s="13"/>
      <c r="L75" s="16">
        <v>116112.80800000003</v>
      </c>
      <c r="N75" s="5">
        <v>2006</v>
      </c>
      <c r="O75" s="4" t="s">
        <v>15</v>
      </c>
      <c r="P75" s="6"/>
      <c r="Q75" s="6"/>
      <c r="R75" s="6"/>
      <c r="S75" s="6"/>
      <c r="T75" s="6">
        <v>3195.5329999999999</v>
      </c>
      <c r="U75" s="6"/>
      <c r="V75" s="6"/>
      <c r="W75" s="16">
        <v>3195.5329999999999</v>
      </c>
      <c r="Y75" s="19">
        <v>2006</v>
      </c>
      <c r="Z75" s="17" t="s">
        <v>4</v>
      </c>
      <c r="AA75" s="18">
        <v>3461.2729999999997</v>
      </c>
      <c r="AB75" s="18">
        <v>23940.342000000008</v>
      </c>
      <c r="AC75" s="18">
        <v>1500.3879999999997</v>
      </c>
      <c r="AD75" s="18"/>
      <c r="AE75" s="18">
        <v>20.16</v>
      </c>
      <c r="AF75" s="18"/>
      <c r="AG75" s="18"/>
      <c r="AH75" s="18"/>
      <c r="AI75" s="18"/>
      <c r="AJ75" s="18">
        <v>28922.163000000008</v>
      </c>
    </row>
    <row r="76" spans="1:36" x14ac:dyDescent="0.25">
      <c r="A76" s="5">
        <v>2006</v>
      </c>
      <c r="B76" s="4" t="s">
        <v>5</v>
      </c>
      <c r="C76" s="13">
        <v>3198.7500000000018</v>
      </c>
      <c r="D76" s="13">
        <v>19535.92199999998</v>
      </c>
      <c r="E76" s="13">
        <v>3109.049</v>
      </c>
      <c r="F76" s="13"/>
      <c r="G76" s="13">
        <v>2699.2359999999999</v>
      </c>
      <c r="H76" s="13"/>
      <c r="I76" s="13">
        <v>74163.222999999925</v>
      </c>
      <c r="J76" s="13">
        <v>132.19999999999999</v>
      </c>
      <c r="K76" s="13"/>
      <c r="L76" s="16">
        <v>102838.3799999999</v>
      </c>
      <c r="N76" s="5">
        <v>2007</v>
      </c>
      <c r="O76" s="4" t="s">
        <v>5</v>
      </c>
      <c r="P76" s="6"/>
      <c r="Q76" s="6"/>
      <c r="R76" s="6"/>
      <c r="S76" s="6"/>
      <c r="T76" s="6">
        <v>577.44499999999994</v>
      </c>
      <c r="U76" s="6"/>
      <c r="V76" s="6"/>
      <c r="W76" s="16">
        <v>577.44499999999994</v>
      </c>
      <c r="Y76" s="19">
        <v>2006</v>
      </c>
      <c r="Z76" s="17" t="s">
        <v>5</v>
      </c>
      <c r="AA76" s="18">
        <v>474.51699999999994</v>
      </c>
      <c r="AB76" s="18">
        <v>27924.861999999979</v>
      </c>
      <c r="AC76" s="18">
        <v>8751.7309999999979</v>
      </c>
      <c r="AD76" s="18"/>
      <c r="AE76" s="18"/>
      <c r="AF76" s="18"/>
      <c r="AG76" s="18">
        <v>475.67400000000004</v>
      </c>
      <c r="AH76" s="18"/>
      <c r="AI76" s="18"/>
      <c r="AJ76" s="18">
        <v>37626.783999999978</v>
      </c>
    </row>
    <row r="77" spans="1:36" x14ac:dyDescent="0.25">
      <c r="A77" s="5">
        <v>2006</v>
      </c>
      <c r="B77" s="4" t="s">
        <v>6</v>
      </c>
      <c r="C77" s="13">
        <v>941.62200000000007</v>
      </c>
      <c r="D77" s="13">
        <v>25585.608000000011</v>
      </c>
      <c r="E77" s="13">
        <v>3901.1699999999983</v>
      </c>
      <c r="F77" s="13"/>
      <c r="G77" s="13">
        <v>320.024</v>
      </c>
      <c r="H77" s="13"/>
      <c r="I77" s="13">
        <v>95438.438000000038</v>
      </c>
      <c r="J77" s="13"/>
      <c r="K77" s="13"/>
      <c r="L77" s="16">
        <v>126186.86200000005</v>
      </c>
      <c r="N77" s="5">
        <v>2007</v>
      </c>
      <c r="O77" s="4" t="s">
        <v>6</v>
      </c>
      <c r="P77" s="6"/>
      <c r="Q77" s="6"/>
      <c r="R77" s="6"/>
      <c r="S77" s="6"/>
      <c r="T77" s="6">
        <v>24159.800999999996</v>
      </c>
      <c r="U77" s="6">
        <v>661.88900000000001</v>
      </c>
      <c r="V77" s="6"/>
      <c r="W77" s="16">
        <v>24821.689999999995</v>
      </c>
      <c r="Y77" s="19">
        <v>2006</v>
      </c>
      <c r="Z77" s="17" t="s">
        <v>6</v>
      </c>
      <c r="AA77" s="18">
        <v>813.86099999999988</v>
      </c>
      <c r="AB77" s="18">
        <v>49101.537000000018</v>
      </c>
      <c r="AC77" s="18">
        <v>3940.5500000000006</v>
      </c>
      <c r="AD77" s="18"/>
      <c r="AE77" s="18"/>
      <c r="AF77" s="18">
        <v>2802.1639999999998</v>
      </c>
      <c r="AG77" s="18">
        <v>16272.297999999993</v>
      </c>
      <c r="AH77" s="18"/>
      <c r="AI77" s="18"/>
      <c r="AJ77" s="18">
        <v>72930.41</v>
      </c>
    </row>
    <row r="78" spans="1:36" x14ac:dyDescent="0.25">
      <c r="A78" s="5">
        <v>2006</v>
      </c>
      <c r="B78" s="4" t="s">
        <v>7</v>
      </c>
      <c r="C78" s="13">
        <v>790.31799999999998</v>
      </c>
      <c r="D78" s="13">
        <v>5189.4990000000007</v>
      </c>
      <c r="E78" s="13">
        <v>3960.0750000000007</v>
      </c>
      <c r="F78" s="13"/>
      <c r="G78" s="13">
        <v>0.39200000000000002</v>
      </c>
      <c r="H78" s="13"/>
      <c r="I78" s="13">
        <v>114042.40700000015</v>
      </c>
      <c r="J78" s="13">
        <v>3925.3040000000001</v>
      </c>
      <c r="K78" s="13"/>
      <c r="L78" s="16">
        <v>127907.99500000016</v>
      </c>
      <c r="N78" s="5">
        <v>2007</v>
      </c>
      <c r="O78" s="4" t="s">
        <v>7</v>
      </c>
      <c r="P78" s="6"/>
      <c r="Q78" s="6"/>
      <c r="R78" s="6"/>
      <c r="S78" s="6">
        <v>342.798</v>
      </c>
      <c r="T78" s="6">
        <v>14279.644999999999</v>
      </c>
      <c r="U78" s="6">
        <v>2208.1989999999996</v>
      </c>
      <c r="V78" s="6"/>
      <c r="W78" s="16">
        <v>16830.642</v>
      </c>
      <c r="Y78" s="19">
        <v>2006</v>
      </c>
      <c r="Z78" s="17" t="s">
        <v>7</v>
      </c>
      <c r="AA78" s="18">
        <v>6807.8679999999995</v>
      </c>
      <c r="AB78" s="18">
        <v>25189.945999999974</v>
      </c>
      <c r="AC78" s="18">
        <v>16903.978000000003</v>
      </c>
      <c r="AD78" s="18"/>
      <c r="AE78" s="18">
        <v>851.24900000000014</v>
      </c>
      <c r="AF78" s="18">
        <v>1719.27</v>
      </c>
      <c r="AG78" s="18">
        <v>42118.525000000001</v>
      </c>
      <c r="AH78" s="18"/>
      <c r="AI78" s="18"/>
      <c r="AJ78" s="18">
        <v>93590.835999999981</v>
      </c>
    </row>
    <row r="79" spans="1:36" x14ac:dyDescent="0.25">
      <c r="A79" s="5">
        <v>2006</v>
      </c>
      <c r="B79" s="4" t="s">
        <v>8</v>
      </c>
      <c r="C79" s="13">
        <v>14473.858999999993</v>
      </c>
      <c r="D79" s="13">
        <v>12048.525</v>
      </c>
      <c r="E79" s="13">
        <v>1984.2179999999996</v>
      </c>
      <c r="F79" s="13"/>
      <c r="G79" s="13"/>
      <c r="H79" s="13"/>
      <c r="I79" s="13">
        <v>201561.73899999983</v>
      </c>
      <c r="J79" s="13">
        <v>8109.6280000000006</v>
      </c>
      <c r="K79" s="13"/>
      <c r="L79" s="16">
        <v>238177.96899999981</v>
      </c>
      <c r="N79" s="5">
        <v>2007</v>
      </c>
      <c r="O79" s="4" t="s">
        <v>8</v>
      </c>
      <c r="P79" s="6"/>
      <c r="Q79" s="6"/>
      <c r="R79" s="6"/>
      <c r="S79" s="6"/>
      <c r="T79" s="6">
        <v>5433.9910000000009</v>
      </c>
      <c r="U79" s="6">
        <v>1436.798</v>
      </c>
      <c r="V79" s="6"/>
      <c r="W79" s="16">
        <v>6870.7890000000007</v>
      </c>
      <c r="Y79" s="19">
        <v>2006</v>
      </c>
      <c r="Z79" s="17" t="s">
        <v>8</v>
      </c>
      <c r="AA79" s="18">
        <v>12428.420000000006</v>
      </c>
      <c r="AB79" s="18">
        <v>14157.825000000001</v>
      </c>
      <c r="AC79" s="18">
        <v>5961.4050000000007</v>
      </c>
      <c r="AD79" s="18"/>
      <c r="AE79" s="18">
        <v>3269.8649999999998</v>
      </c>
      <c r="AF79" s="18">
        <v>105.431</v>
      </c>
      <c r="AG79" s="18">
        <v>23022.044000000005</v>
      </c>
      <c r="AH79" s="18">
        <v>1073.3339999999998</v>
      </c>
      <c r="AI79" s="18"/>
      <c r="AJ79" s="18">
        <v>60018.324000000008</v>
      </c>
    </row>
    <row r="80" spans="1:36" x14ac:dyDescent="0.25">
      <c r="A80" s="5">
        <v>2006</v>
      </c>
      <c r="B80" s="4" t="s">
        <v>9</v>
      </c>
      <c r="C80" s="13">
        <v>5633.0829999999987</v>
      </c>
      <c r="D80" s="13">
        <v>5681.7760000000007</v>
      </c>
      <c r="E80" s="13">
        <v>1653.3929999999998</v>
      </c>
      <c r="F80" s="13"/>
      <c r="G80" s="13"/>
      <c r="H80" s="13"/>
      <c r="I80" s="13">
        <v>177346.37499999994</v>
      </c>
      <c r="J80" s="13">
        <v>3377.7790000000005</v>
      </c>
      <c r="K80" s="13"/>
      <c r="L80" s="16">
        <v>193692.40599999996</v>
      </c>
      <c r="N80" s="5">
        <v>2007</v>
      </c>
      <c r="O80" s="4" t="s">
        <v>9</v>
      </c>
      <c r="P80" s="6"/>
      <c r="Q80" s="6"/>
      <c r="R80" s="6"/>
      <c r="S80" s="6"/>
      <c r="T80" s="6">
        <v>666.63499999999999</v>
      </c>
      <c r="U80" s="6"/>
      <c r="V80" s="6"/>
      <c r="W80" s="16">
        <v>666.63499999999999</v>
      </c>
      <c r="Y80" s="19">
        <v>2006</v>
      </c>
      <c r="Z80" s="17" t="s">
        <v>9</v>
      </c>
      <c r="AA80" s="18">
        <v>680.58699999999988</v>
      </c>
      <c r="AB80" s="18">
        <v>2139.4160000000011</v>
      </c>
      <c r="AC80" s="18">
        <v>327.65000000000009</v>
      </c>
      <c r="AD80" s="18"/>
      <c r="AE80" s="18">
        <v>4318.5510000000004</v>
      </c>
      <c r="AF80" s="18">
        <v>248.88300000000001</v>
      </c>
      <c r="AG80" s="18">
        <v>10932.936999999996</v>
      </c>
      <c r="AH80" s="18"/>
      <c r="AI80" s="18"/>
      <c r="AJ80" s="18">
        <v>18648.023999999998</v>
      </c>
    </row>
    <row r="81" spans="1:36" x14ac:dyDescent="0.25">
      <c r="A81" s="5">
        <v>2006</v>
      </c>
      <c r="B81" s="4" t="s">
        <v>10</v>
      </c>
      <c r="C81" s="13">
        <v>115.916</v>
      </c>
      <c r="D81" s="13">
        <v>342.072</v>
      </c>
      <c r="E81" s="13"/>
      <c r="F81" s="13"/>
      <c r="G81" s="13"/>
      <c r="H81" s="13"/>
      <c r="I81" s="13">
        <v>247655.55700000006</v>
      </c>
      <c r="J81" s="13">
        <v>3872.424</v>
      </c>
      <c r="K81" s="13"/>
      <c r="L81" s="16">
        <v>251985.96900000007</v>
      </c>
      <c r="N81" s="5">
        <v>2007</v>
      </c>
      <c r="O81" s="4" t="s">
        <v>10</v>
      </c>
      <c r="P81" s="6"/>
      <c r="Q81" s="6"/>
      <c r="R81" s="6"/>
      <c r="S81" s="6"/>
      <c r="T81" s="6">
        <v>1138.105</v>
      </c>
      <c r="U81" s="6"/>
      <c r="V81" s="6"/>
      <c r="W81" s="16">
        <v>1138.105</v>
      </c>
      <c r="Y81" s="19">
        <v>2006</v>
      </c>
      <c r="Z81" s="17" t="s">
        <v>10</v>
      </c>
      <c r="AA81" s="18">
        <v>253.58599999999998</v>
      </c>
      <c r="AB81" s="18">
        <v>447.298</v>
      </c>
      <c r="AC81" s="18"/>
      <c r="AD81" s="18"/>
      <c r="AE81" s="18">
        <v>2140.4389999999999</v>
      </c>
      <c r="AF81" s="18"/>
      <c r="AG81" s="18">
        <v>2636.1510000000003</v>
      </c>
      <c r="AH81" s="18"/>
      <c r="AI81" s="18"/>
      <c r="AJ81" s="18">
        <v>5477.4740000000002</v>
      </c>
    </row>
    <row r="82" spans="1:36" x14ac:dyDescent="0.25">
      <c r="A82" s="5">
        <v>2006</v>
      </c>
      <c r="B82" s="4" t="s">
        <v>11</v>
      </c>
      <c r="C82" s="13"/>
      <c r="D82" s="13">
        <v>4.992</v>
      </c>
      <c r="E82" s="13"/>
      <c r="F82" s="13"/>
      <c r="G82" s="13"/>
      <c r="H82" s="13"/>
      <c r="I82" s="13">
        <v>80876.195999999967</v>
      </c>
      <c r="J82" s="13"/>
      <c r="K82" s="13"/>
      <c r="L82" s="16">
        <v>80881.187999999966</v>
      </c>
      <c r="N82" s="5">
        <v>2007</v>
      </c>
      <c r="O82" s="4" t="s">
        <v>11</v>
      </c>
      <c r="P82" s="6"/>
      <c r="Q82" s="6"/>
      <c r="R82" s="6"/>
      <c r="S82" s="6"/>
      <c r="T82" s="6"/>
      <c r="U82" s="6">
        <v>807.29800000000012</v>
      </c>
      <c r="V82" s="6"/>
      <c r="W82" s="16">
        <v>807.29800000000012</v>
      </c>
      <c r="Y82" s="19">
        <v>2006</v>
      </c>
      <c r="Z82" s="17" t="s">
        <v>11</v>
      </c>
      <c r="AA82" s="18">
        <v>93.034999999999997</v>
      </c>
      <c r="AB82" s="18">
        <v>76.91</v>
      </c>
      <c r="AC82" s="18"/>
      <c r="AD82" s="18"/>
      <c r="AE82" s="18">
        <v>23.573</v>
      </c>
      <c r="AF82" s="18"/>
      <c r="AG82" s="18">
        <v>500.02199999999999</v>
      </c>
      <c r="AH82" s="18">
        <v>808.80799999999999</v>
      </c>
      <c r="AI82" s="18"/>
      <c r="AJ82" s="18">
        <v>1502.348</v>
      </c>
    </row>
    <row r="83" spans="1:36" x14ac:dyDescent="0.25">
      <c r="A83" s="5">
        <v>2006</v>
      </c>
      <c r="B83" s="4" t="s">
        <v>12</v>
      </c>
      <c r="C83" s="13"/>
      <c r="D83" s="13">
        <v>305.38200000000001</v>
      </c>
      <c r="E83" s="13">
        <v>45.368000000000002</v>
      </c>
      <c r="F83" s="13"/>
      <c r="G83" s="13"/>
      <c r="H83" s="13"/>
      <c r="I83" s="13">
        <v>15453.205999999996</v>
      </c>
      <c r="J83" s="13"/>
      <c r="K83" s="13"/>
      <c r="L83" s="16">
        <v>15803.955999999996</v>
      </c>
      <c r="N83" s="5">
        <v>2007</v>
      </c>
      <c r="O83" s="4" t="s">
        <v>12</v>
      </c>
      <c r="P83" s="6"/>
      <c r="Q83" s="6"/>
      <c r="R83" s="6"/>
      <c r="S83" s="6"/>
      <c r="T83" s="6">
        <v>5323.4980000000005</v>
      </c>
      <c r="U83" s="6">
        <v>1396.5890000000002</v>
      </c>
      <c r="V83" s="6"/>
      <c r="W83" s="16">
        <v>6720.0870000000004</v>
      </c>
      <c r="Y83" s="19">
        <v>2006</v>
      </c>
      <c r="Z83" s="17" t="s">
        <v>12</v>
      </c>
      <c r="AA83" s="18">
        <v>424.452</v>
      </c>
      <c r="AB83" s="18">
        <v>16017.406999999999</v>
      </c>
      <c r="AC83" s="18">
        <v>10779.208999999997</v>
      </c>
      <c r="AD83" s="18"/>
      <c r="AE83" s="18">
        <v>184.209</v>
      </c>
      <c r="AF83" s="18"/>
      <c r="AG83" s="18">
        <v>5648.0530000000008</v>
      </c>
      <c r="AH83" s="18">
        <v>1875.5329999999997</v>
      </c>
      <c r="AI83" s="18"/>
      <c r="AJ83" s="18">
        <v>34928.863000000005</v>
      </c>
    </row>
    <row r="84" spans="1:36" x14ac:dyDescent="0.25">
      <c r="A84" s="5">
        <v>2006</v>
      </c>
      <c r="B84" s="4" t="s">
        <v>13</v>
      </c>
      <c r="C84" s="13">
        <v>91.282999999999987</v>
      </c>
      <c r="D84" s="13">
        <v>1727.4969999999992</v>
      </c>
      <c r="E84" s="13">
        <v>93.463000000000008</v>
      </c>
      <c r="F84" s="13"/>
      <c r="G84" s="13"/>
      <c r="H84" s="13"/>
      <c r="I84" s="13">
        <v>1225.19</v>
      </c>
      <c r="J84" s="13"/>
      <c r="K84" s="13"/>
      <c r="L84" s="16">
        <v>3137.4329999999991</v>
      </c>
      <c r="N84" s="5">
        <v>2007</v>
      </c>
      <c r="O84" s="4" t="s">
        <v>13</v>
      </c>
      <c r="P84" s="6"/>
      <c r="Q84" s="6"/>
      <c r="R84" s="6"/>
      <c r="S84" s="6"/>
      <c r="T84" s="6">
        <v>21234.345000000008</v>
      </c>
      <c r="U84" s="6">
        <v>4489.1769999999997</v>
      </c>
      <c r="V84" s="6"/>
      <c r="W84" s="16">
        <v>25723.522000000008</v>
      </c>
      <c r="Y84" s="19">
        <v>2006</v>
      </c>
      <c r="Z84" s="17" t="s">
        <v>13</v>
      </c>
      <c r="AA84" s="18">
        <v>5833.1390000000029</v>
      </c>
      <c r="AB84" s="18">
        <v>84929.045000000056</v>
      </c>
      <c r="AC84" s="18">
        <v>7310.2269999999999</v>
      </c>
      <c r="AD84" s="18"/>
      <c r="AE84" s="18">
        <v>498.13300000000004</v>
      </c>
      <c r="AF84" s="18"/>
      <c r="AG84" s="18">
        <v>28952.18399999999</v>
      </c>
      <c r="AH84" s="18">
        <v>7964.7869999999984</v>
      </c>
      <c r="AI84" s="18"/>
      <c r="AJ84" s="18">
        <v>135487.51500000007</v>
      </c>
    </row>
    <row r="85" spans="1:36" x14ac:dyDescent="0.25">
      <c r="A85" s="5">
        <v>2006</v>
      </c>
      <c r="B85" s="4" t="s">
        <v>14</v>
      </c>
      <c r="C85" s="13">
        <v>419.3859999999998</v>
      </c>
      <c r="D85" s="13">
        <v>2912.1970000000019</v>
      </c>
      <c r="E85" s="13">
        <v>727.74299999999994</v>
      </c>
      <c r="F85" s="13"/>
      <c r="G85" s="13"/>
      <c r="H85" s="13"/>
      <c r="I85" s="13"/>
      <c r="J85" s="13"/>
      <c r="K85" s="13"/>
      <c r="L85" s="16">
        <v>4059.3260000000018</v>
      </c>
      <c r="N85" s="5">
        <v>2007</v>
      </c>
      <c r="O85" s="4" t="s">
        <v>14</v>
      </c>
      <c r="P85" s="6"/>
      <c r="Q85" s="6"/>
      <c r="R85" s="6"/>
      <c r="S85" s="6"/>
      <c r="T85" s="6">
        <v>12515.796999999999</v>
      </c>
      <c r="U85" s="6">
        <v>1583.94</v>
      </c>
      <c r="V85" s="6"/>
      <c r="W85" s="16">
        <v>14099.736999999999</v>
      </c>
      <c r="Y85" s="19">
        <v>2006</v>
      </c>
      <c r="Z85" s="17" t="s">
        <v>14</v>
      </c>
      <c r="AA85" s="18">
        <v>15789.204000000007</v>
      </c>
      <c r="AB85" s="18">
        <v>12214.823</v>
      </c>
      <c r="AC85" s="18">
        <v>18851.997000000003</v>
      </c>
      <c r="AD85" s="18"/>
      <c r="AE85" s="18"/>
      <c r="AF85" s="18">
        <v>116.03700000000001</v>
      </c>
      <c r="AG85" s="18">
        <v>19674.846000000001</v>
      </c>
      <c r="AH85" s="18">
        <v>1101.066</v>
      </c>
      <c r="AI85" s="18"/>
      <c r="AJ85" s="18">
        <v>67747.973000000013</v>
      </c>
    </row>
    <row r="86" spans="1:36" x14ac:dyDescent="0.25">
      <c r="A86" s="5">
        <v>2006</v>
      </c>
      <c r="B86" s="4" t="s">
        <v>15</v>
      </c>
      <c r="C86" s="13">
        <v>11806.943000000001</v>
      </c>
      <c r="D86" s="13">
        <v>11404.811000000007</v>
      </c>
      <c r="E86" s="13">
        <v>682.14299999999992</v>
      </c>
      <c r="F86" s="13"/>
      <c r="G86" s="13">
        <v>126.40199999999999</v>
      </c>
      <c r="H86" s="13"/>
      <c r="I86" s="13">
        <v>65309.667000000009</v>
      </c>
      <c r="J86" s="13">
        <v>3378.8979999999997</v>
      </c>
      <c r="K86" s="13"/>
      <c r="L86" s="16">
        <v>92708.864000000016</v>
      </c>
      <c r="N86" s="5">
        <v>2007</v>
      </c>
      <c r="O86" s="4" t="s">
        <v>15</v>
      </c>
      <c r="P86" s="6"/>
      <c r="Q86" s="6"/>
      <c r="R86" s="6"/>
      <c r="S86" s="6"/>
      <c r="T86" s="6">
        <v>214.91900000000001</v>
      </c>
      <c r="U86" s="6"/>
      <c r="V86" s="6"/>
      <c r="W86" s="16">
        <v>214.91900000000001</v>
      </c>
      <c r="Y86" s="19">
        <v>2006</v>
      </c>
      <c r="Z86" s="17" t="s">
        <v>15</v>
      </c>
      <c r="AA86" s="18">
        <v>10663.591000000006</v>
      </c>
      <c r="AB86" s="18">
        <v>36309.830000000016</v>
      </c>
      <c r="AC86" s="18">
        <v>3901.7469999999998</v>
      </c>
      <c r="AD86" s="18"/>
      <c r="AE86" s="18"/>
      <c r="AF86" s="18"/>
      <c r="AG86" s="18">
        <v>3293.26</v>
      </c>
      <c r="AH86" s="18"/>
      <c r="AI86" s="18"/>
      <c r="AJ86" s="18">
        <v>54168.428000000029</v>
      </c>
    </row>
    <row r="87" spans="1:36" x14ac:dyDescent="0.25">
      <c r="A87" s="5">
        <v>2007</v>
      </c>
      <c r="B87" s="4" t="s">
        <v>4</v>
      </c>
      <c r="C87" s="13">
        <v>7527.1760000000022</v>
      </c>
      <c r="D87" s="13">
        <v>5743.8919999999989</v>
      </c>
      <c r="E87" s="13">
        <v>66.671999999999997</v>
      </c>
      <c r="F87" s="13"/>
      <c r="G87" s="13">
        <v>607.58799999999997</v>
      </c>
      <c r="H87" s="13">
        <v>152.36699999999999</v>
      </c>
      <c r="I87" s="13">
        <v>128326.19600000005</v>
      </c>
      <c r="J87" s="13">
        <v>921.221</v>
      </c>
      <c r="K87" s="13"/>
      <c r="L87" s="16">
        <v>143345.11200000005</v>
      </c>
      <c r="N87" s="5">
        <v>2008</v>
      </c>
      <c r="O87" s="4" t="s">
        <v>5</v>
      </c>
      <c r="P87" s="6"/>
      <c r="Q87" s="6"/>
      <c r="R87" s="6"/>
      <c r="S87" s="6"/>
      <c r="T87" s="6">
        <v>16039.366000000002</v>
      </c>
      <c r="U87" s="6">
        <v>4343.5820000000003</v>
      </c>
      <c r="V87" s="6"/>
      <c r="W87" s="16">
        <v>20382.948000000004</v>
      </c>
      <c r="Y87" s="19">
        <v>2007</v>
      </c>
      <c r="Z87" s="17" t="s">
        <v>4</v>
      </c>
      <c r="AA87" s="18">
        <v>565.72799999999995</v>
      </c>
      <c r="AB87" s="18">
        <v>531.06399999999996</v>
      </c>
      <c r="AC87" s="18"/>
      <c r="AD87" s="18"/>
      <c r="AE87" s="18">
        <v>545.04699999999991</v>
      </c>
      <c r="AF87" s="18"/>
      <c r="AG87" s="18"/>
      <c r="AH87" s="18"/>
      <c r="AI87" s="18"/>
      <c r="AJ87" s="18">
        <v>1641.8389999999999</v>
      </c>
    </row>
    <row r="88" spans="1:36" x14ac:dyDescent="0.25">
      <c r="A88" s="5">
        <v>2007</v>
      </c>
      <c r="B88" s="4" t="s">
        <v>5</v>
      </c>
      <c r="C88" s="13">
        <v>1983.4949999999994</v>
      </c>
      <c r="D88" s="13">
        <v>97.924000000000007</v>
      </c>
      <c r="E88" s="13">
        <v>12.213999999999999</v>
      </c>
      <c r="F88" s="13"/>
      <c r="G88" s="13">
        <v>438.447</v>
      </c>
      <c r="H88" s="13"/>
      <c r="I88" s="13">
        <v>101598.74300000005</v>
      </c>
      <c r="J88" s="13">
        <v>1804.38</v>
      </c>
      <c r="K88" s="13"/>
      <c r="L88" s="16">
        <v>105935.20300000005</v>
      </c>
      <c r="N88" s="5">
        <v>2008</v>
      </c>
      <c r="O88" s="4" t="s">
        <v>6</v>
      </c>
      <c r="P88" s="6"/>
      <c r="Q88" s="6"/>
      <c r="R88" s="6"/>
      <c r="S88" s="6"/>
      <c r="T88" s="6">
        <v>32936.009999999995</v>
      </c>
      <c r="U88" s="6"/>
      <c r="V88" s="6"/>
      <c r="W88" s="16">
        <v>32936.009999999995</v>
      </c>
      <c r="Y88" s="19">
        <v>2007</v>
      </c>
      <c r="Z88" s="17" t="s">
        <v>5</v>
      </c>
      <c r="AA88" s="18">
        <v>26340.840999999997</v>
      </c>
      <c r="AB88" s="18">
        <v>94006.697999999786</v>
      </c>
      <c r="AC88" s="18">
        <v>8132.4479999999976</v>
      </c>
      <c r="AD88" s="18"/>
      <c r="AE88" s="18">
        <v>796.58100000000002</v>
      </c>
      <c r="AF88" s="18"/>
      <c r="AG88" s="18">
        <v>1308.6880000000001</v>
      </c>
      <c r="AH88" s="18"/>
      <c r="AI88" s="18"/>
      <c r="AJ88" s="18">
        <v>130585.25599999979</v>
      </c>
    </row>
    <row r="89" spans="1:36" x14ac:dyDescent="0.25">
      <c r="A89" s="5">
        <v>2007</v>
      </c>
      <c r="B89" s="4" t="s">
        <v>6</v>
      </c>
      <c r="C89" s="13">
        <v>3157.4549999999999</v>
      </c>
      <c r="D89" s="13">
        <v>24214.229000000014</v>
      </c>
      <c r="E89" s="13">
        <v>7033.3819999999996</v>
      </c>
      <c r="F89" s="13"/>
      <c r="G89" s="13">
        <v>707.64099999999996</v>
      </c>
      <c r="H89" s="13"/>
      <c r="I89" s="13">
        <v>74697.232999999935</v>
      </c>
      <c r="J89" s="13">
        <v>207.7</v>
      </c>
      <c r="K89" s="13"/>
      <c r="L89" s="16">
        <v>110017.63999999994</v>
      </c>
      <c r="N89" s="5">
        <v>2008</v>
      </c>
      <c r="O89" s="4" t="s">
        <v>7</v>
      </c>
      <c r="P89" s="6"/>
      <c r="Q89" s="6"/>
      <c r="R89" s="6"/>
      <c r="S89" s="6"/>
      <c r="T89" s="6">
        <v>40682.097999999962</v>
      </c>
      <c r="U89" s="6">
        <v>52.503</v>
      </c>
      <c r="V89" s="6"/>
      <c r="W89" s="16">
        <v>40734.600999999959</v>
      </c>
      <c r="Y89" s="19">
        <v>2007</v>
      </c>
      <c r="Z89" s="17" t="s">
        <v>6</v>
      </c>
      <c r="AA89" s="18">
        <v>10221.071999999998</v>
      </c>
      <c r="AB89" s="18">
        <v>43945.676000000065</v>
      </c>
      <c r="AC89" s="18">
        <v>4322.9619999999995</v>
      </c>
      <c r="AD89" s="18"/>
      <c r="AE89" s="18">
        <v>231.02600000000001</v>
      </c>
      <c r="AF89" s="18"/>
      <c r="AG89" s="18">
        <v>32489.93</v>
      </c>
      <c r="AH89" s="18">
        <v>211.81100000000001</v>
      </c>
      <c r="AI89" s="18"/>
      <c r="AJ89" s="18">
        <v>91422.477000000057</v>
      </c>
    </row>
    <row r="90" spans="1:36" x14ac:dyDescent="0.25">
      <c r="A90" s="5">
        <v>2007</v>
      </c>
      <c r="B90" s="4" t="s">
        <v>7</v>
      </c>
      <c r="C90" s="13">
        <v>11254.989</v>
      </c>
      <c r="D90" s="13">
        <v>7587.6799999999994</v>
      </c>
      <c r="E90" s="13">
        <v>252.17399999999995</v>
      </c>
      <c r="F90" s="13"/>
      <c r="G90" s="13">
        <v>356.22799999999995</v>
      </c>
      <c r="H90" s="13"/>
      <c r="I90" s="13">
        <v>108099.06600000006</v>
      </c>
      <c r="J90" s="13">
        <v>1484.2739999999999</v>
      </c>
      <c r="K90" s="13"/>
      <c r="L90" s="16">
        <v>129034.41100000007</v>
      </c>
      <c r="N90" s="5">
        <v>2008</v>
      </c>
      <c r="O90" s="4" t="s">
        <v>8</v>
      </c>
      <c r="P90" s="6"/>
      <c r="Q90" s="6"/>
      <c r="R90" s="6"/>
      <c r="S90" s="6">
        <v>11.603</v>
      </c>
      <c r="T90" s="6">
        <v>29062.364000000005</v>
      </c>
      <c r="U90" s="6"/>
      <c r="V90" s="6"/>
      <c r="W90" s="16">
        <v>29073.967000000004</v>
      </c>
      <c r="Y90" s="19">
        <v>2007</v>
      </c>
      <c r="Z90" s="17" t="s">
        <v>7</v>
      </c>
      <c r="AA90" s="18">
        <v>1427.5669999999996</v>
      </c>
      <c r="AB90" s="18">
        <v>48243.993000000017</v>
      </c>
      <c r="AC90" s="18">
        <v>6151.2960000000021</v>
      </c>
      <c r="AD90" s="18"/>
      <c r="AE90" s="18">
        <v>1435.807</v>
      </c>
      <c r="AF90" s="18">
        <v>1868.5319999999999</v>
      </c>
      <c r="AG90" s="18">
        <v>49264.70699999998</v>
      </c>
      <c r="AH90" s="18">
        <v>1718.8010000000002</v>
      </c>
      <c r="AI90" s="18"/>
      <c r="AJ90" s="18">
        <v>110110.70300000001</v>
      </c>
    </row>
    <row r="91" spans="1:36" x14ac:dyDescent="0.25">
      <c r="A91" s="5">
        <v>2007</v>
      </c>
      <c r="B91" s="4" t="s">
        <v>8</v>
      </c>
      <c r="C91" s="13">
        <v>1491.1130000000001</v>
      </c>
      <c r="D91" s="13">
        <v>24319.260999999995</v>
      </c>
      <c r="E91" s="13">
        <v>9963.3439999999937</v>
      </c>
      <c r="F91" s="13"/>
      <c r="G91" s="13">
        <v>77.804000000000002</v>
      </c>
      <c r="H91" s="13"/>
      <c r="I91" s="13">
        <v>144196.42899999989</v>
      </c>
      <c r="J91" s="13">
        <v>3041.4520000000002</v>
      </c>
      <c r="K91" s="13"/>
      <c r="L91" s="16">
        <v>183089.40299999987</v>
      </c>
      <c r="N91" s="5">
        <v>2008</v>
      </c>
      <c r="O91" s="4" t="s">
        <v>9</v>
      </c>
      <c r="P91" s="6"/>
      <c r="Q91" s="6"/>
      <c r="R91" s="6"/>
      <c r="S91" s="6"/>
      <c r="T91" s="6">
        <v>15543.078</v>
      </c>
      <c r="U91" s="6">
        <v>2487.0060000000003</v>
      </c>
      <c r="V91" s="6"/>
      <c r="W91" s="16">
        <v>18030.083999999999</v>
      </c>
      <c r="Y91" s="19">
        <v>2007</v>
      </c>
      <c r="Z91" s="17" t="s">
        <v>8</v>
      </c>
      <c r="AA91" s="18">
        <v>1183.6659999999999</v>
      </c>
      <c r="AB91" s="18">
        <v>33522.576000000001</v>
      </c>
      <c r="AC91" s="18">
        <v>13696.111999999994</v>
      </c>
      <c r="AD91" s="18"/>
      <c r="AE91" s="18">
        <v>2007.221</v>
      </c>
      <c r="AF91" s="18"/>
      <c r="AG91" s="18">
        <v>17517.727999999999</v>
      </c>
      <c r="AH91" s="18">
        <v>2452.2390000000005</v>
      </c>
      <c r="AI91" s="18"/>
      <c r="AJ91" s="18">
        <v>70379.541999999987</v>
      </c>
    </row>
    <row r="92" spans="1:36" x14ac:dyDescent="0.25">
      <c r="A92" s="5">
        <v>2007</v>
      </c>
      <c r="B92" s="4" t="s">
        <v>9</v>
      </c>
      <c r="C92" s="13">
        <v>134.05099999999999</v>
      </c>
      <c r="D92" s="13">
        <v>11799.267000000003</v>
      </c>
      <c r="E92" s="13">
        <v>5115.616</v>
      </c>
      <c r="F92" s="13"/>
      <c r="G92" s="13"/>
      <c r="H92" s="13"/>
      <c r="I92" s="13">
        <v>155975.67600000012</v>
      </c>
      <c r="J92" s="13">
        <v>3265.652</v>
      </c>
      <c r="K92" s="13"/>
      <c r="L92" s="16">
        <v>176290.26200000013</v>
      </c>
      <c r="N92" s="5">
        <v>2008</v>
      </c>
      <c r="O92" s="4" t="s">
        <v>10</v>
      </c>
      <c r="P92" s="6"/>
      <c r="Q92" s="6"/>
      <c r="R92" s="6"/>
      <c r="S92" s="6"/>
      <c r="T92" s="6">
        <v>5032.4749999999995</v>
      </c>
      <c r="U92" s="6">
        <v>1894.9469999999999</v>
      </c>
      <c r="V92" s="6"/>
      <c r="W92" s="16">
        <v>6927.4219999999996</v>
      </c>
      <c r="Y92" s="19">
        <v>2007</v>
      </c>
      <c r="Z92" s="17" t="s">
        <v>9</v>
      </c>
      <c r="AA92" s="18">
        <v>4353.128999999999</v>
      </c>
      <c r="AB92" s="18">
        <v>23445.481000000007</v>
      </c>
      <c r="AC92" s="18">
        <v>4878.5580000000009</v>
      </c>
      <c r="AD92" s="18"/>
      <c r="AE92" s="18">
        <v>1172.95</v>
      </c>
      <c r="AF92" s="18"/>
      <c r="AG92" s="18">
        <v>1724.5650000000001</v>
      </c>
      <c r="AH92" s="18">
        <v>343.4</v>
      </c>
      <c r="AI92" s="18"/>
      <c r="AJ92" s="18">
        <v>35918.083000000013</v>
      </c>
    </row>
    <row r="93" spans="1:36" x14ac:dyDescent="0.25">
      <c r="A93" s="5">
        <v>2007</v>
      </c>
      <c r="B93" s="4" t="s">
        <v>10</v>
      </c>
      <c r="C93" s="13">
        <v>4119.4470000000001</v>
      </c>
      <c r="D93" s="13">
        <v>6810.6109999999981</v>
      </c>
      <c r="E93" s="13">
        <v>364.75299999999999</v>
      </c>
      <c r="F93" s="13"/>
      <c r="G93" s="13">
        <v>2.8889999999999998</v>
      </c>
      <c r="H93" s="13"/>
      <c r="I93" s="13">
        <v>226894.43400000021</v>
      </c>
      <c r="J93" s="13">
        <v>4075.9070000000002</v>
      </c>
      <c r="K93" s="13"/>
      <c r="L93" s="16">
        <v>242268.0410000002</v>
      </c>
      <c r="N93" s="5">
        <v>2008</v>
      </c>
      <c r="O93" s="4" t="s">
        <v>13</v>
      </c>
      <c r="P93" s="6"/>
      <c r="Q93" s="6"/>
      <c r="R93" s="6"/>
      <c r="S93" s="6"/>
      <c r="T93" s="6">
        <v>54430.402999999984</v>
      </c>
      <c r="U93" s="6">
        <v>9155.866</v>
      </c>
      <c r="V93" s="6"/>
      <c r="W93" s="16">
        <v>63586.268999999986</v>
      </c>
      <c r="Y93" s="19">
        <v>2007</v>
      </c>
      <c r="Z93" s="17" t="s">
        <v>10</v>
      </c>
      <c r="AA93" s="18">
        <v>13022.102999999999</v>
      </c>
      <c r="AB93" s="18">
        <v>26521.581999999999</v>
      </c>
      <c r="AC93" s="18">
        <v>3.6179999999999999</v>
      </c>
      <c r="AD93" s="18"/>
      <c r="AE93" s="18">
        <v>244.31299999999999</v>
      </c>
      <c r="AF93" s="18"/>
      <c r="AG93" s="18">
        <v>503.29999999999995</v>
      </c>
      <c r="AH93" s="18"/>
      <c r="AI93" s="18"/>
      <c r="AJ93" s="18">
        <v>40294.916000000005</v>
      </c>
    </row>
    <row r="94" spans="1:36" x14ac:dyDescent="0.25">
      <c r="A94" s="5">
        <v>2007</v>
      </c>
      <c r="B94" s="4" t="s">
        <v>11</v>
      </c>
      <c r="C94" s="13">
        <v>182.55</v>
      </c>
      <c r="D94" s="13">
        <v>1186.894</v>
      </c>
      <c r="E94" s="13">
        <v>6.5030000000000001</v>
      </c>
      <c r="F94" s="13"/>
      <c r="G94" s="13"/>
      <c r="H94" s="13"/>
      <c r="I94" s="13">
        <v>132964.79399999994</v>
      </c>
      <c r="J94" s="13">
        <v>689.63700000000006</v>
      </c>
      <c r="K94" s="13"/>
      <c r="L94" s="16">
        <v>135030.37799999991</v>
      </c>
      <c r="N94" s="5">
        <v>2008</v>
      </c>
      <c r="O94" s="4" t="s">
        <v>14</v>
      </c>
      <c r="P94" s="6"/>
      <c r="Q94" s="6"/>
      <c r="R94" s="6"/>
      <c r="S94" s="6"/>
      <c r="T94" s="6">
        <v>14132.436</v>
      </c>
      <c r="U94" s="6"/>
      <c r="V94" s="6"/>
      <c r="W94" s="16">
        <v>14132.436</v>
      </c>
      <c r="Y94" s="19">
        <v>2007</v>
      </c>
      <c r="Z94" s="17" t="s">
        <v>11</v>
      </c>
      <c r="AA94" s="18">
        <v>246.00899999999996</v>
      </c>
      <c r="AB94" s="18">
        <v>348.96499999999997</v>
      </c>
      <c r="AC94" s="18">
        <v>65.31</v>
      </c>
      <c r="AD94" s="18"/>
      <c r="AE94" s="18">
        <v>18.722000000000001</v>
      </c>
      <c r="AF94" s="18"/>
      <c r="AG94" s="18"/>
      <c r="AH94" s="18">
        <v>1960.502</v>
      </c>
      <c r="AI94" s="18"/>
      <c r="AJ94" s="18">
        <v>2639.5079999999998</v>
      </c>
    </row>
    <row r="95" spans="1:36" x14ac:dyDescent="0.25">
      <c r="A95" s="5">
        <v>2007</v>
      </c>
      <c r="B95" s="4" t="s">
        <v>12</v>
      </c>
      <c r="C95" s="13">
        <v>1053.83</v>
      </c>
      <c r="D95" s="13">
        <v>3947.6520000000005</v>
      </c>
      <c r="E95" s="13"/>
      <c r="F95" s="13"/>
      <c r="G95" s="13">
        <v>0.96199999999999997</v>
      </c>
      <c r="H95" s="13"/>
      <c r="I95" s="13">
        <v>19728.555</v>
      </c>
      <c r="J95" s="13">
        <v>345.08</v>
      </c>
      <c r="K95" s="13"/>
      <c r="L95" s="16">
        <v>25076.079000000002</v>
      </c>
      <c r="N95" s="5">
        <v>2008</v>
      </c>
      <c r="O95" s="4" t="s">
        <v>15</v>
      </c>
      <c r="P95" s="6"/>
      <c r="Q95" s="6"/>
      <c r="R95" s="6"/>
      <c r="S95" s="6"/>
      <c r="T95" s="6">
        <v>1620.4569999999999</v>
      </c>
      <c r="U95" s="6"/>
      <c r="V95" s="6"/>
      <c r="W95" s="16">
        <v>1620.4569999999999</v>
      </c>
      <c r="Y95" s="19">
        <v>2007</v>
      </c>
      <c r="Z95" s="17" t="s">
        <v>12</v>
      </c>
      <c r="AA95" s="18">
        <v>18160.199000000001</v>
      </c>
      <c r="AB95" s="18">
        <v>36486.125999999989</v>
      </c>
      <c r="AC95" s="18"/>
      <c r="AD95" s="18"/>
      <c r="AE95" s="18"/>
      <c r="AF95" s="18"/>
      <c r="AG95" s="18">
        <v>12461.115000000005</v>
      </c>
      <c r="AH95" s="18">
        <v>4394.5109999999995</v>
      </c>
      <c r="AI95" s="18"/>
      <c r="AJ95" s="18">
        <v>71501.951000000001</v>
      </c>
    </row>
    <row r="96" spans="1:36" x14ac:dyDescent="0.25">
      <c r="A96" s="5">
        <v>2007</v>
      </c>
      <c r="B96" s="4" t="s">
        <v>13</v>
      </c>
      <c r="C96" s="13">
        <v>733.57499999999993</v>
      </c>
      <c r="D96" s="13">
        <v>3153.4470000000015</v>
      </c>
      <c r="E96" s="13">
        <v>1005.177</v>
      </c>
      <c r="F96" s="13"/>
      <c r="G96" s="13"/>
      <c r="H96" s="13"/>
      <c r="I96" s="13">
        <v>8554.0049999999992</v>
      </c>
      <c r="J96" s="13">
        <v>5.3480000000000008</v>
      </c>
      <c r="K96" s="13"/>
      <c r="L96" s="16">
        <v>13451.552000000001</v>
      </c>
      <c r="N96" s="5">
        <v>2009</v>
      </c>
      <c r="O96" s="4" t="s">
        <v>5</v>
      </c>
      <c r="P96" s="6"/>
      <c r="Q96" s="6"/>
      <c r="R96" s="6"/>
      <c r="S96" s="6"/>
      <c r="T96" s="6">
        <v>3543.5340000000001</v>
      </c>
      <c r="U96" s="6"/>
      <c r="V96" s="6"/>
      <c r="W96" s="16">
        <v>3543.5340000000001</v>
      </c>
      <c r="Y96" s="19">
        <v>2007</v>
      </c>
      <c r="Z96" s="17" t="s">
        <v>13</v>
      </c>
      <c r="AA96" s="18">
        <v>19286.812999999995</v>
      </c>
      <c r="AB96" s="18">
        <v>69858.630000000034</v>
      </c>
      <c r="AC96" s="18">
        <v>15398.880999999999</v>
      </c>
      <c r="AD96" s="18"/>
      <c r="AE96" s="18">
        <v>166.40800000000002</v>
      </c>
      <c r="AF96" s="18"/>
      <c r="AG96" s="18">
        <v>31378.042000000001</v>
      </c>
      <c r="AH96" s="18">
        <v>6986.922999999998</v>
      </c>
      <c r="AI96" s="18"/>
      <c r="AJ96" s="18">
        <v>143075.69700000004</v>
      </c>
    </row>
    <row r="97" spans="1:36" x14ac:dyDescent="0.25">
      <c r="A97" s="5">
        <v>2007</v>
      </c>
      <c r="B97" s="4" t="s">
        <v>14</v>
      </c>
      <c r="C97" s="13">
        <v>28.748000000000001</v>
      </c>
      <c r="D97" s="13">
        <v>3565.5790000000006</v>
      </c>
      <c r="E97" s="13">
        <v>2279.5610000000006</v>
      </c>
      <c r="F97" s="13"/>
      <c r="G97" s="13"/>
      <c r="H97" s="13"/>
      <c r="I97" s="13">
        <v>1021.69</v>
      </c>
      <c r="J97" s="13">
        <v>3.8629999999999995</v>
      </c>
      <c r="K97" s="13"/>
      <c r="L97" s="16">
        <v>6899.4410000000016</v>
      </c>
      <c r="N97" s="5">
        <v>2009</v>
      </c>
      <c r="O97" s="4" t="s">
        <v>6</v>
      </c>
      <c r="P97" s="6"/>
      <c r="Q97" s="6"/>
      <c r="R97" s="6"/>
      <c r="S97" s="6">
        <v>1834.5779999999997</v>
      </c>
      <c r="T97" s="6">
        <v>43604.958000000006</v>
      </c>
      <c r="U97" s="6"/>
      <c r="V97" s="6"/>
      <c r="W97" s="16">
        <v>45439.536000000007</v>
      </c>
      <c r="Y97" s="19">
        <v>2007</v>
      </c>
      <c r="Z97" s="17" t="s">
        <v>14</v>
      </c>
      <c r="AA97" s="18">
        <v>18708.821999999993</v>
      </c>
      <c r="AB97" s="18">
        <v>59860.196999999956</v>
      </c>
      <c r="AC97" s="18">
        <v>9636.7690000000002</v>
      </c>
      <c r="AD97" s="18"/>
      <c r="AE97" s="18">
        <v>87.801000000000002</v>
      </c>
      <c r="AF97" s="18"/>
      <c r="AG97" s="18">
        <v>15763.564</v>
      </c>
      <c r="AH97" s="18">
        <v>2499.1599999999994</v>
      </c>
      <c r="AI97" s="18"/>
      <c r="AJ97" s="18">
        <v>106556.31299999995</v>
      </c>
    </row>
    <row r="98" spans="1:36" x14ac:dyDescent="0.25">
      <c r="A98" s="5">
        <v>2007</v>
      </c>
      <c r="B98" s="4" t="s">
        <v>15</v>
      </c>
      <c r="C98" s="13">
        <v>1668.7199999999996</v>
      </c>
      <c r="D98" s="13">
        <v>18154.660999999996</v>
      </c>
      <c r="E98" s="13">
        <v>2775.576</v>
      </c>
      <c r="F98" s="13"/>
      <c r="G98" s="13"/>
      <c r="H98" s="13"/>
      <c r="I98" s="13">
        <v>695.83</v>
      </c>
      <c r="J98" s="13">
        <v>422.9</v>
      </c>
      <c r="K98" s="13"/>
      <c r="L98" s="16">
        <v>23717.687000000002</v>
      </c>
      <c r="N98" s="5">
        <v>2009</v>
      </c>
      <c r="O98" s="4" t="s">
        <v>7</v>
      </c>
      <c r="P98" s="6"/>
      <c r="Q98" s="6"/>
      <c r="R98" s="6"/>
      <c r="S98" s="6">
        <v>444.28399999999999</v>
      </c>
      <c r="T98" s="6">
        <v>18443.330000000005</v>
      </c>
      <c r="U98" s="6">
        <v>220.73699999999999</v>
      </c>
      <c r="V98" s="6"/>
      <c r="W98" s="16">
        <v>19108.351000000006</v>
      </c>
      <c r="Y98" s="19">
        <v>2007</v>
      </c>
      <c r="Z98" s="17" t="s">
        <v>15</v>
      </c>
      <c r="AA98" s="18">
        <v>13024.514999999999</v>
      </c>
      <c r="AB98" s="18">
        <v>13527.333000000011</v>
      </c>
      <c r="AC98" s="18">
        <v>543.8889999999999</v>
      </c>
      <c r="AD98" s="18"/>
      <c r="AE98" s="18"/>
      <c r="AF98" s="18"/>
      <c r="AG98" s="18">
        <v>617.55100000000004</v>
      </c>
      <c r="AH98" s="18"/>
      <c r="AI98" s="18"/>
      <c r="AJ98" s="18">
        <v>27713.288000000011</v>
      </c>
    </row>
    <row r="99" spans="1:36" x14ac:dyDescent="0.25">
      <c r="A99" s="5">
        <v>2008</v>
      </c>
      <c r="B99" s="4" t="s">
        <v>4</v>
      </c>
      <c r="C99" s="13">
        <v>5850.7830000000022</v>
      </c>
      <c r="D99" s="13">
        <v>2349.6419999999998</v>
      </c>
      <c r="E99" s="13">
        <v>565.72899999999993</v>
      </c>
      <c r="F99" s="13">
        <v>1946.7460000000001</v>
      </c>
      <c r="G99" s="13">
        <v>6886.8459999999995</v>
      </c>
      <c r="H99" s="13"/>
      <c r="I99" s="13">
        <v>25422.096999999991</v>
      </c>
      <c r="J99" s="13"/>
      <c r="K99" s="13"/>
      <c r="L99" s="16">
        <v>43021.842999999993</v>
      </c>
      <c r="N99" s="5">
        <v>2009</v>
      </c>
      <c r="O99" s="4" t="s">
        <v>8</v>
      </c>
      <c r="P99" s="6"/>
      <c r="Q99" s="6"/>
      <c r="R99" s="6"/>
      <c r="S99" s="6">
        <v>76.712999999999994</v>
      </c>
      <c r="T99" s="6">
        <v>7293.0430000000015</v>
      </c>
      <c r="U99" s="6"/>
      <c r="V99" s="6"/>
      <c r="W99" s="16">
        <v>7369.7560000000012</v>
      </c>
      <c r="Y99" s="19">
        <v>2008</v>
      </c>
      <c r="Z99" s="17" t="s">
        <v>4</v>
      </c>
      <c r="AA99" s="18">
        <v>24714.988999999998</v>
      </c>
      <c r="AB99" s="18">
        <v>24953.583000000017</v>
      </c>
      <c r="AC99" s="18">
        <v>882.327</v>
      </c>
      <c r="AD99" s="18"/>
      <c r="AE99" s="18">
        <v>15.224</v>
      </c>
      <c r="AF99" s="18"/>
      <c r="AG99" s="18"/>
      <c r="AH99" s="18"/>
      <c r="AI99" s="18"/>
      <c r="AJ99" s="18">
        <v>50566.123000000014</v>
      </c>
    </row>
    <row r="100" spans="1:36" x14ac:dyDescent="0.25">
      <c r="A100" s="5">
        <v>2008</v>
      </c>
      <c r="B100" s="4" t="s">
        <v>5</v>
      </c>
      <c r="C100" s="13">
        <v>1194.6349999999998</v>
      </c>
      <c r="D100" s="13">
        <v>13387.406000000003</v>
      </c>
      <c r="E100" s="13">
        <v>4145.7</v>
      </c>
      <c r="F100" s="13">
        <v>808.37200000000007</v>
      </c>
      <c r="G100" s="13">
        <v>8531.273000000001</v>
      </c>
      <c r="H100" s="13"/>
      <c r="I100" s="13">
        <v>47684.705000000031</v>
      </c>
      <c r="J100" s="13">
        <v>343.35500000000002</v>
      </c>
      <c r="K100" s="13"/>
      <c r="L100" s="16">
        <v>76095.446000000025</v>
      </c>
      <c r="N100" s="5">
        <v>2009</v>
      </c>
      <c r="O100" s="4" t="s">
        <v>9</v>
      </c>
      <c r="P100" s="6"/>
      <c r="Q100" s="6"/>
      <c r="R100" s="6"/>
      <c r="S100" s="6"/>
      <c r="T100" s="6">
        <v>8292.1369999999988</v>
      </c>
      <c r="U100" s="6">
        <v>3746.5699999999997</v>
      </c>
      <c r="V100" s="6"/>
      <c r="W100" s="16">
        <v>12038.706999999999</v>
      </c>
      <c r="Y100" s="19">
        <v>2008</v>
      </c>
      <c r="Z100" s="17" t="s">
        <v>5</v>
      </c>
      <c r="AA100" s="18">
        <v>11706.738999999998</v>
      </c>
      <c r="AB100" s="18">
        <v>39000.551999999974</v>
      </c>
      <c r="AC100" s="18">
        <v>9999.1189999999988</v>
      </c>
      <c r="AD100" s="18"/>
      <c r="AE100" s="18"/>
      <c r="AF100" s="18"/>
      <c r="AG100" s="18">
        <v>8879.3540000000012</v>
      </c>
      <c r="AH100" s="18">
        <v>2953.6179999999999</v>
      </c>
      <c r="AI100" s="18"/>
      <c r="AJ100" s="18">
        <v>72539.381999999969</v>
      </c>
    </row>
    <row r="101" spans="1:36" x14ac:dyDescent="0.25">
      <c r="A101" s="5">
        <v>2008</v>
      </c>
      <c r="B101" s="4" t="s">
        <v>6</v>
      </c>
      <c r="C101" s="13">
        <v>3804.5040000000004</v>
      </c>
      <c r="D101" s="13">
        <v>20814.223000000002</v>
      </c>
      <c r="E101" s="13">
        <v>1460.3050000000003</v>
      </c>
      <c r="F101" s="13"/>
      <c r="G101" s="13"/>
      <c r="H101" s="13"/>
      <c r="I101" s="13">
        <v>31783.554000000011</v>
      </c>
      <c r="J101" s="13">
        <v>1411.1120000000001</v>
      </c>
      <c r="K101" s="13"/>
      <c r="L101" s="16">
        <v>59273.698000000011</v>
      </c>
      <c r="N101" s="5">
        <v>2009</v>
      </c>
      <c r="O101" s="4" t="s">
        <v>10</v>
      </c>
      <c r="P101" s="6"/>
      <c r="Q101" s="6"/>
      <c r="R101" s="6"/>
      <c r="S101" s="6"/>
      <c r="T101" s="6">
        <v>32291.087</v>
      </c>
      <c r="U101" s="6">
        <v>6891.0750000000007</v>
      </c>
      <c r="V101" s="6"/>
      <c r="W101" s="16">
        <v>39182.161999999997</v>
      </c>
      <c r="Y101" s="19">
        <v>2008</v>
      </c>
      <c r="Z101" s="17" t="s">
        <v>6</v>
      </c>
      <c r="AA101" s="18">
        <v>12493.983000000009</v>
      </c>
      <c r="AB101" s="18">
        <v>32937.022000000012</v>
      </c>
      <c r="AC101" s="18">
        <v>6313.2020000000002</v>
      </c>
      <c r="AD101" s="18"/>
      <c r="AE101" s="18"/>
      <c r="AF101" s="18"/>
      <c r="AG101" s="18">
        <v>25041.446000000004</v>
      </c>
      <c r="AH101" s="18"/>
      <c r="AI101" s="18"/>
      <c r="AJ101" s="18">
        <v>76785.65300000002</v>
      </c>
    </row>
    <row r="102" spans="1:36" x14ac:dyDescent="0.25">
      <c r="A102" s="5">
        <v>2008</v>
      </c>
      <c r="B102" s="4" t="s">
        <v>7</v>
      </c>
      <c r="C102" s="13">
        <v>419.10199999999998</v>
      </c>
      <c r="D102" s="13">
        <v>13641.046999999991</v>
      </c>
      <c r="E102" s="13">
        <v>700.45799999999986</v>
      </c>
      <c r="F102" s="13"/>
      <c r="G102" s="13">
        <v>923.75</v>
      </c>
      <c r="H102" s="13"/>
      <c r="I102" s="13">
        <v>64975.940000000017</v>
      </c>
      <c r="J102" s="13">
        <v>2892.3669999999997</v>
      </c>
      <c r="K102" s="13"/>
      <c r="L102" s="16">
        <v>83552.664000000004</v>
      </c>
      <c r="N102" s="5">
        <v>2009</v>
      </c>
      <c r="O102" s="4" t="s">
        <v>11</v>
      </c>
      <c r="P102" s="6"/>
      <c r="Q102" s="6"/>
      <c r="R102" s="6"/>
      <c r="S102" s="6"/>
      <c r="T102" s="6">
        <v>15475.422999999997</v>
      </c>
      <c r="U102" s="6">
        <v>4788.3610000000008</v>
      </c>
      <c r="V102" s="6"/>
      <c r="W102" s="16">
        <v>20263.784</v>
      </c>
      <c r="Y102" s="19">
        <v>2008</v>
      </c>
      <c r="Z102" s="17" t="s">
        <v>7</v>
      </c>
      <c r="AA102" s="18">
        <v>5971.0000000000009</v>
      </c>
      <c r="AB102" s="18">
        <v>69456.824999999997</v>
      </c>
      <c r="AC102" s="18">
        <v>12016.091999999995</v>
      </c>
      <c r="AD102" s="18"/>
      <c r="AE102" s="18">
        <v>546.23700000000008</v>
      </c>
      <c r="AF102" s="18"/>
      <c r="AG102" s="18">
        <v>41669.57400000003</v>
      </c>
      <c r="AH102" s="18">
        <v>28.896999999999998</v>
      </c>
      <c r="AI102" s="18"/>
      <c r="AJ102" s="18">
        <v>129688.625</v>
      </c>
    </row>
    <row r="103" spans="1:36" x14ac:dyDescent="0.25">
      <c r="A103" s="5">
        <v>2008</v>
      </c>
      <c r="B103" s="4" t="s">
        <v>8</v>
      </c>
      <c r="C103" s="13">
        <v>1368.5070000000001</v>
      </c>
      <c r="D103" s="13">
        <v>16757.21899999999</v>
      </c>
      <c r="E103" s="13">
        <v>783.10400000000016</v>
      </c>
      <c r="F103" s="13"/>
      <c r="G103" s="13">
        <v>122.779</v>
      </c>
      <c r="H103" s="13"/>
      <c r="I103" s="13">
        <v>121052.40599999993</v>
      </c>
      <c r="J103" s="13">
        <v>2636.9359999999997</v>
      </c>
      <c r="K103" s="13"/>
      <c r="L103" s="16">
        <v>142720.95099999991</v>
      </c>
      <c r="N103" s="5">
        <v>2009</v>
      </c>
      <c r="O103" s="4" t="s">
        <v>13</v>
      </c>
      <c r="P103" s="6"/>
      <c r="Q103" s="6"/>
      <c r="R103" s="6"/>
      <c r="S103" s="6"/>
      <c r="T103" s="6">
        <v>49930.258000000002</v>
      </c>
      <c r="U103" s="6">
        <v>8646.6190000000006</v>
      </c>
      <c r="V103" s="6"/>
      <c r="W103" s="16">
        <v>58576.877</v>
      </c>
      <c r="Y103" s="19">
        <v>2008</v>
      </c>
      <c r="Z103" s="17" t="s">
        <v>8</v>
      </c>
      <c r="AA103" s="18">
        <v>15211.07800000001</v>
      </c>
      <c r="AB103" s="18">
        <v>31033.965000000015</v>
      </c>
      <c r="AC103" s="18">
        <v>9412.9199999999946</v>
      </c>
      <c r="AD103" s="18"/>
      <c r="AE103" s="18">
        <v>894.35300000000007</v>
      </c>
      <c r="AF103" s="18">
        <v>46.411999999999999</v>
      </c>
      <c r="AG103" s="18">
        <v>36988.495999999999</v>
      </c>
      <c r="AH103" s="18"/>
      <c r="AI103" s="18"/>
      <c r="AJ103" s="18">
        <v>93587.224000000017</v>
      </c>
    </row>
    <row r="104" spans="1:36" x14ac:dyDescent="0.25">
      <c r="A104" s="5">
        <v>2008</v>
      </c>
      <c r="B104" s="4" t="s">
        <v>9</v>
      </c>
      <c r="C104" s="13">
        <v>862.47699999999963</v>
      </c>
      <c r="D104" s="13">
        <v>12682.269999999995</v>
      </c>
      <c r="E104" s="13">
        <v>1151.5300000000002</v>
      </c>
      <c r="F104" s="13"/>
      <c r="G104" s="13">
        <v>49.582000000000001</v>
      </c>
      <c r="H104" s="13"/>
      <c r="I104" s="13">
        <v>161913.08599999986</v>
      </c>
      <c r="J104" s="13">
        <v>3984.6010000000006</v>
      </c>
      <c r="K104" s="13"/>
      <c r="L104" s="16">
        <v>180643.54599999986</v>
      </c>
      <c r="N104" s="5">
        <v>2009</v>
      </c>
      <c r="O104" s="4" t="s">
        <v>14</v>
      </c>
      <c r="P104" s="6"/>
      <c r="Q104" s="6"/>
      <c r="R104" s="6"/>
      <c r="S104" s="6"/>
      <c r="T104" s="6">
        <v>26451.053</v>
      </c>
      <c r="U104" s="6">
        <v>2940.5209999999997</v>
      </c>
      <c r="V104" s="6"/>
      <c r="W104" s="16">
        <v>29391.574000000001</v>
      </c>
      <c r="Y104" s="19">
        <v>2008</v>
      </c>
      <c r="Z104" s="17" t="s">
        <v>9</v>
      </c>
      <c r="AA104" s="18">
        <v>14737.626999999997</v>
      </c>
      <c r="AB104" s="18">
        <v>30251.98699999999</v>
      </c>
      <c r="AC104" s="18">
        <v>1120.586</v>
      </c>
      <c r="AD104" s="18"/>
      <c r="AE104" s="18">
        <v>1564.8799999999999</v>
      </c>
      <c r="AF104" s="18"/>
      <c r="AG104" s="18">
        <v>13504.79</v>
      </c>
      <c r="AH104" s="18">
        <v>543.99400000000003</v>
      </c>
      <c r="AI104" s="18"/>
      <c r="AJ104" s="18">
        <v>61723.863999999987</v>
      </c>
    </row>
    <row r="105" spans="1:36" x14ac:dyDescent="0.25">
      <c r="A105" s="5">
        <v>2008</v>
      </c>
      <c r="B105" s="4" t="s">
        <v>10</v>
      </c>
      <c r="C105" s="13">
        <v>682.20500000000004</v>
      </c>
      <c r="D105" s="13">
        <v>16219.932000000013</v>
      </c>
      <c r="E105" s="13">
        <v>1574.8719999999998</v>
      </c>
      <c r="F105" s="13"/>
      <c r="G105" s="13">
        <v>83.771999999999991</v>
      </c>
      <c r="H105" s="13"/>
      <c r="I105" s="13">
        <v>103529.62199999994</v>
      </c>
      <c r="J105" s="13">
        <v>2469.9349999999999</v>
      </c>
      <c r="K105" s="13"/>
      <c r="L105" s="16">
        <v>124560.33799999996</v>
      </c>
      <c r="N105" s="5">
        <v>2009</v>
      </c>
      <c r="O105" s="4" t="s">
        <v>15</v>
      </c>
      <c r="P105" s="6"/>
      <c r="Q105" s="6"/>
      <c r="R105" s="6"/>
      <c r="S105" s="6"/>
      <c r="T105" s="6">
        <v>13829.921999999995</v>
      </c>
      <c r="U105" s="6">
        <v>2535.9699999999998</v>
      </c>
      <c r="V105" s="6"/>
      <c r="W105" s="16">
        <v>16365.891999999994</v>
      </c>
      <c r="Y105" s="19">
        <v>2008</v>
      </c>
      <c r="Z105" s="17" t="s">
        <v>10</v>
      </c>
      <c r="AA105" s="18">
        <v>162.37699999999998</v>
      </c>
      <c r="AB105" s="18">
        <v>14091.625999999989</v>
      </c>
      <c r="AC105" s="18">
        <v>3206.2630000000004</v>
      </c>
      <c r="AD105" s="18"/>
      <c r="AE105" s="18">
        <v>1137.6099999999999</v>
      </c>
      <c r="AF105" s="18"/>
      <c r="AG105" s="18">
        <v>2867.8669999999997</v>
      </c>
      <c r="AH105" s="18">
        <v>619.15600000000006</v>
      </c>
      <c r="AI105" s="18"/>
      <c r="AJ105" s="18">
        <v>22084.898999999987</v>
      </c>
    </row>
    <row r="106" spans="1:36" x14ac:dyDescent="0.25">
      <c r="A106" s="5">
        <v>2008</v>
      </c>
      <c r="B106" s="4" t="s">
        <v>11</v>
      </c>
      <c r="C106" s="13">
        <v>12.065000000000001</v>
      </c>
      <c r="D106" s="13">
        <v>2722.8839999999996</v>
      </c>
      <c r="E106" s="13">
        <v>62.762</v>
      </c>
      <c r="F106" s="13"/>
      <c r="G106" s="13"/>
      <c r="H106" s="13"/>
      <c r="I106" s="13">
        <v>59228.974999999999</v>
      </c>
      <c r="J106" s="13"/>
      <c r="K106" s="13"/>
      <c r="L106" s="16">
        <v>62026.686000000002</v>
      </c>
      <c r="N106" s="5">
        <v>2010</v>
      </c>
      <c r="O106" s="4" t="s">
        <v>5</v>
      </c>
      <c r="P106" s="6"/>
      <c r="Q106" s="6"/>
      <c r="R106" s="6"/>
      <c r="S106" s="6"/>
      <c r="T106" s="6">
        <v>16806.57</v>
      </c>
      <c r="U106" s="6">
        <v>188.01499999999999</v>
      </c>
      <c r="V106" s="6"/>
      <c r="W106" s="16">
        <v>16994.584999999999</v>
      </c>
      <c r="Y106" s="19">
        <v>2008</v>
      </c>
      <c r="Z106" s="17" t="s">
        <v>11</v>
      </c>
      <c r="AA106" s="18">
        <v>171.02800000000002</v>
      </c>
      <c r="AB106" s="18">
        <v>12917.284999999998</v>
      </c>
      <c r="AC106" s="18"/>
      <c r="AD106" s="18"/>
      <c r="AE106" s="18">
        <v>27.648</v>
      </c>
      <c r="AF106" s="18"/>
      <c r="AG106" s="18"/>
      <c r="AH106" s="18"/>
      <c r="AI106" s="18"/>
      <c r="AJ106" s="18">
        <v>13115.960999999998</v>
      </c>
    </row>
    <row r="107" spans="1:36" x14ac:dyDescent="0.25">
      <c r="A107" s="5">
        <v>2008</v>
      </c>
      <c r="B107" s="4" t="s">
        <v>12</v>
      </c>
      <c r="C107" s="13">
        <v>27.18</v>
      </c>
      <c r="D107" s="13">
        <v>7121.7930000000006</v>
      </c>
      <c r="E107" s="13">
        <v>1697.4619999999995</v>
      </c>
      <c r="F107" s="13"/>
      <c r="G107" s="13"/>
      <c r="H107" s="13"/>
      <c r="I107" s="13">
        <v>18756.392</v>
      </c>
      <c r="J107" s="13">
        <v>418.5</v>
      </c>
      <c r="K107" s="13"/>
      <c r="L107" s="16">
        <v>28021.327000000001</v>
      </c>
      <c r="N107" s="5">
        <v>2010</v>
      </c>
      <c r="O107" s="4" t="s">
        <v>6</v>
      </c>
      <c r="P107" s="6"/>
      <c r="Q107" s="6"/>
      <c r="R107" s="6">
        <v>609.62699999999995</v>
      </c>
      <c r="S107" s="6"/>
      <c r="T107" s="6">
        <v>2746.47</v>
      </c>
      <c r="U107" s="6">
        <v>3101.2400000000002</v>
      </c>
      <c r="V107" s="6">
        <v>7274.2700000000013</v>
      </c>
      <c r="W107" s="16">
        <v>13731.607</v>
      </c>
      <c r="Y107" s="19">
        <v>2008</v>
      </c>
      <c r="Z107" s="17" t="s">
        <v>12</v>
      </c>
      <c r="AA107" s="18">
        <v>106.623</v>
      </c>
      <c r="AB107" s="18">
        <v>41032.593000000059</v>
      </c>
      <c r="AC107" s="18">
        <v>3406.2140000000013</v>
      </c>
      <c r="AD107" s="18"/>
      <c r="AE107" s="18"/>
      <c r="AF107" s="18"/>
      <c r="AG107" s="18"/>
      <c r="AH107" s="18"/>
      <c r="AI107" s="18"/>
      <c r="AJ107" s="18">
        <v>44545.430000000058</v>
      </c>
    </row>
    <row r="108" spans="1:36" x14ac:dyDescent="0.25">
      <c r="A108" s="5">
        <v>2008</v>
      </c>
      <c r="B108" s="4" t="s">
        <v>13</v>
      </c>
      <c r="C108" s="13">
        <v>1.0459999999999998</v>
      </c>
      <c r="D108" s="13">
        <v>1945.0279999999993</v>
      </c>
      <c r="E108" s="13">
        <v>1910.2599999999998</v>
      </c>
      <c r="F108" s="13">
        <v>3.4060000000000001</v>
      </c>
      <c r="G108" s="13"/>
      <c r="H108" s="13"/>
      <c r="I108" s="13">
        <v>505.98</v>
      </c>
      <c r="J108" s="13"/>
      <c r="K108" s="13"/>
      <c r="L108" s="16">
        <v>4365.7199999999993</v>
      </c>
      <c r="N108" s="5">
        <v>2010</v>
      </c>
      <c r="O108" s="4" t="s">
        <v>7</v>
      </c>
      <c r="P108" s="6"/>
      <c r="Q108" s="6"/>
      <c r="R108" s="6">
        <v>565.29999999999995</v>
      </c>
      <c r="S108" s="6"/>
      <c r="T108" s="6">
        <v>3820.4400000000005</v>
      </c>
      <c r="U108" s="6">
        <v>4181.277000000001</v>
      </c>
      <c r="V108" s="6">
        <v>12407.106</v>
      </c>
      <c r="W108" s="16">
        <v>20974.123</v>
      </c>
      <c r="Y108" s="19">
        <v>2008</v>
      </c>
      <c r="Z108" s="17" t="s">
        <v>13</v>
      </c>
      <c r="AA108" s="18">
        <v>8950.1429999999891</v>
      </c>
      <c r="AB108" s="18">
        <v>43744.627000000022</v>
      </c>
      <c r="AC108" s="18">
        <v>4234.2309999999989</v>
      </c>
      <c r="AD108" s="18">
        <v>13.539</v>
      </c>
      <c r="AE108" s="18">
        <v>67.34</v>
      </c>
      <c r="AF108" s="18"/>
      <c r="AG108" s="18">
        <v>36003.929000000004</v>
      </c>
      <c r="AH108" s="18">
        <v>4754.7340000000004</v>
      </c>
      <c r="AI108" s="18"/>
      <c r="AJ108" s="18">
        <v>97768.543000000005</v>
      </c>
    </row>
    <row r="109" spans="1:36" x14ac:dyDescent="0.25">
      <c r="A109" s="5">
        <v>2008</v>
      </c>
      <c r="B109" s="4" t="s">
        <v>14</v>
      </c>
      <c r="C109" s="13">
        <v>75.070999999999984</v>
      </c>
      <c r="D109" s="13">
        <v>2784.9230000000007</v>
      </c>
      <c r="E109" s="13">
        <v>14428.756999999998</v>
      </c>
      <c r="F109" s="13"/>
      <c r="G109" s="13">
        <v>69.372</v>
      </c>
      <c r="H109" s="13"/>
      <c r="I109" s="13"/>
      <c r="J109" s="13"/>
      <c r="K109" s="13"/>
      <c r="L109" s="16">
        <v>17358.122999999996</v>
      </c>
      <c r="N109" s="5">
        <v>2010</v>
      </c>
      <c r="O109" s="4" t="s">
        <v>8</v>
      </c>
      <c r="P109" s="6"/>
      <c r="Q109" s="6"/>
      <c r="R109" s="6"/>
      <c r="S109" s="6"/>
      <c r="T109" s="6">
        <v>13035.828000000007</v>
      </c>
      <c r="U109" s="6">
        <v>4536.99</v>
      </c>
      <c r="V109" s="6">
        <v>905.36200000000008</v>
      </c>
      <c r="W109" s="16">
        <v>18478.180000000008</v>
      </c>
      <c r="Y109" s="19">
        <v>2008</v>
      </c>
      <c r="Z109" s="17" t="s">
        <v>14</v>
      </c>
      <c r="AA109" s="18">
        <v>17454.58400000001</v>
      </c>
      <c r="AB109" s="18">
        <v>12097.174999999996</v>
      </c>
      <c r="AC109" s="18">
        <v>4111.793999999999</v>
      </c>
      <c r="AD109" s="18"/>
      <c r="AE109" s="18"/>
      <c r="AF109" s="18"/>
      <c r="AG109" s="18">
        <v>9036.9770000000044</v>
      </c>
      <c r="AH109" s="18"/>
      <c r="AI109" s="18"/>
      <c r="AJ109" s="18">
        <v>42700.530000000013</v>
      </c>
    </row>
    <row r="110" spans="1:36" x14ac:dyDescent="0.25">
      <c r="A110" s="5">
        <v>2008</v>
      </c>
      <c r="B110" s="4" t="s">
        <v>15</v>
      </c>
      <c r="C110" s="13">
        <v>63.968999999999994</v>
      </c>
      <c r="D110" s="13">
        <v>5532.0599999999968</v>
      </c>
      <c r="E110" s="13">
        <v>8227.6509999999998</v>
      </c>
      <c r="F110" s="13"/>
      <c r="G110" s="13">
        <v>6141.8850000000002</v>
      </c>
      <c r="H110" s="13"/>
      <c r="I110" s="13">
        <v>33006.317999999999</v>
      </c>
      <c r="J110" s="13"/>
      <c r="K110" s="13"/>
      <c r="L110" s="16">
        <v>52971.882999999994</v>
      </c>
      <c r="N110" s="5">
        <v>2010</v>
      </c>
      <c r="O110" s="4" t="s">
        <v>9</v>
      </c>
      <c r="P110" s="6"/>
      <c r="Q110" s="6"/>
      <c r="R110" s="6"/>
      <c r="S110" s="6"/>
      <c r="T110" s="6">
        <v>17548.863999999998</v>
      </c>
      <c r="U110" s="6">
        <v>3794.6729999999998</v>
      </c>
      <c r="V110" s="6">
        <v>613.28800000000001</v>
      </c>
      <c r="W110" s="16">
        <v>21956.824999999997</v>
      </c>
      <c r="Y110" s="19">
        <v>2008</v>
      </c>
      <c r="Z110" s="17" t="s">
        <v>15</v>
      </c>
      <c r="AA110" s="18">
        <v>7249.9350000000022</v>
      </c>
      <c r="AB110" s="18">
        <v>8865.5910000000058</v>
      </c>
      <c r="AC110" s="18">
        <v>312.05899999999997</v>
      </c>
      <c r="AD110" s="18"/>
      <c r="AE110" s="18"/>
      <c r="AF110" s="18"/>
      <c r="AG110" s="18">
        <v>3201.7710000000002</v>
      </c>
      <c r="AH110" s="18"/>
      <c r="AI110" s="18"/>
      <c r="AJ110" s="18">
        <v>19629.356000000011</v>
      </c>
    </row>
    <row r="111" spans="1:36" x14ac:dyDescent="0.25">
      <c r="A111" s="5">
        <v>2009</v>
      </c>
      <c r="B111" s="4" t="s">
        <v>4</v>
      </c>
      <c r="C111" s="13">
        <v>66.855000000000004</v>
      </c>
      <c r="D111" s="13">
        <v>11165.743000000002</v>
      </c>
      <c r="E111" s="13">
        <v>1494.1679999999999</v>
      </c>
      <c r="F111" s="13"/>
      <c r="G111" s="13">
        <v>4629.3880000000008</v>
      </c>
      <c r="H111" s="13">
        <v>55.83</v>
      </c>
      <c r="I111" s="13">
        <v>70118.869999999966</v>
      </c>
      <c r="J111" s="13"/>
      <c r="K111" s="13"/>
      <c r="L111" s="16">
        <v>87530.853999999963</v>
      </c>
      <c r="N111" s="5">
        <v>2010</v>
      </c>
      <c r="O111" s="4" t="s">
        <v>10</v>
      </c>
      <c r="P111" s="6"/>
      <c r="Q111" s="6"/>
      <c r="R111" s="6"/>
      <c r="S111" s="6"/>
      <c r="T111" s="6">
        <v>3013.223</v>
      </c>
      <c r="U111" s="6">
        <v>1767.5590000000004</v>
      </c>
      <c r="V111" s="6"/>
      <c r="W111" s="16">
        <v>4780.7820000000002</v>
      </c>
      <c r="Y111" s="19">
        <v>2009</v>
      </c>
      <c r="Z111" s="17" t="s">
        <v>4</v>
      </c>
      <c r="AA111" s="18"/>
      <c r="AB111" s="18">
        <v>0.97499999999999998</v>
      </c>
      <c r="AC111" s="18"/>
      <c r="AD111" s="18"/>
      <c r="AE111" s="18"/>
      <c r="AF111" s="18"/>
      <c r="AG111" s="18"/>
      <c r="AH111" s="18"/>
      <c r="AI111" s="18"/>
      <c r="AJ111" s="18">
        <v>0.97499999999999998</v>
      </c>
    </row>
    <row r="112" spans="1:36" x14ac:dyDescent="0.25">
      <c r="A112" s="5">
        <v>2009</v>
      </c>
      <c r="B112" s="4" t="s">
        <v>5</v>
      </c>
      <c r="C112" s="13">
        <v>183.84599999999995</v>
      </c>
      <c r="D112" s="13">
        <v>12866.587999999994</v>
      </c>
      <c r="E112" s="13">
        <v>99.939000000000007</v>
      </c>
      <c r="F112" s="13"/>
      <c r="G112" s="13">
        <v>5593.1469999999999</v>
      </c>
      <c r="H112" s="13">
        <v>193.39699999999999</v>
      </c>
      <c r="I112" s="13">
        <v>75404.592000000033</v>
      </c>
      <c r="J112" s="13"/>
      <c r="K112" s="13"/>
      <c r="L112" s="16">
        <v>94341.50900000002</v>
      </c>
      <c r="N112" s="5">
        <v>2010</v>
      </c>
      <c r="O112" s="4" t="s">
        <v>11</v>
      </c>
      <c r="P112" s="6"/>
      <c r="Q112" s="6"/>
      <c r="R112" s="6"/>
      <c r="S112" s="6"/>
      <c r="T112" s="6">
        <v>16138.299999999997</v>
      </c>
      <c r="U112" s="6">
        <v>3454.1150000000002</v>
      </c>
      <c r="V112" s="6"/>
      <c r="W112" s="16">
        <v>19592.414999999997</v>
      </c>
      <c r="Y112" s="19">
        <v>2009</v>
      </c>
      <c r="Z112" s="17" t="s">
        <v>5</v>
      </c>
      <c r="AA112" s="18">
        <v>15119.22000000001</v>
      </c>
      <c r="AB112" s="18">
        <v>60829.944000000054</v>
      </c>
      <c r="AC112" s="18">
        <v>9377.8230000000003</v>
      </c>
      <c r="AD112" s="18"/>
      <c r="AE112" s="18"/>
      <c r="AF112" s="18"/>
      <c r="AG112" s="18">
        <v>743.96799999999996</v>
      </c>
      <c r="AH112" s="18"/>
      <c r="AI112" s="18"/>
      <c r="AJ112" s="18">
        <v>86070.95500000006</v>
      </c>
    </row>
    <row r="113" spans="1:36" x14ac:dyDescent="0.25">
      <c r="A113" s="5">
        <v>2009</v>
      </c>
      <c r="B113" s="4" t="s">
        <v>6</v>
      </c>
      <c r="C113" s="13">
        <v>2503.7309999999998</v>
      </c>
      <c r="D113" s="13">
        <v>27834.128999999986</v>
      </c>
      <c r="E113" s="13">
        <v>1836.1569999999992</v>
      </c>
      <c r="F113" s="13"/>
      <c r="G113" s="13">
        <v>4062.0779999999995</v>
      </c>
      <c r="H113" s="13">
        <v>439.21100000000001</v>
      </c>
      <c r="I113" s="13">
        <v>54064.786</v>
      </c>
      <c r="J113" s="13"/>
      <c r="K113" s="13"/>
      <c r="L113" s="16">
        <v>90740.09199999999</v>
      </c>
      <c r="N113" s="5">
        <v>2010</v>
      </c>
      <c r="O113" s="4" t="s">
        <v>13</v>
      </c>
      <c r="P113" s="6"/>
      <c r="Q113" s="6"/>
      <c r="R113" s="6"/>
      <c r="S113" s="6">
        <v>744.41</v>
      </c>
      <c r="T113" s="6">
        <v>28998.593999999994</v>
      </c>
      <c r="U113" s="6">
        <v>1839.835</v>
      </c>
      <c r="V113" s="6"/>
      <c r="W113" s="16">
        <v>31582.838999999993</v>
      </c>
      <c r="Y113" s="19">
        <v>2009</v>
      </c>
      <c r="Z113" s="17" t="s">
        <v>6</v>
      </c>
      <c r="AA113" s="18">
        <v>6253.2279999999992</v>
      </c>
      <c r="AB113" s="18">
        <v>32190.850999999999</v>
      </c>
      <c r="AC113" s="18">
        <v>16984.168999999994</v>
      </c>
      <c r="AD113" s="18"/>
      <c r="AE113" s="18">
        <v>205.21799999999999</v>
      </c>
      <c r="AF113" s="18">
        <v>953.5569999999999</v>
      </c>
      <c r="AG113" s="18">
        <v>21616.989000000005</v>
      </c>
      <c r="AH113" s="18"/>
      <c r="AI113" s="18"/>
      <c r="AJ113" s="18">
        <v>78204.012000000002</v>
      </c>
    </row>
    <row r="114" spans="1:36" x14ac:dyDescent="0.25">
      <c r="A114" s="5">
        <v>2009</v>
      </c>
      <c r="B114" s="4" t="s">
        <v>7</v>
      </c>
      <c r="C114" s="13">
        <v>149.96700000000001</v>
      </c>
      <c r="D114" s="13">
        <v>12560.340999999999</v>
      </c>
      <c r="E114" s="13">
        <v>3809.1910000000003</v>
      </c>
      <c r="F114" s="13">
        <v>26.64</v>
      </c>
      <c r="G114" s="13">
        <v>3049.2959999999998</v>
      </c>
      <c r="H114" s="13"/>
      <c r="I114" s="13">
        <v>80171.414000000033</v>
      </c>
      <c r="J114" s="13"/>
      <c r="K114" s="13"/>
      <c r="L114" s="16">
        <v>99766.849000000031</v>
      </c>
      <c r="N114" s="5">
        <v>2010</v>
      </c>
      <c r="O114" s="4" t="s">
        <v>14</v>
      </c>
      <c r="P114" s="6"/>
      <c r="Q114" s="6"/>
      <c r="R114" s="6"/>
      <c r="S114" s="6">
        <v>902.07600000000002</v>
      </c>
      <c r="T114" s="6">
        <v>35653.51</v>
      </c>
      <c r="U114" s="6">
        <v>5393.0319999999992</v>
      </c>
      <c r="V114" s="6"/>
      <c r="W114" s="16">
        <v>41948.618000000002</v>
      </c>
      <c r="Y114" s="19">
        <v>2009</v>
      </c>
      <c r="Z114" s="17" t="s">
        <v>7</v>
      </c>
      <c r="AA114" s="18">
        <v>595.66300000000001</v>
      </c>
      <c r="AB114" s="18">
        <v>18159.037000000011</v>
      </c>
      <c r="AC114" s="18">
        <v>11025.655000000001</v>
      </c>
      <c r="AD114" s="18"/>
      <c r="AE114" s="18">
        <v>1087.96</v>
      </c>
      <c r="AF114" s="18">
        <v>409.43799999999999</v>
      </c>
      <c r="AG114" s="18">
        <v>26566.989000000009</v>
      </c>
      <c r="AH114" s="18">
        <v>194.96299999999999</v>
      </c>
      <c r="AI114" s="18"/>
      <c r="AJ114" s="18">
        <v>58039.705000000016</v>
      </c>
    </row>
    <row r="115" spans="1:36" x14ac:dyDescent="0.25">
      <c r="A115" s="5">
        <v>2009</v>
      </c>
      <c r="B115" s="4" t="s">
        <v>8</v>
      </c>
      <c r="C115" s="13">
        <v>653.07999999999993</v>
      </c>
      <c r="D115" s="13">
        <v>15408.666999999992</v>
      </c>
      <c r="E115" s="13">
        <v>3853.6829999999991</v>
      </c>
      <c r="F115" s="13">
        <v>22.667999999999999</v>
      </c>
      <c r="G115" s="13">
        <v>758.02599999999995</v>
      </c>
      <c r="H115" s="13">
        <v>232.1</v>
      </c>
      <c r="I115" s="13">
        <v>108079.72499999998</v>
      </c>
      <c r="J115" s="13">
        <v>2945.98</v>
      </c>
      <c r="K115" s="13"/>
      <c r="L115" s="16">
        <v>131953.92899999997</v>
      </c>
      <c r="N115" s="5">
        <v>2010</v>
      </c>
      <c r="O115" s="4" t="s">
        <v>15</v>
      </c>
      <c r="P115" s="6"/>
      <c r="Q115" s="6"/>
      <c r="R115" s="6"/>
      <c r="S115" s="6"/>
      <c r="T115" s="6">
        <v>23739.330000000005</v>
      </c>
      <c r="U115" s="6">
        <v>1342.1180000000002</v>
      </c>
      <c r="V115" s="6"/>
      <c r="W115" s="16">
        <v>25081.448000000004</v>
      </c>
      <c r="Y115" s="19">
        <v>2009</v>
      </c>
      <c r="Z115" s="17" t="s">
        <v>8</v>
      </c>
      <c r="AA115" s="18">
        <v>1112.8690000000001</v>
      </c>
      <c r="AB115" s="18">
        <v>9812.253999999999</v>
      </c>
      <c r="AC115" s="18">
        <v>4132.2269999999999</v>
      </c>
      <c r="AD115" s="18"/>
      <c r="AE115" s="18">
        <v>3137.5810000000006</v>
      </c>
      <c r="AF115" s="18">
        <v>98.631</v>
      </c>
      <c r="AG115" s="18">
        <v>6000.7649999999994</v>
      </c>
      <c r="AH115" s="18"/>
      <c r="AI115" s="18"/>
      <c r="AJ115" s="18">
        <v>24294.327000000001</v>
      </c>
    </row>
    <row r="116" spans="1:36" x14ac:dyDescent="0.25">
      <c r="A116" s="5">
        <v>2009</v>
      </c>
      <c r="B116" s="4" t="s">
        <v>9</v>
      </c>
      <c r="C116" s="13">
        <v>938.59600000000012</v>
      </c>
      <c r="D116" s="13">
        <v>23646.08500000001</v>
      </c>
      <c r="E116" s="13">
        <v>3575.2069999999999</v>
      </c>
      <c r="F116" s="13"/>
      <c r="G116" s="13"/>
      <c r="H116" s="13"/>
      <c r="I116" s="13">
        <v>58989.347999999954</v>
      </c>
      <c r="J116" s="13">
        <v>429.55</v>
      </c>
      <c r="K116" s="13"/>
      <c r="L116" s="16">
        <v>87578.785999999964</v>
      </c>
      <c r="N116" s="5">
        <v>2011</v>
      </c>
      <c r="O116" s="4" t="s">
        <v>5</v>
      </c>
      <c r="P116" s="6"/>
      <c r="Q116" s="6"/>
      <c r="R116" s="6"/>
      <c r="S116" s="6"/>
      <c r="T116" s="6">
        <v>3273.2860000000001</v>
      </c>
      <c r="U116" s="6">
        <v>3176.0610000000006</v>
      </c>
      <c r="V116" s="6"/>
      <c r="W116" s="16">
        <v>6449.3470000000007</v>
      </c>
      <c r="Y116" s="19">
        <v>2009</v>
      </c>
      <c r="Z116" s="17" t="s">
        <v>9</v>
      </c>
      <c r="AA116" s="18">
        <v>8614.8289999999997</v>
      </c>
      <c r="AB116" s="18">
        <v>972.24399999999991</v>
      </c>
      <c r="AC116" s="18">
        <v>1.532</v>
      </c>
      <c r="AD116" s="18"/>
      <c r="AE116" s="18">
        <v>1909.2349999999999</v>
      </c>
      <c r="AF116" s="18"/>
      <c r="AG116" s="18">
        <v>3510.2790000000009</v>
      </c>
      <c r="AH116" s="18">
        <v>2082.4300000000003</v>
      </c>
      <c r="AI116" s="18"/>
      <c r="AJ116" s="18">
        <v>17090.548999999999</v>
      </c>
    </row>
    <row r="117" spans="1:36" x14ac:dyDescent="0.25">
      <c r="A117" s="5">
        <v>2009</v>
      </c>
      <c r="B117" s="4" t="s">
        <v>10</v>
      </c>
      <c r="C117" s="13"/>
      <c r="D117" s="13">
        <v>6.8090000000000002</v>
      </c>
      <c r="E117" s="13"/>
      <c r="F117" s="13"/>
      <c r="G117" s="13"/>
      <c r="H117" s="13"/>
      <c r="I117" s="13">
        <v>112525.43199999994</v>
      </c>
      <c r="J117" s="13">
        <v>1098.989</v>
      </c>
      <c r="K117" s="13"/>
      <c r="L117" s="16">
        <v>113631.22999999994</v>
      </c>
      <c r="N117" s="5">
        <v>2011</v>
      </c>
      <c r="O117" s="4" t="s">
        <v>6</v>
      </c>
      <c r="P117" s="6"/>
      <c r="Q117" s="6"/>
      <c r="R117" s="6">
        <v>520.38499999999999</v>
      </c>
      <c r="S117" s="6">
        <v>456.37</v>
      </c>
      <c r="T117" s="6">
        <v>12183.956000000002</v>
      </c>
      <c r="U117" s="6">
        <v>272.7</v>
      </c>
      <c r="V117" s="6"/>
      <c r="W117" s="16">
        <v>13433.411000000002</v>
      </c>
      <c r="Y117" s="19">
        <v>2009</v>
      </c>
      <c r="Z117" s="17" t="s">
        <v>10</v>
      </c>
      <c r="AA117" s="18">
        <v>1446.577</v>
      </c>
      <c r="AB117" s="18">
        <v>1057.2919999999999</v>
      </c>
      <c r="AC117" s="18"/>
      <c r="AD117" s="18"/>
      <c r="AE117" s="18"/>
      <c r="AF117" s="18"/>
      <c r="AG117" s="18">
        <v>10561.891000000005</v>
      </c>
      <c r="AH117" s="18">
        <v>931.64300000000003</v>
      </c>
      <c r="AI117" s="18"/>
      <c r="AJ117" s="18">
        <v>13997.403000000006</v>
      </c>
    </row>
    <row r="118" spans="1:36" x14ac:dyDescent="0.25">
      <c r="A118" s="5">
        <v>2009</v>
      </c>
      <c r="B118" s="4" t="s">
        <v>11</v>
      </c>
      <c r="C118" s="13"/>
      <c r="D118" s="13"/>
      <c r="E118" s="13"/>
      <c r="F118" s="13"/>
      <c r="G118" s="13">
        <v>196.214</v>
      </c>
      <c r="H118" s="13"/>
      <c r="I118" s="13">
        <v>25210.069</v>
      </c>
      <c r="J118" s="13">
        <v>315.74200000000002</v>
      </c>
      <c r="K118" s="13"/>
      <c r="L118" s="16">
        <v>25722.024999999998</v>
      </c>
      <c r="N118" s="5">
        <v>2011</v>
      </c>
      <c r="O118" s="4" t="s">
        <v>7</v>
      </c>
      <c r="P118" s="6"/>
      <c r="Q118" s="6"/>
      <c r="R118" s="6"/>
      <c r="S118" s="6">
        <v>773.71100000000001</v>
      </c>
      <c r="T118" s="6">
        <v>20766.662</v>
      </c>
      <c r="U118" s="6">
        <v>632.73500000000001</v>
      </c>
      <c r="V118" s="6">
        <v>1007.25</v>
      </c>
      <c r="W118" s="16">
        <v>23180.358</v>
      </c>
      <c r="Y118" s="19">
        <v>2009</v>
      </c>
      <c r="Z118" s="17" t="s">
        <v>11</v>
      </c>
      <c r="AA118" s="18">
        <v>185.95</v>
      </c>
      <c r="AB118" s="18"/>
      <c r="AC118" s="18"/>
      <c r="AD118" s="18"/>
      <c r="AE118" s="18"/>
      <c r="AF118" s="18"/>
      <c r="AG118" s="18">
        <v>8517.2660000000014</v>
      </c>
      <c r="AH118" s="18">
        <v>2114.5120000000002</v>
      </c>
      <c r="AI118" s="18"/>
      <c r="AJ118" s="18">
        <v>10817.728000000003</v>
      </c>
    </row>
    <row r="119" spans="1:36" x14ac:dyDescent="0.25">
      <c r="A119" s="5">
        <v>2009</v>
      </c>
      <c r="B119" s="4" t="s">
        <v>12</v>
      </c>
      <c r="C119" s="13"/>
      <c r="D119" s="13"/>
      <c r="E119" s="13"/>
      <c r="F119" s="13"/>
      <c r="G119" s="13">
        <v>92.368000000000009</v>
      </c>
      <c r="H119" s="13"/>
      <c r="I119" s="13">
        <v>2115.6410000000001</v>
      </c>
      <c r="J119" s="13"/>
      <c r="K119" s="13"/>
      <c r="L119" s="16">
        <v>2208.009</v>
      </c>
      <c r="N119" s="5">
        <v>2011</v>
      </c>
      <c r="O119" s="4" t="s">
        <v>8</v>
      </c>
      <c r="P119" s="6"/>
      <c r="Q119" s="6"/>
      <c r="R119" s="6"/>
      <c r="S119" s="6"/>
      <c r="T119" s="6">
        <v>14799.407999999998</v>
      </c>
      <c r="U119" s="6">
        <v>1816.8449999999998</v>
      </c>
      <c r="V119" s="6">
        <v>534.16999999999996</v>
      </c>
      <c r="W119" s="16">
        <v>17150.422999999995</v>
      </c>
      <c r="Y119" s="19">
        <v>2009</v>
      </c>
      <c r="Z119" s="17" t="s">
        <v>12</v>
      </c>
      <c r="AA119" s="18">
        <v>8055.7260000000006</v>
      </c>
      <c r="AB119" s="18">
        <v>11631.941000000019</v>
      </c>
      <c r="AC119" s="18">
        <v>90.3</v>
      </c>
      <c r="AD119" s="18"/>
      <c r="AE119" s="18">
        <v>67.108999999999995</v>
      </c>
      <c r="AF119" s="18"/>
      <c r="AG119" s="18"/>
      <c r="AH119" s="18"/>
      <c r="AI119" s="18"/>
      <c r="AJ119" s="18">
        <v>19845.076000000019</v>
      </c>
    </row>
    <row r="120" spans="1:36" x14ac:dyDescent="0.25">
      <c r="A120" s="5">
        <v>2009</v>
      </c>
      <c r="B120" s="4" t="s">
        <v>13</v>
      </c>
      <c r="C120" s="13"/>
      <c r="D120" s="13">
        <v>1045.0609999999997</v>
      </c>
      <c r="E120" s="13">
        <v>6127.8010000000004</v>
      </c>
      <c r="F120" s="13"/>
      <c r="G120" s="13"/>
      <c r="H120" s="13"/>
      <c r="I120" s="13">
        <v>3.5830000000000002</v>
      </c>
      <c r="J120" s="13"/>
      <c r="K120" s="13"/>
      <c r="L120" s="16">
        <v>7176.4449999999997</v>
      </c>
      <c r="N120" s="5">
        <v>2011</v>
      </c>
      <c r="O120" s="4" t="s">
        <v>9</v>
      </c>
      <c r="P120" s="6"/>
      <c r="Q120" s="6"/>
      <c r="R120" s="6"/>
      <c r="S120" s="6"/>
      <c r="T120" s="6">
        <v>4701.0810000000001</v>
      </c>
      <c r="U120" s="6">
        <v>1308.8150000000001</v>
      </c>
      <c r="V120" s="6"/>
      <c r="W120" s="16">
        <v>6009.8960000000006</v>
      </c>
      <c r="Y120" s="19">
        <v>2009</v>
      </c>
      <c r="Z120" s="17" t="s">
        <v>13</v>
      </c>
      <c r="AA120" s="18">
        <v>2543.0950000000007</v>
      </c>
      <c r="AB120" s="18">
        <v>39506.722000000038</v>
      </c>
      <c r="AC120" s="18">
        <v>6153.4089999999924</v>
      </c>
      <c r="AD120" s="18"/>
      <c r="AE120" s="18">
        <v>196.40900000000002</v>
      </c>
      <c r="AF120" s="18"/>
      <c r="AG120" s="18">
        <v>40535.876000000004</v>
      </c>
      <c r="AH120" s="18">
        <v>2630.0360000000001</v>
      </c>
      <c r="AI120" s="18"/>
      <c r="AJ120" s="18">
        <v>91565.54700000002</v>
      </c>
    </row>
    <row r="121" spans="1:36" x14ac:dyDescent="0.25">
      <c r="A121" s="5">
        <v>2009</v>
      </c>
      <c r="B121" s="4" t="s">
        <v>14</v>
      </c>
      <c r="C121" s="13"/>
      <c r="D121" s="13">
        <v>796.09599999999989</v>
      </c>
      <c r="E121" s="13">
        <v>2892.3489999999993</v>
      </c>
      <c r="F121" s="13"/>
      <c r="G121" s="13">
        <v>179.828</v>
      </c>
      <c r="H121" s="13"/>
      <c r="I121" s="13">
        <v>1205.623</v>
      </c>
      <c r="J121" s="13">
        <v>369.77299999999997</v>
      </c>
      <c r="K121" s="13"/>
      <c r="L121" s="16">
        <v>5443.668999999999</v>
      </c>
      <c r="N121" s="5">
        <v>2011</v>
      </c>
      <c r="O121" s="4" t="s">
        <v>10</v>
      </c>
      <c r="P121" s="6"/>
      <c r="Q121" s="6"/>
      <c r="R121" s="6"/>
      <c r="S121" s="6"/>
      <c r="T121" s="6">
        <v>15363.713</v>
      </c>
      <c r="U121" s="6">
        <v>2176.3869999999997</v>
      </c>
      <c r="V121" s="6"/>
      <c r="W121" s="16">
        <v>17540.099999999999</v>
      </c>
      <c r="Y121" s="19">
        <v>2009</v>
      </c>
      <c r="Z121" s="17" t="s">
        <v>14</v>
      </c>
      <c r="AA121" s="18">
        <v>12865.281000000004</v>
      </c>
      <c r="AB121" s="18">
        <v>16793.133000000005</v>
      </c>
      <c r="AC121" s="18">
        <v>5589.3660000000009</v>
      </c>
      <c r="AD121" s="18"/>
      <c r="AE121" s="18">
        <v>60.051000000000002</v>
      </c>
      <c r="AF121" s="18"/>
      <c r="AG121" s="18">
        <v>28752.300999999996</v>
      </c>
      <c r="AH121" s="18">
        <v>6376.2339999999995</v>
      </c>
      <c r="AI121" s="18"/>
      <c r="AJ121" s="18">
        <v>70436.366000000009</v>
      </c>
    </row>
    <row r="122" spans="1:36" x14ac:dyDescent="0.25">
      <c r="A122" s="5">
        <v>2009</v>
      </c>
      <c r="B122" s="4" t="s">
        <v>15</v>
      </c>
      <c r="C122" s="13"/>
      <c r="D122" s="13">
        <v>121.20399999999999</v>
      </c>
      <c r="E122" s="13">
        <v>504.17099999999999</v>
      </c>
      <c r="F122" s="13"/>
      <c r="G122" s="13">
        <v>4261.148000000001</v>
      </c>
      <c r="H122" s="13"/>
      <c r="I122" s="13">
        <v>41632.857000000025</v>
      </c>
      <c r="J122" s="13"/>
      <c r="K122" s="13"/>
      <c r="L122" s="16">
        <v>46519.380000000026</v>
      </c>
      <c r="N122" s="5">
        <v>2011</v>
      </c>
      <c r="O122" s="4" t="s">
        <v>11</v>
      </c>
      <c r="P122" s="6"/>
      <c r="Q122" s="6"/>
      <c r="R122" s="6"/>
      <c r="S122" s="6"/>
      <c r="T122" s="6">
        <v>9467.9050000000007</v>
      </c>
      <c r="U122" s="6">
        <v>1175.375</v>
      </c>
      <c r="V122" s="6"/>
      <c r="W122" s="16">
        <v>10643.28</v>
      </c>
      <c r="Y122" s="19">
        <v>2009</v>
      </c>
      <c r="Z122" s="17" t="s">
        <v>15</v>
      </c>
      <c r="AA122" s="18">
        <v>31893.939000000013</v>
      </c>
      <c r="AB122" s="18">
        <v>30855.220999999961</v>
      </c>
      <c r="AC122" s="18">
        <v>5326.8520000000008</v>
      </c>
      <c r="AD122" s="18"/>
      <c r="AE122" s="18"/>
      <c r="AF122" s="18"/>
      <c r="AG122" s="18">
        <v>8150.4999999999991</v>
      </c>
      <c r="AH122" s="18">
        <v>1095.27</v>
      </c>
      <c r="AI122" s="18">
        <v>21.03</v>
      </c>
      <c r="AJ122" s="18">
        <v>77342.811999999976</v>
      </c>
    </row>
    <row r="123" spans="1:36" x14ac:dyDescent="0.25">
      <c r="A123" s="5">
        <v>2010</v>
      </c>
      <c r="B123" s="4" t="s">
        <v>4</v>
      </c>
      <c r="C123" s="13"/>
      <c r="D123" s="13">
        <v>1.4999999999999999E-2</v>
      </c>
      <c r="E123" s="13"/>
      <c r="F123" s="13"/>
      <c r="G123" s="13">
        <v>2431.2249999999995</v>
      </c>
      <c r="H123" s="13"/>
      <c r="I123" s="13">
        <v>47961.766999999993</v>
      </c>
      <c r="J123" s="13"/>
      <c r="K123" s="13"/>
      <c r="L123" s="16">
        <v>50393.006999999991</v>
      </c>
      <c r="N123" s="5">
        <v>2011</v>
      </c>
      <c r="O123" s="4" t="s">
        <v>13</v>
      </c>
      <c r="P123" s="6"/>
      <c r="Q123" s="6"/>
      <c r="R123" s="6"/>
      <c r="S123" s="6"/>
      <c r="T123" s="6">
        <v>15856.237999999998</v>
      </c>
      <c r="U123" s="6">
        <v>3190.1390000000006</v>
      </c>
      <c r="V123" s="6">
        <v>1130.615</v>
      </c>
      <c r="W123" s="16">
        <v>20176.991999999998</v>
      </c>
      <c r="Y123" s="19">
        <v>2010</v>
      </c>
      <c r="Z123" s="17" t="s">
        <v>4</v>
      </c>
      <c r="AA123" s="18">
        <v>6453.94</v>
      </c>
      <c r="AB123" s="18">
        <v>62436.849000000017</v>
      </c>
      <c r="AC123" s="18">
        <v>14870.517999999996</v>
      </c>
      <c r="AD123" s="18"/>
      <c r="AE123" s="18">
        <v>84.245000000000005</v>
      </c>
      <c r="AF123" s="18"/>
      <c r="AG123" s="18"/>
      <c r="AH123" s="18"/>
      <c r="AI123" s="18"/>
      <c r="AJ123" s="18">
        <v>83845.552000000011</v>
      </c>
    </row>
    <row r="124" spans="1:36" x14ac:dyDescent="0.25">
      <c r="A124" s="5">
        <v>2010</v>
      </c>
      <c r="B124" s="4" t="s">
        <v>5</v>
      </c>
      <c r="C124" s="13"/>
      <c r="D124" s="13">
        <v>1.7000000000000001E-2</v>
      </c>
      <c r="E124" s="13">
        <v>2726.7569999999996</v>
      </c>
      <c r="F124" s="13"/>
      <c r="G124" s="13">
        <v>5183.8079999999991</v>
      </c>
      <c r="H124" s="13">
        <v>95.754000000000005</v>
      </c>
      <c r="I124" s="13">
        <v>10077.177</v>
      </c>
      <c r="J124" s="13"/>
      <c r="K124" s="13"/>
      <c r="L124" s="16">
        <v>18083.512999999999</v>
      </c>
      <c r="N124" s="5">
        <v>2011</v>
      </c>
      <c r="O124" s="4" t="s">
        <v>14</v>
      </c>
      <c r="P124" s="6"/>
      <c r="Q124" s="6"/>
      <c r="R124" s="6"/>
      <c r="S124" s="6"/>
      <c r="T124" s="6">
        <v>65709.719999999987</v>
      </c>
      <c r="U124" s="6">
        <v>4387.6059999999998</v>
      </c>
      <c r="V124" s="6">
        <v>442.86700000000002</v>
      </c>
      <c r="W124" s="16">
        <v>70540.192999999985</v>
      </c>
      <c r="Y124" s="19">
        <v>2010</v>
      </c>
      <c r="Z124" s="17" t="s">
        <v>5</v>
      </c>
      <c r="AA124" s="18">
        <v>7420.2160000000013</v>
      </c>
      <c r="AB124" s="18">
        <v>21811.779000000031</v>
      </c>
      <c r="AC124" s="18">
        <v>17488.047999999999</v>
      </c>
      <c r="AD124" s="18"/>
      <c r="AE124" s="18">
        <v>23.989000000000001</v>
      </c>
      <c r="AF124" s="18"/>
      <c r="AG124" s="18">
        <v>4487.6470000000008</v>
      </c>
      <c r="AH124" s="18">
        <v>54.284999999999997</v>
      </c>
      <c r="AI124" s="18"/>
      <c r="AJ124" s="18">
        <v>51285.964000000036</v>
      </c>
    </row>
    <row r="125" spans="1:36" x14ac:dyDescent="0.25">
      <c r="A125" s="5">
        <v>2010</v>
      </c>
      <c r="B125" s="4" t="s">
        <v>6</v>
      </c>
      <c r="C125" s="13"/>
      <c r="D125" s="13">
        <v>21778.562000000009</v>
      </c>
      <c r="E125" s="13">
        <v>50497.704000000005</v>
      </c>
      <c r="F125" s="13">
        <v>54.863999999999997</v>
      </c>
      <c r="G125" s="13">
        <v>2042.675</v>
      </c>
      <c r="H125" s="13"/>
      <c r="I125" s="13">
        <v>5240.84</v>
      </c>
      <c r="J125" s="13"/>
      <c r="K125" s="13"/>
      <c r="L125" s="16">
        <v>79614.645000000019</v>
      </c>
      <c r="N125" s="5">
        <v>2011</v>
      </c>
      <c r="O125" s="4" t="s">
        <v>15</v>
      </c>
      <c r="P125" s="6"/>
      <c r="Q125" s="6"/>
      <c r="R125" s="6"/>
      <c r="S125" s="6"/>
      <c r="T125" s="6">
        <v>16415.664999999997</v>
      </c>
      <c r="U125" s="6">
        <v>820.34000000000015</v>
      </c>
      <c r="V125" s="6"/>
      <c r="W125" s="16">
        <v>17236.004999999997</v>
      </c>
      <c r="Y125" s="19">
        <v>2010</v>
      </c>
      <c r="Z125" s="17" t="s">
        <v>6</v>
      </c>
      <c r="AA125" s="18">
        <v>2201.8540000000003</v>
      </c>
      <c r="AB125" s="18">
        <v>8522.3009999999995</v>
      </c>
      <c r="AC125" s="18">
        <v>5839.1539999999995</v>
      </c>
      <c r="AD125" s="18"/>
      <c r="AE125" s="18">
        <v>1050.7380000000001</v>
      </c>
      <c r="AF125" s="18"/>
      <c r="AG125" s="18">
        <v>268.21499999999997</v>
      </c>
      <c r="AH125" s="18">
        <v>462.64</v>
      </c>
      <c r="AI125" s="18">
        <v>386.09500000000003</v>
      </c>
      <c r="AJ125" s="18">
        <v>18730.996999999999</v>
      </c>
    </row>
    <row r="126" spans="1:36" x14ac:dyDescent="0.25">
      <c r="A126" s="5">
        <v>2010</v>
      </c>
      <c r="B126" s="4" t="s">
        <v>7</v>
      </c>
      <c r="C126" s="13"/>
      <c r="D126" s="13">
        <v>3696.0560000000005</v>
      </c>
      <c r="E126" s="13">
        <v>11389.858999999999</v>
      </c>
      <c r="F126" s="13">
        <v>196.959</v>
      </c>
      <c r="G126" s="13">
        <v>11425.653999999997</v>
      </c>
      <c r="H126" s="13"/>
      <c r="I126" s="13">
        <v>45299.702000000005</v>
      </c>
      <c r="J126" s="13">
        <v>1239.011</v>
      </c>
      <c r="K126" s="13"/>
      <c r="L126" s="16">
        <v>73247.241000000009</v>
      </c>
      <c r="N126" s="5">
        <v>2012</v>
      </c>
      <c r="O126" s="4" t="s">
        <v>5</v>
      </c>
      <c r="P126" s="6"/>
      <c r="Q126" s="6"/>
      <c r="R126" s="6"/>
      <c r="S126" s="6"/>
      <c r="T126" s="6">
        <v>18585.219999999998</v>
      </c>
      <c r="U126" s="6"/>
      <c r="V126" s="6"/>
      <c r="W126" s="16">
        <v>18585.219999999998</v>
      </c>
      <c r="Y126" s="19">
        <v>2010</v>
      </c>
      <c r="Z126" s="17" t="s">
        <v>7</v>
      </c>
      <c r="AA126" s="18">
        <v>2367.6689999999999</v>
      </c>
      <c r="AB126" s="18">
        <v>21381.275000000005</v>
      </c>
      <c r="AC126" s="18">
        <v>14632.025999999996</v>
      </c>
      <c r="AD126" s="18"/>
      <c r="AE126" s="18">
        <v>578.87299999999993</v>
      </c>
      <c r="AF126" s="18"/>
      <c r="AG126" s="18">
        <v>3032.8849999999998</v>
      </c>
      <c r="AH126" s="18">
        <v>699.10299999999995</v>
      </c>
      <c r="AI126" s="18">
        <v>2636.8090000000002</v>
      </c>
      <c r="AJ126" s="18">
        <v>45328.640000000007</v>
      </c>
    </row>
    <row r="127" spans="1:36" x14ac:dyDescent="0.25">
      <c r="A127" s="5">
        <v>2010</v>
      </c>
      <c r="B127" s="4" t="s">
        <v>8</v>
      </c>
      <c r="C127" s="13">
        <v>1063.202</v>
      </c>
      <c r="D127" s="13">
        <v>33358.791000000012</v>
      </c>
      <c r="E127" s="13">
        <v>17685.026999999998</v>
      </c>
      <c r="F127" s="13"/>
      <c r="G127" s="13">
        <v>62.093000000000004</v>
      </c>
      <c r="H127" s="13"/>
      <c r="I127" s="13">
        <v>29622.456000000013</v>
      </c>
      <c r="J127" s="13">
        <v>1266.67</v>
      </c>
      <c r="K127" s="13"/>
      <c r="L127" s="16">
        <v>83058.239000000016</v>
      </c>
      <c r="N127" s="5">
        <v>2012</v>
      </c>
      <c r="O127" s="4" t="s">
        <v>6</v>
      </c>
      <c r="P127" s="6"/>
      <c r="Q127" s="6"/>
      <c r="R127" s="6"/>
      <c r="S127" s="6"/>
      <c r="T127" s="6">
        <v>14111.308999999996</v>
      </c>
      <c r="U127" s="6"/>
      <c r="V127" s="6"/>
      <c r="W127" s="16">
        <v>14111.308999999996</v>
      </c>
      <c r="Y127" s="19">
        <v>2010</v>
      </c>
      <c r="Z127" s="17" t="s">
        <v>8</v>
      </c>
      <c r="AA127" s="18">
        <v>326.13200000000001</v>
      </c>
      <c r="AB127" s="18">
        <v>36848.434999999961</v>
      </c>
      <c r="AC127" s="18">
        <v>10734.231999999993</v>
      </c>
      <c r="AD127" s="18"/>
      <c r="AE127" s="18">
        <v>2442.3179999999998</v>
      </c>
      <c r="AF127" s="18"/>
      <c r="AG127" s="18">
        <v>6011.74</v>
      </c>
      <c r="AH127" s="18">
        <v>242.51499999999999</v>
      </c>
      <c r="AI127" s="18">
        <v>195.078</v>
      </c>
      <c r="AJ127" s="18">
        <v>56800.449999999953</v>
      </c>
    </row>
    <row r="128" spans="1:36" x14ac:dyDescent="0.25">
      <c r="A128" s="5">
        <v>2010</v>
      </c>
      <c r="B128" s="4" t="s">
        <v>9</v>
      </c>
      <c r="C128" s="13"/>
      <c r="D128" s="13">
        <v>16150.297999999997</v>
      </c>
      <c r="E128" s="13">
        <v>38.641999999999996</v>
      </c>
      <c r="F128" s="13"/>
      <c r="G128" s="13">
        <v>2851.46</v>
      </c>
      <c r="H128" s="13">
        <v>342.78800000000001</v>
      </c>
      <c r="I128" s="13">
        <v>14274.539999999999</v>
      </c>
      <c r="J128" s="13">
        <v>1018.71</v>
      </c>
      <c r="K128" s="13"/>
      <c r="L128" s="16">
        <v>34676.437999999995</v>
      </c>
      <c r="N128" s="5">
        <v>2012</v>
      </c>
      <c r="O128" s="4" t="s">
        <v>7</v>
      </c>
      <c r="P128" s="6"/>
      <c r="Q128" s="6"/>
      <c r="R128" s="6"/>
      <c r="S128" s="6"/>
      <c r="T128" s="6">
        <v>23250.824000000004</v>
      </c>
      <c r="U128" s="6"/>
      <c r="V128" s="6"/>
      <c r="W128" s="16">
        <v>23250.824000000004</v>
      </c>
      <c r="Y128" s="19">
        <v>2010</v>
      </c>
      <c r="Z128" s="17" t="s">
        <v>9</v>
      </c>
      <c r="AA128" s="18"/>
      <c r="AB128" s="18">
        <v>16293.176999999991</v>
      </c>
      <c r="AC128" s="18">
        <v>3189.3129999999996</v>
      </c>
      <c r="AD128" s="18"/>
      <c r="AE128" s="18">
        <v>2034.4899999999998</v>
      </c>
      <c r="AF128" s="18"/>
      <c r="AG128" s="18">
        <v>9335.9409999999953</v>
      </c>
      <c r="AH128" s="18">
        <v>502.892</v>
      </c>
      <c r="AI128" s="18">
        <v>153.322</v>
      </c>
      <c r="AJ128" s="18">
        <v>31509.134999999984</v>
      </c>
    </row>
    <row r="129" spans="1:36" x14ac:dyDescent="0.25">
      <c r="A129" s="5">
        <v>2010</v>
      </c>
      <c r="B129" s="4" t="s">
        <v>10</v>
      </c>
      <c r="C129" s="13">
        <v>2.456</v>
      </c>
      <c r="D129" s="13">
        <v>3893.2410000000018</v>
      </c>
      <c r="E129" s="13">
        <v>52.566000000000003</v>
      </c>
      <c r="F129" s="13"/>
      <c r="G129" s="13">
        <v>26.585000000000001</v>
      </c>
      <c r="H129" s="13"/>
      <c r="I129" s="13">
        <v>21631.919000000002</v>
      </c>
      <c r="J129" s="13"/>
      <c r="K129" s="13"/>
      <c r="L129" s="16">
        <v>25606.767000000003</v>
      </c>
      <c r="N129" s="5">
        <v>2012</v>
      </c>
      <c r="O129" s="4" t="s">
        <v>8</v>
      </c>
      <c r="P129" s="6"/>
      <c r="Q129" s="6"/>
      <c r="R129" s="6"/>
      <c r="S129" s="6"/>
      <c r="T129" s="6">
        <v>15127.983999999993</v>
      </c>
      <c r="U129" s="6">
        <v>2165.0899999999997</v>
      </c>
      <c r="V129" s="6"/>
      <c r="W129" s="16">
        <v>17293.073999999993</v>
      </c>
      <c r="Y129" s="19">
        <v>2010</v>
      </c>
      <c r="Z129" s="17" t="s">
        <v>10</v>
      </c>
      <c r="AA129" s="18">
        <v>150.35900000000001</v>
      </c>
      <c r="AB129" s="18">
        <v>6342.3070000000007</v>
      </c>
      <c r="AC129" s="18">
        <v>2347.5489999999995</v>
      </c>
      <c r="AD129" s="18"/>
      <c r="AE129" s="18">
        <v>356.84400000000005</v>
      </c>
      <c r="AF129" s="18"/>
      <c r="AG129" s="18">
        <v>2634.5620000000004</v>
      </c>
      <c r="AH129" s="18">
        <v>186.42199999999997</v>
      </c>
      <c r="AI129" s="18"/>
      <c r="AJ129" s="18">
        <v>12018.043000000001</v>
      </c>
    </row>
    <row r="130" spans="1:36" x14ac:dyDescent="0.25">
      <c r="A130" s="5">
        <v>2010</v>
      </c>
      <c r="B130" s="4" t="s">
        <v>11</v>
      </c>
      <c r="C130" s="13"/>
      <c r="D130" s="13"/>
      <c r="E130" s="13"/>
      <c r="F130" s="13"/>
      <c r="G130" s="13"/>
      <c r="H130" s="13"/>
      <c r="I130" s="13">
        <v>21044.046999999999</v>
      </c>
      <c r="J130" s="13">
        <v>219.83499999999998</v>
      </c>
      <c r="K130" s="13"/>
      <c r="L130" s="16">
        <v>21263.881999999998</v>
      </c>
      <c r="N130" s="5">
        <v>2012</v>
      </c>
      <c r="O130" s="4" t="s">
        <v>9</v>
      </c>
      <c r="P130" s="6"/>
      <c r="Q130" s="6"/>
      <c r="R130" s="6"/>
      <c r="S130" s="6"/>
      <c r="T130" s="6">
        <v>18197.710000000003</v>
      </c>
      <c r="U130" s="6">
        <v>538.28500000000008</v>
      </c>
      <c r="V130" s="6"/>
      <c r="W130" s="16">
        <v>18735.995000000003</v>
      </c>
      <c r="Y130" s="19">
        <v>2010</v>
      </c>
      <c r="Z130" s="17" t="s">
        <v>11</v>
      </c>
      <c r="AA130" s="18"/>
      <c r="AB130" s="18"/>
      <c r="AC130" s="18"/>
      <c r="AD130" s="18"/>
      <c r="AE130" s="18">
        <v>7.7759999999999998</v>
      </c>
      <c r="AF130" s="18"/>
      <c r="AG130" s="18">
        <v>7265.6200000000017</v>
      </c>
      <c r="AH130" s="18">
        <v>728.96</v>
      </c>
      <c r="AI130" s="18"/>
      <c r="AJ130" s="18">
        <v>8002.3560000000016</v>
      </c>
    </row>
    <row r="131" spans="1:36" x14ac:dyDescent="0.25">
      <c r="A131" s="5">
        <v>2010</v>
      </c>
      <c r="B131" s="4" t="s">
        <v>12</v>
      </c>
      <c r="C131" s="13"/>
      <c r="D131" s="13">
        <v>3.4079999999999999</v>
      </c>
      <c r="E131" s="13"/>
      <c r="F131" s="13"/>
      <c r="G131" s="13"/>
      <c r="H131" s="13"/>
      <c r="I131" s="13">
        <v>887.02699999999993</v>
      </c>
      <c r="J131" s="13"/>
      <c r="K131" s="13"/>
      <c r="L131" s="16">
        <v>890.43499999999995</v>
      </c>
      <c r="N131" s="5">
        <v>2012</v>
      </c>
      <c r="O131" s="4" t="s">
        <v>10</v>
      </c>
      <c r="P131" s="6"/>
      <c r="Q131" s="6"/>
      <c r="R131" s="6"/>
      <c r="S131" s="6"/>
      <c r="T131" s="6">
        <v>8010.2759999999998</v>
      </c>
      <c r="U131" s="6">
        <v>582.96999999999991</v>
      </c>
      <c r="V131" s="6"/>
      <c r="W131" s="16">
        <v>8593.2459999999992</v>
      </c>
      <c r="Y131" s="19">
        <v>2010</v>
      </c>
      <c r="Z131" s="17" t="s">
        <v>12</v>
      </c>
      <c r="AA131" s="18">
        <v>1530.941</v>
      </c>
      <c r="AB131" s="18">
        <v>8651.655999999999</v>
      </c>
      <c r="AC131" s="18">
        <v>2122.6000000000004</v>
      </c>
      <c r="AD131" s="18"/>
      <c r="AE131" s="18"/>
      <c r="AF131" s="18"/>
      <c r="AG131" s="18"/>
      <c r="AH131" s="18"/>
      <c r="AI131" s="18"/>
      <c r="AJ131" s="18">
        <v>12305.197</v>
      </c>
    </row>
    <row r="132" spans="1:36" x14ac:dyDescent="0.25">
      <c r="A132" s="5">
        <v>2010</v>
      </c>
      <c r="B132" s="4" t="s">
        <v>13</v>
      </c>
      <c r="C132" s="13"/>
      <c r="D132" s="13">
        <v>619.90099999999995</v>
      </c>
      <c r="E132" s="13">
        <v>565.14699999999993</v>
      </c>
      <c r="F132" s="13"/>
      <c r="G132" s="13"/>
      <c r="H132" s="13"/>
      <c r="I132" s="13"/>
      <c r="J132" s="13"/>
      <c r="K132" s="13"/>
      <c r="L132" s="16">
        <v>1185.0479999999998</v>
      </c>
      <c r="N132" s="5">
        <v>2012</v>
      </c>
      <c r="O132" s="4" t="s">
        <v>11</v>
      </c>
      <c r="P132" s="6"/>
      <c r="Q132" s="6"/>
      <c r="R132" s="6"/>
      <c r="S132" s="6"/>
      <c r="T132" s="6">
        <v>9144.1829999999991</v>
      </c>
      <c r="U132" s="6">
        <v>409.79</v>
      </c>
      <c r="V132" s="6"/>
      <c r="W132" s="16">
        <v>9553.973</v>
      </c>
      <c r="Y132" s="19">
        <v>2010</v>
      </c>
      <c r="Z132" s="17" t="s">
        <v>13</v>
      </c>
      <c r="AA132" s="18">
        <v>964.33499999999981</v>
      </c>
      <c r="AB132" s="18">
        <v>27071.657999999981</v>
      </c>
      <c r="AC132" s="18">
        <v>5171.8160000000007</v>
      </c>
      <c r="AD132" s="18"/>
      <c r="AE132" s="18"/>
      <c r="AF132" s="18">
        <v>174.61500000000001</v>
      </c>
      <c r="AG132" s="18">
        <v>9509.2309999999979</v>
      </c>
      <c r="AH132" s="18">
        <v>623.94499999999994</v>
      </c>
      <c r="AI132" s="18"/>
      <c r="AJ132" s="18">
        <v>43515.599999999977</v>
      </c>
    </row>
    <row r="133" spans="1:36" x14ac:dyDescent="0.25">
      <c r="A133" s="5">
        <v>2010</v>
      </c>
      <c r="B133" s="4" t="s">
        <v>14</v>
      </c>
      <c r="C133" s="13"/>
      <c r="D133" s="13">
        <v>1731.9320000000005</v>
      </c>
      <c r="E133" s="13">
        <v>3.1239999999999997</v>
      </c>
      <c r="F133" s="13"/>
      <c r="G133" s="13"/>
      <c r="H133" s="13"/>
      <c r="I133" s="13"/>
      <c r="J133" s="13"/>
      <c r="K133" s="13"/>
      <c r="L133" s="16">
        <v>1735.0560000000005</v>
      </c>
      <c r="N133" s="5">
        <v>2012</v>
      </c>
      <c r="O133" s="4" t="s">
        <v>13</v>
      </c>
      <c r="P133" s="6"/>
      <c r="Q133" s="6"/>
      <c r="R133" s="6"/>
      <c r="S133" s="6"/>
      <c r="T133" s="6">
        <v>13189.760999999999</v>
      </c>
      <c r="U133" s="6">
        <v>1323.8449999999998</v>
      </c>
      <c r="V133" s="6"/>
      <c r="W133" s="16">
        <v>14513.605999999998</v>
      </c>
      <c r="Y133" s="19">
        <v>2010</v>
      </c>
      <c r="Z133" s="17" t="s">
        <v>14</v>
      </c>
      <c r="AA133" s="18">
        <v>3300.0690000000018</v>
      </c>
      <c r="AB133" s="18">
        <v>33668.366000000031</v>
      </c>
      <c r="AC133" s="18">
        <v>5279.9579999999978</v>
      </c>
      <c r="AD133" s="18"/>
      <c r="AE133" s="18"/>
      <c r="AF133" s="18">
        <v>27.899000000000001</v>
      </c>
      <c r="AG133" s="18">
        <v>24651.911999999997</v>
      </c>
      <c r="AH133" s="18">
        <v>5871.9079999999994</v>
      </c>
      <c r="AI133" s="18"/>
      <c r="AJ133" s="18">
        <v>72800.112000000023</v>
      </c>
    </row>
    <row r="134" spans="1:36" x14ac:dyDescent="0.25">
      <c r="A134" s="5">
        <v>2010</v>
      </c>
      <c r="B134" s="4" t="s">
        <v>15</v>
      </c>
      <c r="C134" s="13"/>
      <c r="D134" s="13">
        <v>2090.5729999999999</v>
      </c>
      <c r="E134" s="13">
        <v>1522.6319999999998</v>
      </c>
      <c r="F134" s="13">
        <v>170.73500000000001</v>
      </c>
      <c r="G134" s="13">
        <v>333.83600000000001</v>
      </c>
      <c r="H134" s="13"/>
      <c r="I134" s="13">
        <v>663.34100000000001</v>
      </c>
      <c r="J134" s="13"/>
      <c r="K134" s="13"/>
      <c r="L134" s="16">
        <v>4781.1170000000002</v>
      </c>
      <c r="N134" s="5">
        <v>2012</v>
      </c>
      <c r="O134" s="4" t="s">
        <v>14</v>
      </c>
      <c r="P134" s="6"/>
      <c r="Q134" s="6"/>
      <c r="R134" s="6"/>
      <c r="S134" s="6"/>
      <c r="T134" s="6">
        <v>56177.926999999996</v>
      </c>
      <c r="U134" s="6">
        <v>5571.7250000000013</v>
      </c>
      <c r="V134" s="6"/>
      <c r="W134" s="16">
        <v>61749.651999999995</v>
      </c>
      <c r="Y134" s="19">
        <v>2010</v>
      </c>
      <c r="Z134" s="17" t="s">
        <v>15</v>
      </c>
      <c r="AA134" s="18">
        <v>2344.9919999999997</v>
      </c>
      <c r="AB134" s="18">
        <v>33621.877999999982</v>
      </c>
      <c r="AC134" s="18">
        <v>1695.2700000000004</v>
      </c>
      <c r="AD134" s="18"/>
      <c r="AE134" s="18"/>
      <c r="AF134" s="18"/>
      <c r="AG134" s="18">
        <v>6996.5339999999978</v>
      </c>
      <c r="AH134" s="18">
        <v>2285.9719999999998</v>
      </c>
      <c r="AI134" s="18"/>
      <c r="AJ134" s="18">
        <v>46944.645999999986</v>
      </c>
    </row>
    <row r="135" spans="1:36" x14ac:dyDescent="0.25">
      <c r="A135" s="5">
        <v>2011</v>
      </c>
      <c r="B135" s="4" t="s">
        <v>4</v>
      </c>
      <c r="C135" s="13"/>
      <c r="D135" s="13">
        <v>163.69200000000006</v>
      </c>
      <c r="E135" s="13"/>
      <c r="F135" s="13"/>
      <c r="G135" s="13">
        <v>1627.9660000000001</v>
      </c>
      <c r="H135" s="13"/>
      <c r="I135" s="13">
        <v>12545.876999999999</v>
      </c>
      <c r="J135" s="13"/>
      <c r="K135" s="13"/>
      <c r="L135" s="16">
        <v>14337.534999999998</v>
      </c>
      <c r="N135" s="5">
        <v>2012</v>
      </c>
      <c r="O135" s="4" t="s">
        <v>15</v>
      </c>
      <c r="P135" s="6"/>
      <c r="Q135" s="6"/>
      <c r="R135" s="6"/>
      <c r="S135" s="6"/>
      <c r="T135" s="6">
        <v>13498.874000000002</v>
      </c>
      <c r="U135" s="6">
        <v>3048.067</v>
      </c>
      <c r="V135" s="6"/>
      <c r="W135" s="16">
        <v>16546.941000000003</v>
      </c>
      <c r="Y135" s="19">
        <v>2011</v>
      </c>
      <c r="Z135" s="17" t="s">
        <v>4</v>
      </c>
      <c r="AA135" s="18">
        <v>20085.538999999997</v>
      </c>
      <c r="AB135" s="18">
        <v>55277.342000000019</v>
      </c>
      <c r="AC135" s="18">
        <v>4602.6539999999986</v>
      </c>
      <c r="AD135" s="18"/>
      <c r="AE135" s="18"/>
      <c r="AF135" s="18"/>
      <c r="AG135" s="18"/>
      <c r="AH135" s="18"/>
      <c r="AI135" s="18"/>
      <c r="AJ135" s="18">
        <v>79965.535000000018</v>
      </c>
    </row>
    <row r="136" spans="1:36" x14ac:dyDescent="0.25">
      <c r="A136" s="5">
        <v>2011</v>
      </c>
      <c r="B136" s="4" t="s">
        <v>5</v>
      </c>
      <c r="C136" s="13">
        <v>20.466999999999995</v>
      </c>
      <c r="D136" s="13">
        <v>344.93399999999991</v>
      </c>
      <c r="E136" s="13">
        <v>69.844999999999999</v>
      </c>
      <c r="F136" s="13"/>
      <c r="G136" s="13">
        <v>4512.8099999999995</v>
      </c>
      <c r="H136" s="13"/>
      <c r="I136" s="13">
        <v>31692.464999999997</v>
      </c>
      <c r="J136" s="13"/>
      <c r="K136" s="13"/>
      <c r="L136" s="16">
        <v>36640.520999999993</v>
      </c>
      <c r="N136" s="5">
        <v>2013</v>
      </c>
      <c r="O136" s="4" t="s">
        <v>5</v>
      </c>
      <c r="P136" s="6"/>
      <c r="Q136" s="6"/>
      <c r="R136" s="6"/>
      <c r="S136" s="6"/>
      <c r="T136" s="6">
        <v>973.81099999999992</v>
      </c>
      <c r="U136" s="6">
        <v>98.13</v>
      </c>
      <c r="V136" s="6"/>
      <c r="W136" s="16">
        <v>1071.9409999999998</v>
      </c>
      <c r="Y136" s="19">
        <v>2011</v>
      </c>
      <c r="Z136" s="17" t="s">
        <v>5</v>
      </c>
      <c r="AA136" s="18">
        <v>16305.908999999992</v>
      </c>
      <c r="AB136" s="18">
        <v>46938.942999999985</v>
      </c>
      <c r="AC136" s="18">
        <v>7789.8239999999987</v>
      </c>
      <c r="AD136" s="18"/>
      <c r="AE136" s="18"/>
      <c r="AF136" s="18"/>
      <c r="AG136" s="18">
        <v>334.964</v>
      </c>
      <c r="AH136" s="18">
        <v>76.763999999999996</v>
      </c>
      <c r="AI136" s="18"/>
      <c r="AJ136" s="18">
        <v>71446.40399999998</v>
      </c>
    </row>
    <row r="137" spans="1:36" x14ac:dyDescent="0.25">
      <c r="A137" s="5">
        <v>2011</v>
      </c>
      <c r="B137" s="4" t="s">
        <v>6</v>
      </c>
      <c r="C137" s="13">
        <v>5.1320000000000006</v>
      </c>
      <c r="D137" s="13">
        <v>1805.9779999999996</v>
      </c>
      <c r="E137" s="13">
        <v>1300.3179999999998</v>
      </c>
      <c r="F137" s="13"/>
      <c r="G137" s="13">
        <v>7947.0420000000031</v>
      </c>
      <c r="H137" s="13">
        <v>465.45600000000002</v>
      </c>
      <c r="I137" s="13">
        <v>24398.109000000011</v>
      </c>
      <c r="J137" s="13"/>
      <c r="K137" s="13"/>
      <c r="L137" s="16">
        <v>35922.035000000018</v>
      </c>
      <c r="N137" s="5">
        <v>2013</v>
      </c>
      <c r="O137" s="4" t="s">
        <v>6</v>
      </c>
      <c r="P137" s="6"/>
      <c r="Q137" s="6"/>
      <c r="R137" s="6"/>
      <c r="S137" s="6"/>
      <c r="T137" s="6">
        <v>470.75</v>
      </c>
      <c r="U137" s="6"/>
      <c r="V137" s="6"/>
      <c r="W137" s="16">
        <v>470.75</v>
      </c>
      <c r="Y137" s="19">
        <v>2011</v>
      </c>
      <c r="Z137" s="17" t="s">
        <v>6</v>
      </c>
      <c r="AA137" s="18">
        <v>7450.0480000000034</v>
      </c>
      <c r="AB137" s="18">
        <v>26724.577000000045</v>
      </c>
      <c r="AC137" s="18">
        <v>28809.410000000007</v>
      </c>
      <c r="AD137" s="18"/>
      <c r="AE137" s="18">
        <v>438.27700000000004</v>
      </c>
      <c r="AF137" s="18">
        <v>84.259000000000015</v>
      </c>
      <c r="AG137" s="18">
        <v>3389.072999999999</v>
      </c>
      <c r="AH137" s="18"/>
      <c r="AI137" s="18"/>
      <c r="AJ137" s="18">
        <v>66895.644000000058</v>
      </c>
    </row>
    <row r="138" spans="1:36" x14ac:dyDescent="0.25">
      <c r="A138" s="5">
        <v>2011</v>
      </c>
      <c r="B138" s="4" t="s">
        <v>7</v>
      </c>
      <c r="C138" s="13">
        <v>0.57500000000000007</v>
      </c>
      <c r="D138" s="13">
        <v>4313.2740000000022</v>
      </c>
      <c r="E138" s="13">
        <v>2457.875</v>
      </c>
      <c r="F138" s="13"/>
      <c r="G138" s="13">
        <v>4688.9479999999994</v>
      </c>
      <c r="H138" s="13"/>
      <c r="I138" s="13">
        <v>16577.373</v>
      </c>
      <c r="J138" s="13"/>
      <c r="K138" s="13"/>
      <c r="L138" s="16">
        <v>28038.045000000002</v>
      </c>
      <c r="N138" s="5">
        <v>2013</v>
      </c>
      <c r="O138" s="4" t="s">
        <v>7</v>
      </c>
      <c r="P138" s="6"/>
      <c r="Q138" s="6"/>
      <c r="R138" s="6"/>
      <c r="S138" s="6"/>
      <c r="T138" s="6">
        <v>17.96</v>
      </c>
      <c r="U138" s="6"/>
      <c r="V138" s="6"/>
      <c r="W138" s="16">
        <v>17.96</v>
      </c>
      <c r="Y138" s="19">
        <v>2011</v>
      </c>
      <c r="Z138" s="17" t="s">
        <v>7</v>
      </c>
      <c r="AA138" s="18">
        <v>3694.7869999999998</v>
      </c>
      <c r="AB138" s="18">
        <v>50406.646999999983</v>
      </c>
      <c r="AC138" s="18">
        <v>14473.722999999998</v>
      </c>
      <c r="AD138" s="18"/>
      <c r="AE138" s="18">
        <v>308.94400000000002</v>
      </c>
      <c r="AF138" s="18">
        <v>142.78899999999999</v>
      </c>
      <c r="AG138" s="18">
        <v>2250.0680000000002</v>
      </c>
      <c r="AH138" s="18"/>
      <c r="AI138" s="18"/>
      <c r="AJ138" s="18">
        <v>71276.957999999984</v>
      </c>
    </row>
    <row r="139" spans="1:36" x14ac:dyDescent="0.25">
      <c r="A139" s="5">
        <v>2011</v>
      </c>
      <c r="B139" s="4" t="s">
        <v>8</v>
      </c>
      <c r="C139" s="13">
        <v>554.52600000000007</v>
      </c>
      <c r="D139" s="13">
        <v>6641.8980000000047</v>
      </c>
      <c r="E139" s="13">
        <v>1922.9380000000003</v>
      </c>
      <c r="F139" s="13"/>
      <c r="G139" s="13"/>
      <c r="H139" s="13"/>
      <c r="I139" s="13">
        <v>22374.67200000001</v>
      </c>
      <c r="J139" s="13">
        <v>728.20500000000004</v>
      </c>
      <c r="K139" s="13"/>
      <c r="L139" s="16">
        <v>32222.239000000016</v>
      </c>
      <c r="N139" s="5">
        <v>2013</v>
      </c>
      <c r="O139" s="4" t="s">
        <v>8</v>
      </c>
      <c r="P139" s="6"/>
      <c r="Q139" s="6"/>
      <c r="R139" s="6"/>
      <c r="S139" s="6"/>
      <c r="T139" s="6">
        <v>5238.8249999999998</v>
      </c>
      <c r="U139" s="6">
        <v>438.93999999999994</v>
      </c>
      <c r="V139" s="6"/>
      <c r="W139" s="16">
        <v>5677.7649999999994</v>
      </c>
      <c r="Y139" s="19">
        <v>2011</v>
      </c>
      <c r="Z139" s="17" t="s">
        <v>8</v>
      </c>
      <c r="AA139" s="18">
        <v>30182.535999999986</v>
      </c>
      <c r="AB139" s="18">
        <v>49115.401000000034</v>
      </c>
      <c r="AC139" s="18">
        <v>21696.398000000001</v>
      </c>
      <c r="AD139" s="18"/>
      <c r="AE139" s="18">
        <v>1545.3030000000001</v>
      </c>
      <c r="AF139" s="18"/>
      <c r="AG139" s="18">
        <v>698.40200000000027</v>
      </c>
      <c r="AH139" s="18"/>
      <c r="AI139" s="18"/>
      <c r="AJ139" s="18">
        <v>103238.04000000002</v>
      </c>
    </row>
    <row r="140" spans="1:36" x14ac:dyDescent="0.25">
      <c r="A140" s="5">
        <v>2011</v>
      </c>
      <c r="B140" s="4" t="s">
        <v>9</v>
      </c>
      <c r="C140" s="13">
        <v>35.119</v>
      </c>
      <c r="D140" s="13">
        <v>145.98600000000002</v>
      </c>
      <c r="E140" s="13">
        <v>197.48999999999998</v>
      </c>
      <c r="F140" s="13"/>
      <c r="G140" s="13"/>
      <c r="H140" s="13"/>
      <c r="I140" s="13">
        <v>25775.874</v>
      </c>
      <c r="J140" s="13">
        <v>51.11</v>
      </c>
      <c r="K140" s="13"/>
      <c r="L140" s="16">
        <v>26205.579000000002</v>
      </c>
      <c r="N140" s="5">
        <v>2013</v>
      </c>
      <c r="O140" s="4" t="s">
        <v>9</v>
      </c>
      <c r="P140" s="6"/>
      <c r="Q140" s="6"/>
      <c r="R140" s="6"/>
      <c r="S140" s="6"/>
      <c r="T140" s="6">
        <v>2275.4530000000004</v>
      </c>
      <c r="U140" s="6">
        <v>1025.8549999999998</v>
      </c>
      <c r="V140" s="6"/>
      <c r="W140" s="16">
        <v>3301.308</v>
      </c>
      <c r="Y140" s="19">
        <v>2011</v>
      </c>
      <c r="Z140" s="17" t="s">
        <v>9</v>
      </c>
      <c r="AA140" s="18">
        <v>77991.926000000021</v>
      </c>
      <c r="AB140" s="18">
        <v>119392.13100000004</v>
      </c>
      <c r="AC140" s="18">
        <v>4341.393</v>
      </c>
      <c r="AD140" s="18"/>
      <c r="AE140" s="18">
        <v>804.30899999999997</v>
      </c>
      <c r="AF140" s="18"/>
      <c r="AG140" s="18">
        <v>338.30299999999994</v>
      </c>
      <c r="AH140" s="18">
        <v>26.85</v>
      </c>
      <c r="AI140" s="18"/>
      <c r="AJ140" s="18">
        <v>202894.9120000001</v>
      </c>
    </row>
    <row r="141" spans="1:36" x14ac:dyDescent="0.25">
      <c r="A141" s="5">
        <v>2011</v>
      </c>
      <c r="B141" s="4" t="s">
        <v>10</v>
      </c>
      <c r="C141" s="13"/>
      <c r="D141" s="13">
        <v>3349.078</v>
      </c>
      <c r="E141" s="13">
        <v>269.411</v>
      </c>
      <c r="F141" s="13"/>
      <c r="G141" s="13"/>
      <c r="H141" s="13"/>
      <c r="I141" s="13">
        <v>14008.567999999996</v>
      </c>
      <c r="J141" s="13">
        <v>23.715</v>
      </c>
      <c r="K141" s="13"/>
      <c r="L141" s="16">
        <v>17650.771999999997</v>
      </c>
      <c r="N141" s="5">
        <v>2013</v>
      </c>
      <c r="O141" s="4" t="s">
        <v>10</v>
      </c>
      <c r="P141" s="6"/>
      <c r="Q141" s="6"/>
      <c r="R141" s="6"/>
      <c r="S141" s="6"/>
      <c r="T141" s="6">
        <v>3201.6699999999996</v>
      </c>
      <c r="U141" s="6">
        <v>368.16800000000001</v>
      </c>
      <c r="V141" s="6"/>
      <c r="W141" s="16">
        <v>3569.8379999999997</v>
      </c>
      <c r="Y141" s="19">
        <v>2011</v>
      </c>
      <c r="Z141" s="17" t="s">
        <v>10</v>
      </c>
      <c r="AA141" s="18">
        <v>53210.122000000039</v>
      </c>
      <c r="AB141" s="18">
        <v>77137.852000000014</v>
      </c>
      <c r="AC141" s="18">
        <v>2297.6950000000002</v>
      </c>
      <c r="AD141" s="18"/>
      <c r="AE141" s="18">
        <v>137.44999999999999</v>
      </c>
      <c r="AF141" s="18"/>
      <c r="AG141" s="18">
        <v>1053.5040000000001</v>
      </c>
      <c r="AH141" s="18">
        <v>179.423</v>
      </c>
      <c r="AI141" s="18"/>
      <c r="AJ141" s="18">
        <v>134016.04600000006</v>
      </c>
    </row>
    <row r="142" spans="1:36" x14ac:dyDescent="0.25">
      <c r="A142" s="5">
        <v>2011</v>
      </c>
      <c r="B142" s="4" t="s">
        <v>11</v>
      </c>
      <c r="C142" s="13"/>
      <c r="D142" s="13">
        <v>80.281999999999982</v>
      </c>
      <c r="E142" s="13">
        <v>153.54799999999997</v>
      </c>
      <c r="F142" s="13">
        <v>67.670999999999992</v>
      </c>
      <c r="G142" s="13">
        <v>4057.9419999999996</v>
      </c>
      <c r="H142" s="13"/>
      <c r="I142" s="13">
        <v>7062.0970000000016</v>
      </c>
      <c r="J142" s="13"/>
      <c r="K142" s="13"/>
      <c r="L142" s="16">
        <v>11421.54</v>
      </c>
      <c r="N142" s="5">
        <v>2013</v>
      </c>
      <c r="O142" s="4" t="s">
        <v>13</v>
      </c>
      <c r="P142" s="6"/>
      <c r="Q142" s="6"/>
      <c r="R142" s="6"/>
      <c r="S142" s="6"/>
      <c r="T142" s="6">
        <v>4845.6260000000002</v>
      </c>
      <c r="U142" s="6">
        <v>871.279</v>
      </c>
      <c r="V142" s="6"/>
      <c r="W142" s="16">
        <v>5716.9050000000007</v>
      </c>
      <c r="Y142" s="19">
        <v>2011</v>
      </c>
      <c r="Z142" s="17" t="s">
        <v>11</v>
      </c>
      <c r="AA142" s="18">
        <v>841.34400000000005</v>
      </c>
      <c r="AB142" s="18">
        <v>4298.0079999999989</v>
      </c>
      <c r="AC142" s="18">
        <v>398.589</v>
      </c>
      <c r="AD142" s="18"/>
      <c r="AE142" s="18"/>
      <c r="AF142" s="18"/>
      <c r="AG142" s="18">
        <v>184.255</v>
      </c>
      <c r="AH142" s="18">
        <v>33.93</v>
      </c>
      <c r="AI142" s="18"/>
      <c r="AJ142" s="18">
        <v>5756.1259999999993</v>
      </c>
    </row>
    <row r="143" spans="1:36" x14ac:dyDescent="0.25">
      <c r="A143" s="5">
        <v>2011</v>
      </c>
      <c r="B143" s="4" t="s">
        <v>12</v>
      </c>
      <c r="C143" s="13"/>
      <c r="D143" s="13">
        <v>9.8439999999999994</v>
      </c>
      <c r="E143" s="13">
        <v>35.180999999999997</v>
      </c>
      <c r="F143" s="13"/>
      <c r="G143" s="13">
        <v>2337.0930000000003</v>
      </c>
      <c r="H143" s="13"/>
      <c r="I143" s="13">
        <v>2383.6010000000001</v>
      </c>
      <c r="J143" s="13"/>
      <c r="K143" s="13"/>
      <c r="L143" s="16">
        <v>4765.719000000001</v>
      </c>
      <c r="N143" s="5">
        <v>2013</v>
      </c>
      <c r="O143" s="4" t="s">
        <v>14</v>
      </c>
      <c r="P143" s="6"/>
      <c r="Q143" s="6"/>
      <c r="R143" s="6"/>
      <c r="S143" s="6"/>
      <c r="T143" s="6">
        <v>16524.528000000002</v>
      </c>
      <c r="U143" s="6">
        <v>1973.7939999999999</v>
      </c>
      <c r="V143" s="6"/>
      <c r="W143" s="16">
        <v>18498.322</v>
      </c>
      <c r="Y143" s="19">
        <v>2011</v>
      </c>
      <c r="Z143" s="17" t="s">
        <v>12</v>
      </c>
      <c r="AA143" s="18"/>
      <c r="AB143" s="18">
        <v>2813.3680000000013</v>
      </c>
      <c r="AC143" s="18">
        <v>424.09900000000005</v>
      </c>
      <c r="AD143" s="18"/>
      <c r="AE143" s="18">
        <v>116.08</v>
      </c>
      <c r="AF143" s="18"/>
      <c r="AG143" s="18"/>
      <c r="AH143" s="18"/>
      <c r="AI143" s="18"/>
      <c r="AJ143" s="18">
        <v>3353.5470000000014</v>
      </c>
    </row>
    <row r="144" spans="1:36" x14ac:dyDescent="0.25">
      <c r="A144" s="5">
        <v>2011</v>
      </c>
      <c r="B144" s="4" t="s">
        <v>13</v>
      </c>
      <c r="C144" s="13"/>
      <c r="D144" s="13">
        <v>674.63699999999994</v>
      </c>
      <c r="E144" s="13">
        <v>1400.7439999999995</v>
      </c>
      <c r="F144" s="13"/>
      <c r="G144" s="13"/>
      <c r="H144" s="13"/>
      <c r="I144" s="13">
        <v>289.137</v>
      </c>
      <c r="J144" s="13"/>
      <c r="K144" s="13"/>
      <c r="L144" s="16">
        <v>2364.5179999999996</v>
      </c>
      <c r="N144" s="5">
        <v>2013</v>
      </c>
      <c r="O144" s="4" t="s">
        <v>15</v>
      </c>
      <c r="P144" s="6"/>
      <c r="Q144" s="6"/>
      <c r="R144" s="6"/>
      <c r="S144" s="6"/>
      <c r="T144" s="6">
        <v>13986.951000000005</v>
      </c>
      <c r="U144" s="6">
        <v>2152.4230000000002</v>
      </c>
      <c r="V144" s="6"/>
      <c r="W144" s="16">
        <v>16139.374000000005</v>
      </c>
      <c r="Y144" s="19">
        <v>2011</v>
      </c>
      <c r="Z144" s="17" t="s">
        <v>13</v>
      </c>
      <c r="AA144" s="18">
        <v>12600.576000000003</v>
      </c>
      <c r="AB144" s="18">
        <v>53777.710000000036</v>
      </c>
      <c r="AC144" s="18">
        <v>14308.652000000007</v>
      </c>
      <c r="AD144" s="18"/>
      <c r="AE144" s="18"/>
      <c r="AF144" s="18"/>
      <c r="AG144" s="18">
        <v>570.35399999999993</v>
      </c>
      <c r="AH144" s="18">
        <v>36.936</v>
      </c>
      <c r="AI144" s="18">
        <v>234.94499999999999</v>
      </c>
      <c r="AJ144" s="18">
        <v>81529.173000000053</v>
      </c>
    </row>
    <row r="145" spans="1:36" x14ac:dyDescent="0.25">
      <c r="A145" s="5">
        <v>2011</v>
      </c>
      <c r="B145" s="4" t="s">
        <v>14</v>
      </c>
      <c r="C145" s="13"/>
      <c r="D145" s="13">
        <v>1088.0280000000002</v>
      </c>
      <c r="E145" s="13">
        <v>3153.3410000000003</v>
      </c>
      <c r="F145" s="13"/>
      <c r="G145" s="13">
        <v>419.774</v>
      </c>
      <c r="H145" s="13"/>
      <c r="I145" s="13"/>
      <c r="J145" s="13"/>
      <c r="K145" s="13"/>
      <c r="L145" s="16">
        <v>4661.1430000000009</v>
      </c>
      <c r="N145" s="5">
        <v>2014</v>
      </c>
      <c r="O145" s="4" t="s">
        <v>5</v>
      </c>
      <c r="P145" s="6"/>
      <c r="Q145" s="6"/>
      <c r="R145" s="6"/>
      <c r="S145" s="6"/>
      <c r="T145" s="6">
        <v>83.224000000000004</v>
      </c>
      <c r="U145" s="6"/>
      <c r="V145" s="6"/>
      <c r="W145" s="16">
        <v>83.224000000000004</v>
      </c>
      <c r="Y145" s="19">
        <v>2011</v>
      </c>
      <c r="Z145" s="17" t="s">
        <v>14</v>
      </c>
      <c r="AA145" s="18">
        <v>1841.4930000000002</v>
      </c>
      <c r="AB145" s="18">
        <v>47259.055000000022</v>
      </c>
      <c r="AC145" s="18">
        <v>12858.944999999996</v>
      </c>
      <c r="AD145" s="18"/>
      <c r="AE145" s="18"/>
      <c r="AF145" s="18"/>
      <c r="AG145" s="18">
        <v>2469.2730000000006</v>
      </c>
      <c r="AH145" s="18">
        <v>98.084000000000003</v>
      </c>
      <c r="AI145" s="18">
        <v>148.12299999999999</v>
      </c>
      <c r="AJ145" s="18">
        <v>64674.97300000002</v>
      </c>
    </row>
    <row r="146" spans="1:36" x14ac:dyDescent="0.25">
      <c r="A146" s="5">
        <v>2011</v>
      </c>
      <c r="B146" s="4" t="s">
        <v>15</v>
      </c>
      <c r="C146" s="13"/>
      <c r="D146" s="13">
        <v>387.33600000000001</v>
      </c>
      <c r="E146" s="13">
        <v>18.420000000000002</v>
      </c>
      <c r="F146" s="13"/>
      <c r="G146" s="13">
        <v>2155.616</v>
      </c>
      <c r="H146" s="13"/>
      <c r="I146" s="13">
        <v>9691.4459999999999</v>
      </c>
      <c r="J146" s="13"/>
      <c r="K146" s="13"/>
      <c r="L146" s="16">
        <v>12252.817999999999</v>
      </c>
      <c r="N146" s="5">
        <v>2014</v>
      </c>
      <c r="O146" s="4" t="s">
        <v>6</v>
      </c>
      <c r="P146" s="6"/>
      <c r="Q146" s="6"/>
      <c r="R146" s="6"/>
      <c r="S146" s="6"/>
      <c r="T146" s="6">
        <v>7321.9800000000005</v>
      </c>
      <c r="U146" s="6"/>
      <c r="V146" s="6"/>
      <c r="W146" s="16">
        <v>7321.9800000000005</v>
      </c>
      <c r="Y146" s="19">
        <v>2011</v>
      </c>
      <c r="Z146" s="17" t="s">
        <v>15</v>
      </c>
      <c r="AA146" s="18">
        <v>8131.1059999999998</v>
      </c>
      <c r="AB146" s="18">
        <v>17319.37899999999</v>
      </c>
      <c r="AC146" s="18">
        <v>572.20000000000005</v>
      </c>
      <c r="AD146" s="18"/>
      <c r="AE146" s="18"/>
      <c r="AF146" s="18"/>
      <c r="AG146" s="18">
        <v>869.86199999999997</v>
      </c>
      <c r="AH146" s="18"/>
      <c r="AI146" s="18"/>
      <c r="AJ146" s="18">
        <v>26892.546999999991</v>
      </c>
    </row>
    <row r="147" spans="1:36" x14ac:dyDescent="0.25">
      <c r="A147" s="5">
        <v>2012</v>
      </c>
      <c r="B147" s="4" t="s">
        <v>4</v>
      </c>
      <c r="C147" s="13"/>
      <c r="D147" s="13"/>
      <c r="E147" s="13"/>
      <c r="F147" s="13"/>
      <c r="G147" s="13">
        <v>8549.8359999999993</v>
      </c>
      <c r="H147" s="13"/>
      <c r="I147" s="13">
        <v>66814.505000000005</v>
      </c>
      <c r="J147" s="13"/>
      <c r="K147" s="13"/>
      <c r="L147" s="16">
        <v>75364.341</v>
      </c>
      <c r="N147" s="5">
        <v>2014</v>
      </c>
      <c r="O147" s="4" t="s">
        <v>7</v>
      </c>
      <c r="P147" s="6"/>
      <c r="Q147" s="6"/>
      <c r="R147" s="6"/>
      <c r="S147" s="6"/>
      <c r="T147" s="6">
        <v>10417.144999999999</v>
      </c>
      <c r="U147" s="6"/>
      <c r="V147" s="6"/>
      <c r="W147" s="16">
        <v>10417.144999999999</v>
      </c>
      <c r="Y147" s="19">
        <v>2012</v>
      </c>
      <c r="Z147" s="17" t="s">
        <v>4</v>
      </c>
      <c r="AA147" s="18">
        <v>2425.5070000000001</v>
      </c>
      <c r="AB147" s="18"/>
      <c r="AC147" s="18"/>
      <c r="AD147" s="18"/>
      <c r="AE147" s="18"/>
      <c r="AF147" s="18"/>
      <c r="AG147" s="18"/>
      <c r="AH147" s="18"/>
      <c r="AI147" s="18"/>
      <c r="AJ147" s="18">
        <v>2425.5070000000001</v>
      </c>
    </row>
    <row r="148" spans="1:36" x14ac:dyDescent="0.25">
      <c r="A148" s="5">
        <v>2012</v>
      </c>
      <c r="B148" s="4" t="s">
        <v>5</v>
      </c>
      <c r="C148" s="13">
        <v>21.900000000000002</v>
      </c>
      <c r="D148" s="13">
        <v>777.70799999999986</v>
      </c>
      <c r="E148" s="13">
        <v>85.496999999999986</v>
      </c>
      <c r="F148" s="13"/>
      <c r="G148" s="13">
        <v>6751.2219999999998</v>
      </c>
      <c r="H148" s="13"/>
      <c r="I148" s="13">
        <v>40409.758999999976</v>
      </c>
      <c r="J148" s="13"/>
      <c r="K148" s="13"/>
      <c r="L148" s="16">
        <v>48046.085999999974</v>
      </c>
      <c r="N148" s="5">
        <v>2014</v>
      </c>
      <c r="O148" s="4" t="s">
        <v>8</v>
      </c>
      <c r="P148" s="6"/>
      <c r="Q148" s="6"/>
      <c r="R148" s="6"/>
      <c r="S148" s="6"/>
      <c r="T148" s="6">
        <v>18739.271000000001</v>
      </c>
      <c r="U148" s="6"/>
      <c r="V148" s="6"/>
      <c r="W148" s="16">
        <v>18739.271000000001</v>
      </c>
      <c r="Y148" s="19">
        <v>2012</v>
      </c>
      <c r="Z148" s="17" t="s">
        <v>5</v>
      </c>
      <c r="AA148" s="18">
        <v>13880.730999999998</v>
      </c>
      <c r="AB148" s="18">
        <v>35145.738000000019</v>
      </c>
      <c r="AC148" s="18">
        <v>7604.5269999999982</v>
      </c>
      <c r="AD148" s="18"/>
      <c r="AE148" s="18"/>
      <c r="AF148" s="18"/>
      <c r="AG148" s="18">
        <v>249.91999999999993</v>
      </c>
      <c r="AH148" s="18"/>
      <c r="AI148" s="18"/>
      <c r="AJ148" s="18">
        <v>56880.916000000012</v>
      </c>
    </row>
    <row r="149" spans="1:36" x14ac:dyDescent="0.25">
      <c r="A149" s="5">
        <v>2012</v>
      </c>
      <c r="B149" s="4" t="s">
        <v>6</v>
      </c>
      <c r="C149" s="13">
        <v>1.008</v>
      </c>
      <c r="D149" s="13">
        <v>4452.1380000000008</v>
      </c>
      <c r="E149" s="13">
        <v>1670.0129999999995</v>
      </c>
      <c r="F149" s="13"/>
      <c r="G149" s="13">
        <v>6704.49</v>
      </c>
      <c r="H149" s="13"/>
      <c r="I149" s="13">
        <v>25575.941999999999</v>
      </c>
      <c r="J149" s="13"/>
      <c r="K149" s="13"/>
      <c r="L149" s="16">
        <v>38403.591</v>
      </c>
      <c r="N149" s="5">
        <v>2014</v>
      </c>
      <c r="O149" s="4" t="s">
        <v>9</v>
      </c>
      <c r="P149" s="6"/>
      <c r="Q149" s="6"/>
      <c r="R149" s="6"/>
      <c r="S149" s="6"/>
      <c r="T149" s="6">
        <v>17323.551000000003</v>
      </c>
      <c r="U149" s="6">
        <v>52.110999999999997</v>
      </c>
      <c r="V149" s="6"/>
      <c r="W149" s="16">
        <v>17375.662000000004</v>
      </c>
      <c r="Y149" s="19">
        <v>2012</v>
      </c>
      <c r="Z149" s="17" t="s">
        <v>6</v>
      </c>
      <c r="AA149" s="18">
        <v>355.65699999999998</v>
      </c>
      <c r="AB149" s="18">
        <v>22676.860999999986</v>
      </c>
      <c r="AC149" s="18">
        <v>6826.8379999999997</v>
      </c>
      <c r="AD149" s="18"/>
      <c r="AE149" s="18"/>
      <c r="AF149" s="18"/>
      <c r="AG149" s="18">
        <v>1053.2960000000003</v>
      </c>
      <c r="AH149" s="18"/>
      <c r="AI149" s="18"/>
      <c r="AJ149" s="18">
        <v>30912.651999999987</v>
      </c>
    </row>
    <row r="150" spans="1:36" x14ac:dyDescent="0.25">
      <c r="A150" s="5">
        <v>2012</v>
      </c>
      <c r="B150" s="4" t="s">
        <v>7</v>
      </c>
      <c r="C150" s="13"/>
      <c r="D150" s="13">
        <v>2738.4259999999995</v>
      </c>
      <c r="E150" s="13">
        <v>148.197</v>
      </c>
      <c r="F150" s="13"/>
      <c r="G150" s="13">
        <v>3648.8539999999998</v>
      </c>
      <c r="H150" s="13"/>
      <c r="I150" s="13">
        <v>19216.106</v>
      </c>
      <c r="J150" s="13"/>
      <c r="K150" s="13"/>
      <c r="L150" s="16">
        <v>25751.582999999999</v>
      </c>
      <c r="N150" s="5">
        <v>2014</v>
      </c>
      <c r="O150" s="4" t="s">
        <v>10</v>
      </c>
      <c r="P150" s="6"/>
      <c r="Q150" s="6"/>
      <c r="R150" s="6"/>
      <c r="S150" s="6"/>
      <c r="T150" s="6">
        <v>8148.6879999999992</v>
      </c>
      <c r="U150" s="6">
        <v>3890.2330000000002</v>
      </c>
      <c r="V150" s="6"/>
      <c r="W150" s="16">
        <v>12038.920999999998</v>
      </c>
      <c r="Y150" s="19">
        <v>2012</v>
      </c>
      <c r="Z150" s="17" t="s">
        <v>7</v>
      </c>
      <c r="AA150" s="18">
        <v>181.76</v>
      </c>
      <c r="AB150" s="18">
        <v>15582.930999999995</v>
      </c>
      <c r="AC150" s="18">
        <v>2028.1949999999999</v>
      </c>
      <c r="AD150" s="18"/>
      <c r="AE150" s="18"/>
      <c r="AF150" s="18"/>
      <c r="AG150" s="18">
        <v>1966.0320000000002</v>
      </c>
      <c r="AH150" s="18"/>
      <c r="AI150" s="18"/>
      <c r="AJ150" s="18">
        <v>19758.917999999994</v>
      </c>
    </row>
    <row r="151" spans="1:36" x14ac:dyDescent="0.25">
      <c r="A151" s="5">
        <v>2012</v>
      </c>
      <c r="B151" s="4" t="s">
        <v>8</v>
      </c>
      <c r="C151" s="13">
        <v>283.60599999999999</v>
      </c>
      <c r="D151" s="13">
        <v>477.59100000000018</v>
      </c>
      <c r="E151" s="13"/>
      <c r="F151" s="13"/>
      <c r="G151" s="13">
        <v>3508.6350000000007</v>
      </c>
      <c r="H151" s="13"/>
      <c r="I151" s="13">
        <v>15030.709000000003</v>
      </c>
      <c r="J151" s="13"/>
      <c r="K151" s="13"/>
      <c r="L151" s="16">
        <v>19300.541000000005</v>
      </c>
      <c r="N151" s="5">
        <v>2014</v>
      </c>
      <c r="O151" s="4" t="s">
        <v>13</v>
      </c>
      <c r="P151" s="6"/>
      <c r="Q151" s="6"/>
      <c r="R151" s="6"/>
      <c r="S151" s="6"/>
      <c r="T151" s="6">
        <v>1879.9390000000001</v>
      </c>
      <c r="U151" s="6"/>
      <c r="V151" s="6"/>
      <c r="W151" s="16">
        <v>1879.9390000000001</v>
      </c>
      <c r="Y151" s="19">
        <v>2012</v>
      </c>
      <c r="Z151" s="17" t="s">
        <v>8</v>
      </c>
      <c r="AA151" s="18">
        <v>3189.6939999999995</v>
      </c>
      <c r="AB151" s="18">
        <v>7845.4010000000007</v>
      </c>
      <c r="AC151" s="18">
        <v>1973.4779999999998</v>
      </c>
      <c r="AD151" s="18"/>
      <c r="AE151" s="18"/>
      <c r="AF151" s="18"/>
      <c r="AG151" s="18">
        <v>737.26100000000008</v>
      </c>
      <c r="AH151" s="18"/>
      <c r="AI151" s="18"/>
      <c r="AJ151" s="18">
        <v>13745.834000000001</v>
      </c>
    </row>
    <row r="152" spans="1:36" x14ac:dyDescent="0.25">
      <c r="A152" s="5">
        <v>2012</v>
      </c>
      <c r="B152" s="4" t="s">
        <v>9</v>
      </c>
      <c r="C152" s="13">
        <v>151.71</v>
      </c>
      <c r="D152" s="13">
        <v>1242.1059999999998</v>
      </c>
      <c r="E152" s="13"/>
      <c r="F152" s="13"/>
      <c r="G152" s="13">
        <v>698.44500000000005</v>
      </c>
      <c r="H152" s="13"/>
      <c r="I152" s="13">
        <v>2580.0219999999999</v>
      </c>
      <c r="J152" s="13"/>
      <c r="K152" s="13"/>
      <c r="L152" s="16">
        <v>4672.2829999999994</v>
      </c>
      <c r="N152" s="5">
        <v>2014</v>
      </c>
      <c r="O152" s="4" t="s">
        <v>14</v>
      </c>
      <c r="P152" s="6"/>
      <c r="Q152" s="6"/>
      <c r="R152" s="6"/>
      <c r="S152" s="6"/>
      <c r="T152" s="6">
        <v>6409.5029999999997</v>
      </c>
      <c r="U152" s="6">
        <v>610.28700000000003</v>
      </c>
      <c r="V152" s="6"/>
      <c r="W152" s="16">
        <v>7019.79</v>
      </c>
      <c r="Y152" s="19">
        <v>2012</v>
      </c>
      <c r="Z152" s="17" t="s">
        <v>9</v>
      </c>
      <c r="AA152" s="18">
        <v>27691.490999999995</v>
      </c>
      <c r="AB152" s="18">
        <v>33553.976000000017</v>
      </c>
      <c r="AC152" s="18">
        <v>194.506</v>
      </c>
      <c r="AD152" s="18"/>
      <c r="AE152" s="18"/>
      <c r="AF152" s="18"/>
      <c r="AG152" s="18">
        <v>548.93999999999994</v>
      </c>
      <c r="AH152" s="18"/>
      <c r="AI152" s="18"/>
      <c r="AJ152" s="18">
        <v>61988.913000000015</v>
      </c>
    </row>
    <row r="153" spans="1:36" x14ac:dyDescent="0.25">
      <c r="A153" s="5">
        <v>2012</v>
      </c>
      <c r="B153" s="4" t="s">
        <v>10</v>
      </c>
      <c r="C153" s="13">
        <v>30.149000000000001</v>
      </c>
      <c r="D153" s="13">
        <v>113.33700000000002</v>
      </c>
      <c r="E153" s="13"/>
      <c r="F153" s="13"/>
      <c r="G153" s="13"/>
      <c r="H153" s="13"/>
      <c r="I153" s="13">
        <v>8.7080000000000002</v>
      </c>
      <c r="J153" s="13"/>
      <c r="K153" s="13"/>
      <c r="L153" s="16">
        <v>152.19400000000002</v>
      </c>
      <c r="N153" s="5">
        <v>2014</v>
      </c>
      <c r="O153" s="4" t="s">
        <v>15</v>
      </c>
      <c r="P153" s="6"/>
      <c r="Q153" s="6"/>
      <c r="R153" s="6"/>
      <c r="S153" s="6"/>
      <c r="T153" s="6">
        <v>330.94900000000001</v>
      </c>
      <c r="U153" s="6"/>
      <c r="V153" s="6"/>
      <c r="W153" s="16">
        <v>330.94900000000001</v>
      </c>
      <c r="Y153" s="19">
        <v>2012</v>
      </c>
      <c r="Z153" s="17" t="s">
        <v>10</v>
      </c>
      <c r="AA153" s="18">
        <v>54602.209999999992</v>
      </c>
      <c r="AB153" s="18">
        <v>72947.780000000028</v>
      </c>
      <c r="AC153" s="18">
        <v>17.105</v>
      </c>
      <c r="AD153" s="18"/>
      <c r="AE153" s="18"/>
      <c r="AF153" s="18"/>
      <c r="AG153" s="18">
        <v>428.31499999999994</v>
      </c>
      <c r="AH153" s="18">
        <v>3.95</v>
      </c>
      <c r="AI153" s="18"/>
      <c r="AJ153" s="18">
        <v>127999.36000000002</v>
      </c>
    </row>
    <row r="154" spans="1:36" x14ac:dyDescent="0.25">
      <c r="A154" s="5">
        <v>2012</v>
      </c>
      <c r="B154" s="4" t="s">
        <v>12</v>
      </c>
      <c r="C154" s="13"/>
      <c r="D154" s="13"/>
      <c r="E154" s="13"/>
      <c r="F154" s="13"/>
      <c r="G154" s="13"/>
      <c r="H154" s="13"/>
      <c r="I154" s="13">
        <v>334.22</v>
      </c>
      <c r="J154" s="13"/>
      <c r="K154" s="13"/>
      <c r="L154" s="16">
        <v>334.22</v>
      </c>
      <c r="N154" s="5">
        <v>2015</v>
      </c>
      <c r="O154" s="4" t="s">
        <v>5</v>
      </c>
      <c r="P154" s="6"/>
      <c r="Q154" s="6"/>
      <c r="R154" s="6"/>
      <c r="S154" s="6"/>
      <c r="T154" s="6">
        <v>146.542</v>
      </c>
      <c r="U154" s="6"/>
      <c r="V154" s="6"/>
      <c r="W154" s="16">
        <v>146.542</v>
      </c>
      <c r="Y154" s="19">
        <v>2012</v>
      </c>
      <c r="Z154" s="17" t="s">
        <v>11</v>
      </c>
      <c r="AA154" s="18">
        <v>34334.504999999976</v>
      </c>
      <c r="AB154" s="18">
        <v>30451.362000000016</v>
      </c>
      <c r="AC154" s="18"/>
      <c r="AD154" s="18"/>
      <c r="AE154" s="18"/>
      <c r="AF154" s="18"/>
      <c r="AG154" s="18">
        <v>238.08699999999999</v>
      </c>
      <c r="AH154" s="18"/>
      <c r="AI154" s="18"/>
      <c r="AJ154" s="18">
        <v>65023.953999999991</v>
      </c>
    </row>
    <row r="155" spans="1:36" x14ac:dyDescent="0.25">
      <c r="A155" s="5">
        <v>2012</v>
      </c>
      <c r="B155" s="4" t="s">
        <v>13</v>
      </c>
      <c r="C155" s="13">
        <v>5.0410000000000004</v>
      </c>
      <c r="D155" s="13">
        <v>247.125</v>
      </c>
      <c r="E155" s="13"/>
      <c r="F155" s="13"/>
      <c r="G155" s="13"/>
      <c r="H155" s="13"/>
      <c r="I155" s="13">
        <v>74.066999999999993</v>
      </c>
      <c r="J155" s="13"/>
      <c r="K155" s="13"/>
      <c r="L155" s="16">
        <v>326.233</v>
      </c>
      <c r="N155" s="5">
        <v>2015</v>
      </c>
      <c r="O155" s="4" t="s">
        <v>6</v>
      </c>
      <c r="P155" s="6"/>
      <c r="Q155" s="6"/>
      <c r="R155" s="6"/>
      <c r="S155" s="6"/>
      <c r="T155" s="6">
        <v>31126.120999999985</v>
      </c>
      <c r="U155" s="6">
        <v>5118.8489999999993</v>
      </c>
      <c r="V155" s="6"/>
      <c r="W155" s="16">
        <v>36244.969999999987</v>
      </c>
      <c r="Y155" s="19">
        <v>2012</v>
      </c>
      <c r="Z155" s="17" t="s">
        <v>12</v>
      </c>
      <c r="AA155" s="18">
        <v>511.29</v>
      </c>
      <c r="AB155" s="18">
        <v>1930.2459999999999</v>
      </c>
      <c r="AC155" s="18"/>
      <c r="AD155" s="18"/>
      <c r="AE155" s="18"/>
      <c r="AF155" s="18"/>
      <c r="AG155" s="18"/>
      <c r="AH155" s="18"/>
      <c r="AI155" s="18"/>
      <c r="AJ155" s="18">
        <v>2441.5360000000001</v>
      </c>
    </row>
    <row r="156" spans="1:36" x14ac:dyDescent="0.25">
      <c r="A156" s="5">
        <v>2012</v>
      </c>
      <c r="B156" s="4" t="s">
        <v>14</v>
      </c>
      <c r="C156" s="13"/>
      <c r="D156" s="13">
        <v>402.65999999999991</v>
      </c>
      <c r="E156" s="13">
        <v>40.459000000000003</v>
      </c>
      <c r="F156" s="13"/>
      <c r="G156" s="13"/>
      <c r="H156" s="13"/>
      <c r="I156" s="13">
        <v>9.5000000000000001E-2</v>
      </c>
      <c r="J156" s="13"/>
      <c r="K156" s="13"/>
      <c r="L156" s="16">
        <v>443.21399999999994</v>
      </c>
      <c r="N156" s="5">
        <v>2015</v>
      </c>
      <c r="O156" s="4" t="s">
        <v>7</v>
      </c>
      <c r="P156" s="6"/>
      <c r="Q156" s="6"/>
      <c r="R156" s="6"/>
      <c r="S156" s="6"/>
      <c r="T156" s="6">
        <v>2842.9410000000003</v>
      </c>
      <c r="U156" s="6">
        <v>1402.915</v>
      </c>
      <c r="V156" s="6"/>
      <c r="W156" s="16">
        <v>4245.8559999999998</v>
      </c>
      <c r="Y156" s="19">
        <v>2012</v>
      </c>
      <c r="Z156" s="17" t="s">
        <v>13</v>
      </c>
      <c r="AA156" s="18">
        <v>9947.7309999999961</v>
      </c>
      <c r="AB156" s="18">
        <v>69945.030000000013</v>
      </c>
      <c r="AC156" s="18">
        <v>5331.2829999999985</v>
      </c>
      <c r="AD156" s="18"/>
      <c r="AE156" s="18"/>
      <c r="AF156" s="18"/>
      <c r="AG156" s="18">
        <v>384.88499999999993</v>
      </c>
      <c r="AH156" s="18"/>
      <c r="AI156" s="18"/>
      <c r="AJ156" s="18">
        <v>85608.929000000004</v>
      </c>
    </row>
    <row r="157" spans="1:36" x14ac:dyDescent="0.25">
      <c r="A157" s="5">
        <v>2012</v>
      </c>
      <c r="B157" s="4" t="s">
        <v>15</v>
      </c>
      <c r="C157" s="13"/>
      <c r="D157" s="13">
        <v>199.12200000000001</v>
      </c>
      <c r="E157" s="13">
        <v>15.802</v>
      </c>
      <c r="F157" s="13"/>
      <c r="G157" s="13">
        <v>84.709000000000003</v>
      </c>
      <c r="H157" s="13"/>
      <c r="I157" s="13">
        <v>5493.9960000000001</v>
      </c>
      <c r="J157" s="13"/>
      <c r="K157" s="13"/>
      <c r="L157" s="16">
        <v>5793.6289999999999</v>
      </c>
      <c r="N157" s="5">
        <v>2015</v>
      </c>
      <c r="O157" s="4" t="s">
        <v>8</v>
      </c>
      <c r="P157" s="6"/>
      <c r="Q157" s="6"/>
      <c r="R157" s="6"/>
      <c r="S157" s="6"/>
      <c r="T157" s="6">
        <v>1373.6309999999999</v>
      </c>
      <c r="U157" s="6"/>
      <c r="V157" s="6"/>
      <c r="W157" s="16">
        <v>1373.6309999999999</v>
      </c>
      <c r="Y157" s="19">
        <v>2012</v>
      </c>
      <c r="Z157" s="17" t="s">
        <v>14</v>
      </c>
      <c r="AA157" s="18">
        <v>7988.1079999999984</v>
      </c>
      <c r="AB157" s="18">
        <v>103216.64799999994</v>
      </c>
      <c r="AC157" s="18">
        <v>18385.983999999989</v>
      </c>
      <c r="AD157" s="18"/>
      <c r="AE157" s="18"/>
      <c r="AF157" s="18"/>
      <c r="AG157" s="18">
        <v>3779.474999999999</v>
      </c>
      <c r="AH157" s="18">
        <v>15.068000000000001</v>
      </c>
      <c r="AI157" s="18"/>
      <c r="AJ157" s="18">
        <v>133385.28299999994</v>
      </c>
    </row>
    <row r="158" spans="1:36" x14ac:dyDescent="0.25">
      <c r="A158" s="5">
        <v>2013</v>
      </c>
      <c r="B158" s="4" t="s">
        <v>4</v>
      </c>
      <c r="C158" s="13">
        <v>6.2520000000000007</v>
      </c>
      <c r="D158" s="13">
        <v>164.17800000000003</v>
      </c>
      <c r="E158" s="13">
        <v>16.64</v>
      </c>
      <c r="F158" s="13"/>
      <c r="G158" s="13">
        <v>4057.8849999999998</v>
      </c>
      <c r="H158" s="13"/>
      <c r="I158" s="13">
        <v>34925.952999999994</v>
      </c>
      <c r="J158" s="13"/>
      <c r="K158" s="13"/>
      <c r="L158" s="16">
        <v>39170.907999999996</v>
      </c>
      <c r="N158" s="5">
        <v>2015</v>
      </c>
      <c r="O158" s="4" t="s">
        <v>9</v>
      </c>
      <c r="P158" s="6"/>
      <c r="Q158" s="6"/>
      <c r="R158" s="6"/>
      <c r="S158" s="6"/>
      <c r="T158" s="6">
        <v>2241.71</v>
      </c>
      <c r="U158" s="6"/>
      <c r="V158" s="6"/>
      <c r="W158" s="16">
        <v>2241.71</v>
      </c>
      <c r="Y158" s="19">
        <v>2012</v>
      </c>
      <c r="Z158" s="17" t="s">
        <v>15</v>
      </c>
      <c r="AA158" s="18">
        <v>709.22500000000014</v>
      </c>
      <c r="AB158" s="18">
        <v>23387.714999999997</v>
      </c>
      <c r="AC158" s="18">
        <v>16170.844000000005</v>
      </c>
      <c r="AD158" s="18"/>
      <c r="AE158" s="18"/>
      <c r="AF158" s="18"/>
      <c r="AG158" s="18">
        <v>3868.7049999999995</v>
      </c>
      <c r="AH158" s="18">
        <v>30.411999999999999</v>
      </c>
      <c r="AI158" s="18"/>
      <c r="AJ158" s="18">
        <v>44166.900999999998</v>
      </c>
    </row>
    <row r="159" spans="1:36" x14ac:dyDescent="0.25">
      <c r="A159" s="5">
        <v>2013</v>
      </c>
      <c r="B159" s="4" t="s">
        <v>5</v>
      </c>
      <c r="C159" s="13"/>
      <c r="D159" s="13">
        <v>43.702999999999996</v>
      </c>
      <c r="E159" s="13">
        <v>1.33</v>
      </c>
      <c r="F159" s="13"/>
      <c r="G159" s="13">
        <v>4378.6810000000005</v>
      </c>
      <c r="H159" s="13"/>
      <c r="I159" s="13">
        <v>32174.472000000012</v>
      </c>
      <c r="J159" s="13"/>
      <c r="K159" s="13"/>
      <c r="L159" s="16">
        <v>36598.186000000016</v>
      </c>
      <c r="N159" s="5">
        <v>2015</v>
      </c>
      <c r="O159" s="4" t="s">
        <v>10</v>
      </c>
      <c r="P159" s="6"/>
      <c r="Q159" s="6"/>
      <c r="R159" s="6"/>
      <c r="S159" s="6"/>
      <c r="T159" s="6">
        <v>1732.915</v>
      </c>
      <c r="U159" s="6"/>
      <c r="V159" s="6"/>
      <c r="W159" s="16">
        <v>1732.915</v>
      </c>
      <c r="Y159" s="19">
        <v>2013</v>
      </c>
      <c r="Z159" s="17" t="s">
        <v>4</v>
      </c>
      <c r="AA159" s="18">
        <v>7730.9689999999991</v>
      </c>
      <c r="AB159" s="18">
        <v>34883.609999999986</v>
      </c>
      <c r="AC159" s="18">
        <v>14243.377000000004</v>
      </c>
      <c r="AD159" s="18"/>
      <c r="AE159" s="18"/>
      <c r="AF159" s="18"/>
      <c r="AG159" s="18"/>
      <c r="AH159" s="18"/>
      <c r="AI159" s="18"/>
      <c r="AJ159" s="18">
        <v>56857.955999999991</v>
      </c>
    </row>
    <row r="160" spans="1:36" x14ac:dyDescent="0.25">
      <c r="A160" s="5">
        <v>2013</v>
      </c>
      <c r="B160" s="4" t="s">
        <v>6</v>
      </c>
      <c r="C160" s="13"/>
      <c r="D160" s="13">
        <v>51.619</v>
      </c>
      <c r="E160" s="13"/>
      <c r="F160" s="13"/>
      <c r="G160" s="13">
        <v>4060.83</v>
      </c>
      <c r="H160" s="13"/>
      <c r="I160" s="13">
        <v>39533.450999999994</v>
      </c>
      <c r="J160" s="13"/>
      <c r="K160" s="13"/>
      <c r="L160" s="16">
        <v>43645.899999999994</v>
      </c>
      <c r="N160" s="5">
        <v>2015</v>
      </c>
      <c r="O160" s="4" t="s">
        <v>11</v>
      </c>
      <c r="P160" s="6"/>
      <c r="Q160" s="6"/>
      <c r="R160" s="6"/>
      <c r="S160" s="6"/>
      <c r="T160" s="6">
        <v>741.27499999999998</v>
      </c>
      <c r="U160" s="6">
        <v>426.01499999999999</v>
      </c>
      <c r="V160" s="6"/>
      <c r="W160" s="16">
        <v>1167.29</v>
      </c>
      <c r="Y160" s="19">
        <v>2013</v>
      </c>
      <c r="Z160" s="17" t="s">
        <v>5</v>
      </c>
      <c r="AA160" s="18">
        <v>7809.2470000000003</v>
      </c>
      <c r="AB160" s="18">
        <v>14923.29199999999</v>
      </c>
      <c r="AC160" s="18">
        <v>3907.6509999999994</v>
      </c>
      <c r="AD160" s="18"/>
      <c r="AE160" s="18"/>
      <c r="AF160" s="18"/>
      <c r="AG160" s="18">
        <v>15.942</v>
      </c>
      <c r="AH160" s="18">
        <v>54.148000000000003</v>
      </c>
      <c r="AI160" s="18"/>
      <c r="AJ160" s="18">
        <v>26710.279999999988</v>
      </c>
    </row>
    <row r="161" spans="1:36" x14ac:dyDescent="0.25">
      <c r="A161" s="5">
        <v>2013</v>
      </c>
      <c r="B161" s="4" t="s">
        <v>7</v>
      </c>
      <c r="C161" s="13"/>
      <c r="D161" s="13">
        <v>2361.1029999999987</v>
      </c>
      <c r="E161" s="13">
        <v>326.02799999999996</v>
      </c>
      <c r="F161" s="13"/>
      <c r="G161" s="13">
        <v>5615.3739999999998</v>
      </c>
      <c r="H161" s="13"/>
      <c r="I161" s="13">
        <v>35239.942000000003</v>
      </c>
      <c r="J161" s="13"/>
      <c r="K161" s="13"/>
      <c r="L161" s="16">
        <v>43542.447</v>
      </c>
      <c r="N161" s="5">
        <v>2015</v>
      </c>
      <c r="O161" s="4" t="s">
        <v>13</v>
      </c>
      <c r="P161" s="6"/>
      <c r="Q161" s="6"/>
      <c r="R161" s="6"/>
      <c r="S161" s="6"/>
      <c r="T161" s="6">
        <v>23657.971999999994</v>
      </c>
      <c r="U161" s="6">
        <v>562.12599999999998</v>
      </c>
      <c r="V161" s="6"/>
      <c r="W161" s="16">
        <v>24220.097999999994</v>
      </c>
      <c r="Y161" s="19">
        <v>2013</v>
      </c>
      <c r="Z161" s="17" t="s">
        <v>6</v>
      </c>
      <c r="AA161" s="18">
        <v>217.65</v>
      </c>
      <c r="AB161" s="18">
        <v>346.13300000000004</v>
      </c>
      <c r="AC161" s="18">
        <v>333.78000000000003</v>
      </c>
      <c r="AD161" s="18"/>
      <c r="AE161" s="18"/>
      <c r="AF161" s="18"/>
      <c r="AG161" s="18">
        <v>44.463999999999999</v>
      </c>
      <c r="AH161" s="18"/>
      <c r="AI161" s="18"/>
      <c r="AJ161" s="18">
        <v>942.02700000000004</v>
      </c>
    </row>
    <row r="162" spans="1:36" x14ac:dyDescent="0.25">
      <c r="A162" s="5">
        <v>2013</v>
      </c>
      <c r="B162" s="4" t="s">
        <v>8</v>
      </c>
      <c r="C162" s="13"/>
      <c r="D162" s="13">
        <v>3312.4840000000017</v>
      </c>
      <c r="E162" s="13">
        <v>858.73700000000019</v>
      </c>
      <c r="F162" s="13"/>
      <c r="G162" s="13">
        <v>3278.1989999999996</v>
      </c>
      <c r="H162" s="13"/>
      <c r="I162" s="13">
        <v>22997.235000000001</v>
      </c>
      <c r="J162" s="13"/>
      <c r="K162" s="13"/>
      <c r="L162" s="16">
        <v>30446.655000000002</v>
      </c>
      <c r="N162" s="5">
        <v>2015</v>
      </c>
      <c r="O162" s="4" t="s">
        <v>14</v>
      </c>
      <c r="P162" s="6"/>
      <c r="Q162" s="6"/>
      <c r="R162" s="6"/>
      <c r="S162" s="6"/>
      <c r="T162" s="6">
        <v>6938.4810000000007</v>
      </c>
      <c r="U162" s="6">
        <v>109.121</v>
      </c>
      <c r="V162" s="6"/>
      <c r="W162" s="16">
        <v>7047.6020000000008</v>
      </c>
      <c r="Y162" s="19">
        <v>2013</v>
      </c>
      <c r="Z162" s="17" t="s">
        <v>7</v>
      </c>
      <c r="AA162" s="18">
        <v>581.82000000000005</v>
      </c>
      <c r="AB162" s="18">
        <v>32894.890000000036</v>
      </c>
      <c r="AC162" s="18">
        <v>2195.1629999999996</v>
      </c>
      <c r="AD162" s="18"/>
      <c r="AE162" s="18"/>
      <c r="AF162" s="18"/>
      <c r="AG162" s="18"/>
      <c r="AH162" s="18"/>
      <c r="AI162" s="18"/>
      <c r="AJ162" s="18">
        <v>35671.873000000036</v>
      </c>
    </row>
    <row r="163" spans="1:36" x14ac:dyDescent="0.25">
      <c r="A163" s="5">
        <v>2013</v>
      </c>
      <c r="B163" s="4" t="s">
        <v>9</v>
      </c>
      <c r="C163" s="13"/>
      <c r="D163" s="13">
        <v>1652.7279999999998</v>
      </c>
      <c r="E163" s="13">
        <v>3528.121000000001</v>
      </c>
      <c r="F163" s="13"/>
      <c r="G163" s="13">
        <v>3350.0680000000007</v>
      </c>
      <c r="H163" s="13"/>
      <c r="I163" s="13">
        <v>5956.0150000000003</v>
      </c>
      <c r="J163" s="13"/>
      <c r="K163" s="13"/>
      <c r="L163" s="16">
        <v>14486.932000000001</v>
      </c>
      <c r="N163" s="5">
        <v>2015</v>
      </c>
      <c r="O163" s="4" t="s">
        <v>15</v>
      </c>
      <c r="P163" s="6"/>
      <c r="Q163" s="6"/>
      <c r="R163" s="6"/>
      <c r="S163" s="6"/>
      <c r="T163" s="6">
        <v>1019.2380000000001</v>
      </c>
      <c r="U163" s="6"/>
      <c r="V163" s="6"/>
      <c r="W163" s="16">
        <v>1019.2380000000001</v>
      </c>
      <c r="Y163" s="19">
        <v>2013</v>
      </c>
      <c r="Z163" s="17" t="s">
        <v>8</v>
      </c>
      <c r="AA163" s="18"/>
      <c r="AB163" s="18">
        <v>27781.286000000029</v>
      </c>
      <c r="AC163" s="18">
        <v>5667.8239999999987</v>
      </c>
      <c r="AD163" s="18"/>
      <c r="AE163" s="18"/>
      <c r="AF163" s="18"/>
      <c r="AG163" s="18">
        <v>824.48299999999995</v>
      </c>
      <c r="AH163" s="18">
        <v>79.97</v>
      </c>
      <c r="AI163" s="18"/>
      <c r="AJ163" s="18">
        <v>34353.563000000031</v>
      </c>
    </row>
    <row r="164" spans="1:36" x14ac:dyDescent="0.25">
      <c r="A164" s="5">
        <v>2013</v>
      </c>
      <c r="B164" s="4" t="s">
        <v>10</v>
      </c>
      <c r="C164" s="13">
        <v>2915.3409999999999</v>
      </c>
      <c r="D164" s="13">
        <v>528.64</v>
      </c>
      <c r="E164" s="13"/>
      <c r="F164" s="13"/>
      <c r="G164" s="13"/>
      <c r="H164" s="13"/>
      <c r="I164" s="13"/>
      <c r="J164" s="13"/>
      <c r="K164" s="13"/>
      <c r="L164" s="16">
        <v>3443.9809999999998</v>
      </c>
      <c r="N164" s="5">
        <v>2016</v>
      </c>
      <c r="O164" s="4" t="s">
        <v>5</v>
      </c>
      <c r="P164" s="6"/>
      <c r="Q164" s="6"/>
      <c r="R164" s="6"/>
      <c r="S164" s="6"/>
      <c r="T164" s="6">
        <v>13320.719000000001</v>
      </c>
      <c r="U164" s="6">
        <v>429.524</v>
      </c>
      <c r="V164" s="6"/>
      <c r="W164" s="16">
        <v>13750.243</v>
      </c>
      <c r="Y164" s="19">
        <v>2013</v>
      </c>
      <c r="Z164" s="17" t="s">
        <v>9</v>
      </c>
      <c r="AA164" s="18">
        <v>301.24</v>
      </c>
      <c r="AB164" s="18">
        <v>920.82400000000007</v>
      </c>
      <c r="AC164" s="18">
        <v>1292.2809999999999</v>
      </c>
      <c r="AD164" s="18"/>
      <c r="AE164" s="18"/>
      <c r="AF164" s="18"/>
      <c r="AG164" s="18">
        <v>172.01499999999999</v>
      </c>
      <c r="AH164" s="18">
        <v>150.85500000000002</v>
      </c>
      <c r="AI164" s="18"/>
      <c r="AJ164" s="18">
        <v>2837.2150000000001</v>
      </c>
    </row>
    <row r="165" spans="1:36" x14ac:dyDescent="0.25">
      <c r="A165" s="5">
        <v>2013</v>
      </c>
      <c r="B165" s="4" t="s">
        <v>11</v>
      </c>
      <c r="C165" s="13">
        <v>973.8370000000001</v>
      </c>
      <c r="D165" s="13">
        <v>200.18800000000005</v>
      </c>
      <c r="E165" s="13"/>
      <c r="F165" s="13"/>
      <c r="G165" s="13"/>
      <c r="H165" s="13"/>
      <c r="I165" s="13"/>
      <c r="J165" s="13"/>
      <c r="K165" s="13"/>
      <c r="L165" s="16">
        <v>1174.0250000000001</v>
      </c>
      <c r="N165" s="5">
        <v>2016</v>
      </c>
      <c r="O165" s="4" t="s">
        <v>6</v>
      </c>
      <c r="P165" s="6"/>
      <c r="Q165" s="6"/>
      <c r="R165" s="6"/>
      <c r="S165" s="6"/>
      <c r="T165" s="6">
        <v>13709.154</v>
      </c>
      <c r="U165" s="6"/>
      <c r="V165" s="6"/>
      <c r="W165" s="16">
        <v>13709.154</v>
      </c>
      <c r="Y165" s="19">
        <v>2013</v>
      </c>
      <c r="Z165" s="17" t="s">
        <v>10</v>
      </c>
      <c r="AA165" s="18">
        <v>43213.264999999985</v>
      </c>
      <c r="AB165" s="18">
        <v>24603.268000000004</v>
      </c>
      <c r="AC165" s="18"/>
      <c r="AD165" s="18"/>
      <c r="AE165" s="18"/>
      <c r="AF165" s="18"/>
      <c r="AG165" s="18">
        <v>177.94599999999997</v>
      </c>
      <c r="AH165" s="18">
        <v>31.387</v>
      </c>
      <c r="AI165" s="18"/>
      <c r="AJ165" s="18">
        <v>68025.865999999995</v>
      </c>
    </row>
    <row r="166" spans="1:36" x14ac:dyDescent="0.25">
      <c r="A166" s="5">
        <v>2013</v>
      </c>
      <c r="B166" s="4" t="s">
        <v>13</v>
      </c>
      <c r="C166" s="13">
        <v>32.910000000000004</v>
      </c>
      <c r="D166" s="13">
        <v>198.7770000000001</v>
      </c>
      <c r="E166" s="13">
        <v>472.77399999999989</v>
      </c>
      <c r="F166" s="13"/>
      <c r="G166" s="13"/>
      <c r="H166" s="13"/>
      <c r="I166" s="13"/>
      <c r="J166" s="13"/>
      <c r="K166" s="13"/>
      <c r="L166" s="16">
        <v>704.46100000000001</v>
      </c>
      <c r="N166" s="5">
        <v>2016</v>
      </c>
      <c r="O166" s="4" t="s">
        <v>8</v>
      </c>
      <c r="P166" s="6"/>
      <c r="Q166" s="6"/>
      <c r="R166" s="6"/>
      <c r="S166" s="6"/>
      <c r="T166" s="6">
        <v>3210.3749999999995</v>
      </c>
      <c r="U166" s="6"/>
      <c r="V166" s="6"/>
      <c r="W166" s="16">
        <v>3210.3749999999995</v>
      </c>
      <c r="Y166" s="19">
        <v>2013</v>
      </c>
      <c r="Z166" s="17" t="s">
        <v>11</v>
      </c>
      <c r="AA166" s="18">
        <v>7967.6429999999991</v>
      </c>
      <c r="AB166" s="18">
        <v>6271.8450000000003</v>
      </c>
      <c r="AC166" s="18"/>
      <c r="AD166" s="18"/>
      <c r="AE166" s="18"/>
      <c r="AF166" s="18"/>
      <c r="AG166" s="18"/>
      <c r="AH166" s="18"/>
      <c r="AI166" s="18"/>
      <c r="AJ166" s="18">
        <v>14239.487999999999</v>
      </c>
    </row>
    <row r="167" spans="1:36" x14ac:dyDescent="0.25">
      <c r="A167" s="5">
        <v>2013</v>
      </c>
      <c r="B167" s="4" t="s">
        <v>14</v>
      </c>
      <c r="C167" s="13"/>
      <c r="D167" s="13">
        <v>3.3410000000000002</v>
      </c>
      <c r="E167" s="13">
        <v>9.9979999999999993</v>
      </c>
      <c r="F167" s="13"/>
      <c r="G167" s="13"/>
      <c r="H167" s="13"/>
      <c r="I167" s="13"/>
      <c r="J167" s="13"/>
      <c r="K167" s="13"/>
      <c r="L167" s="16">
        <v>13.338999999999999</v>
      </c>
      <c r="N167" s="5">
        <v>2016</v>
      </c>
      <c r="O167" s="4" t="s">
        <v>9</v>
      </c>
      <c r="P167" s="6"/>
      <c r="Q167" s="6"/>
      <c r="R167" s="6"/>
      <c r="S167" s="6"/>
      <c r="T167" s="6">
        <v>18262.978999999996</v>
      </c>
      <c r="U167" s="6">
        <v>727.02300000000002</v>
      </c>
      <c r="V167" s="6"/>
      <c r="W167" s="16">
        <v>18990.001999999997</v>
      </c>
      <c r="Y167" s="19">
        <v>2013</v>
      </c>
      <c r="Z167" s="17" t="s">
        <v>12</v>
      </c>
      <c r="AA167" s="18">
        <v>3004.4400000000005</v>
      </c>
      <c r="AB167" s="18">
        <v>28490.261999999981</v>
      </c>
      <c r="AC167" s="18">
        <v>1731.9499999999998</v>
      </c>
      <c r="AD167" s="18"/>
      <c r="AE167" s="18"/>
      <c r="AF167" s="18"/>
      <c r="AG167" s="18"/>
      <c r="AH167" s="18"/>
      <c r="AI167" s="18"/>
      <c r="AJ167" s="18">
        <v>33226.65199999998</v>
      </c>
    </row>
    <row r="168" spans="1:36" x14ac:dyDescent="0.25">
      <c r="A168" s="5">
        <v>2013</v>
      </c>
      <c r="B168" s="4" t="s">
        <v>15</v>
      </c>
      <c r="C168" s="13"/>
      <c r="D168" s="13"/>
      <c r="E168" s="13"/>
      <c r="F168" s="13"/>
      <c r="G168" s="13"/>
      <c r="H168" s="13"/>
      <c r="I168" s="13">
        <v>7766.3940000000021</v>
      </c>
      <c r="J168" s="13"/>
      <c r="K168" s="13"/>
      <c r="L168" s="16">
        <v>7766.3940000000021</v>
      </c>
      <c r="N168" s="5">
        <v>2016</v>
      </c>
      <c r="O168" s="4" t="s">
        <v>10</v>
      </c>
      <c r="P168" s="6"/>
      <c r="Q168" s="6"/>
      <c r="R168" s="6"/>
      <c r="S168" s="6"/>
      <c r="T168" s="6">
        <v>8970.6510000000017</v>
      </c>
      <c r="U168" s="6">
        <v>788.06999999999994</v>
      </c>
      <c r="V168" s="6"/>
      <c r="W168" s="16">
        <v>9758.7210000000014</v>
      </c>
      <c r="Y168" s="19">
        <v>2013</v>
      </c>
      <c r="Z168" s="17" t="s">
        <v>13</v>
      </c>
      <c r="AA168" s="18">
        <v>11658.342999999997</v>
      </c>
      <c r="AB168" s="18">
        <v>114466.45400000013</v>
      </c>
      <c r="AC168" s="18">
        <v>26195.316999999995</v>
      </c>
      <c r="AD168" s="18"/>
      <c r="AE168" s="18"/>
      <c r="AF168" s="18"/>
      <c r="AG168" s="18">
        <v>179.93200000000002</v>
      </c>
      <c r="AH168" s="18"/>
      <c r="AI168" s="18"/>
      <c r="AJ168" s="18">
        <v>152500.04600000012</v>
      </c>
    </row>
    <row r="169" spans="1:36" x14ac:dyDescent="0.25">
      <c r="A169" s="5">
        <v>2014</v>
      </c>
      <c r="B169" s="4" t="s">
        <v>4</v>
      </c>
      <c r="C169" s="13"/>
      <c r="D169" s="13"/>
      <c r="E169" s="13"/>
      <c r="F169" s="13"/>
      <c r="G169" s="13"/>
      <c r="H169" s="13"/>
      <c r="I169" s="13">
        <v>27374.807000000019</v>
      </c>
      <c r="J169" s="13"/>
      <c r="K169" s="13"/>
      <c r="L169" s="16">
        <v>27374.807000000019</v>
      </c>
      <c r="N169" s="5">
        <v>2016</v>
      </c>
      <c r="O169" s="4" t="s">
        <v>13</v>
      </c>
      <c r="P169" s="6"/>
      <c r="Q169" s="6"/>
      <c r="R169" s="6"/>
      <c r="S169" s="6"/>
      <c r="T169" s="6">
        <v>16066.918</v>
      </c>
      <c r="U169" s="6">
        <v>1312.104</v>
      </c>
      <c r="V169" s="6"/>
      <c r="W169" s="16">
        <v>17379.022000000001</v>
      </c>
      <c r="Y169" s="19">
        <v>2013</v>
      </c>
      <c r="Z169" s="17" t="s">
        <v>14</v>
      </c>
      <c r="AA169" s="18">
        <v>20047.491000000005</v>
      </c>
      <c r="AB169" s="18">
        <v>77158.672999999937</v>
      </c>
      <c r="AC169" s="18">
        <v>20960.834999999995</v>
      </c>
      <c r="AD169" s="18"/>
      <c r="AE169" s="18"/>
      <c r="AF169" s="18"/>
      <c r="AG169" s="18">
        <v>1132.8330000000001</v>
      </c>
      <c r="AH169" s="18">
        <v>130.18700000000001</v>
      </c>
      <c r="AI169" s="18"/>
      <c r="AJ169" s="18">
        <v>119430.01899999994</v>
      </c>
    </row>
    <row r="170" spans="1:36" x14ac:dyDescent="0.25">
      <c r="A170" s="5">
        <v>2014</v>
      </c>
      <c r="B170" s="4" t="s">
        <v>5</v>
      </c>
      <c r="C170" s="13"/>
      <c r="D170" s="13">
        <v>4.5030000000000001</v>
      </c>
      <c r="E170" s="13"/>
      <c r="F170" s="13"/>
      <c r="G170" s="13"/>
      <c r="H170" s="13"/>
      <c r="I170" s="13">
        <v>34917.989000000023</v>
      </c>
      <c r="J170" s="13"/>
      <c r="K170" s="13"/>
      <c r="L170" s="16">
        <v>34922.49200000002</v>
      </c>
      <c r="N170" s="5">
        <v>2016</v>
      </c>
      <c r="O170" s="4" t="s">
        <v>14</v>
      </c>
      <c r="P170" s="6"/>
      <c r="Q170" s="6"/>
      <c r="R170" s="6"/>
      <c r="S170" s="6"/>
      <c r="T170" s="6">
        <v>5718.536000000001</v>
      </c>
      <c r="U170" s="6"/>
      <c r="V170" s="6"/>
      <c r="W170" s="16">
        <v>5718.536000000001</v>
      </c>
      <c r="Y170" s="19">
        <v>2013</v>
      </c>
      <c r="Z170" s="17" t="s">
        <v>15</v>
      </c>
      <c r="AA170" s="18">
        <v>421.11900000000003</v>
      </c>
      <c r="AB170" s="18">
        <v>28684.174000000006</v>
      </c>
      <c r="AC170" s="18">
        <v>15133.425000000003</v>
      </c>
      <c r="AD170" s="18"/>
      <c r="AE170" s="18"/>
      <c r="AF170" s="18"/>
      <c r="AG170" s="18">
        <v>2635.5339999999992</v>
      </c>
      <c r="AH170" s="18">
        <v>191.00099999999995</v>
      </c>
      <c r="AI170" s="18"/>
      <c r="AJ170" s="18">
        <v>47065.253000000004</v>
      </c>
    </row>
    <row r="171" spans="1:36" x14ac:dyDescent="0.25">
      <c r="A171" s="5">
        <v>2014</v>
      </c>
      <c r="B171" s="4" t="s">
        <v>6</v>
      </c>
      <c r="C171" s="13">
        <v>319.96899999999994</v>
      </c>
      <c r="D171" s="13">
        <v>2284.3859999999991</v>
      </c>
      <c r="E171" s="13">
        <v>17.545999999999999</v>
      </c>
      <c r="F171" s="13"/>
      <c r="G171" s="13">
        <v>1453.009</v>
      </c>
      <c r="H171" s="13"/>
      <c r="I171" s="13">
        <v>25693.073000000011</v>
      </c>
      <c r="J171" s="13"/>
      <c r="K171" s="13"/>
      <c r="L171" s="16">
        <v>29767.983000000011</v>
      </c>
      <c r="N171" s="5">
        <v>2016</v>
      </c>
      <c r="O171" s="4" t="s">
        <v>15</v>
      </c>
      <c r="P171" s="6"/>
      <c r="Q171" s="6"/>
      <c r="R171" s="6"/>
      <c r="S171" s="6"/>
      <c r="T171" s="6">
        <v>2666.308</v>
      </c>
      <c r="U171" s="6"/>
      <c r="V171" s="6"/>
      <c r="W171" s="16">
        <v>2666.308</v>
      </c>
      <c r="Y171" s="19">
        <v>2014</v>
      </c>
      <c r="Z171" s="17" t="s">
        <v>5</v>
      </c>
      <c r="AA171" s="18">
        <v>1561.7649999999999</v>
      </c>
      <c r="AB171" s="18">
        <v>494.50200000000001</v>
      </c>
      <c r="AC171" s="18"/>
      <c r="AD171" s="18"/>
      <c r="AE171" s="18"/>
      <c r="AF171" s="18"/>
      <c r="AG171" s="18">
        <v>3.4860000000000002</v>
      </c>
      <c r="AH171" s="18"/>
      <c r="AI171" s="18"/>
      <c r="AJ171" s="18">
        <v>2059.7529999999997</v>
      </c>
    </row>
    <row r="172" spans="1:36" x14ac:dyDescent="0.25">
      <c r="A172" s="5">
        <v>2014</v>
      </c>
      <c r="B172" s="4" t="s">
        <v>7</v>
      </c>
      <c r="C172" s="13">
        <v>511.89899999999994</v>
      </c>
      <c r="D172" s="13">
        <v>4755.8739999999952</v>
      </c>
      <c r="E172" s="13">
        <v>626.38600000000008</v>
      </c>
      <c r="F172" s="13"/>
      <c r="G172" s="13"/>
      <c r="H172" s="13"/>
      <c r="I172" s="13">
        <v>60962.312999999987</v>
      </c>
      <c r="J172" s="13"/>
      <c r="K172" s="13"/>
      <c r="L172" s="16">
        <v>66856.47199999998</v>
      </c>
      <c r="N172" s="5">
        <v>2017</v>
      </c>
      <c r="O172" s="4" t="s">
        <v>5</v>
      </c>
      <c r="P172" s="6"/>
      <c r="Q172" s="6"/>
      <c r="R172" s="6"/>
      <c r="S172" s="6"/>
      <c r="T172" s="6">
        <v>7531.9640000000009</v>
      </c>
      <c r="U172" s="6">
        <v>562.93499999999995</v>
      </c>
      <c r="V172" s="6"/>
      <c r="W172" s="16">
        <v>8094.8990000000013</v>
      </c>
      <c r="Y172" s="19">
        <v>2014</v>
      </c>
      <c r="Z172" s="17" t="s">
        <v>6</v>
      </c>
      <c r="AA172" s="18">
        <v>20311.44100000001</v>
      </c>
      <c r="AB172" s="18">
        <v>92691.965000000011</v>
      </c>
      <c r="AC172" s="18">
        <v>786.09</v>
      </c>
      <c r="AD172" s="18"/>
      <c r="AE172" s="18"/>
      <c r="AF172" s="18"/>
      <c r="AG172" s="18">
        <v>497.58000000000004</v>
      </c>
      <c r="AH172" s="18"/>
      <c r="AI172" s="18"/>
      <c r="AJ172" s="18">
        <v>114287.07600000002</v>
      </c>
    </row>
    <row r="173" spans="1:36" x14ac:dyDescent="0.25">
      <c r="A173" s="5">
        <v>2014</v>
      </c>
      <c r="B173" s="4" t="s">
        <v>8</v>
      </c>
      <c r="C173" s="13">
        <v>212.54300000000001</v>
      </c>
      <c r="D173" s="13">
        <v>6334.4250000000002</v>
      </c>
      <c r="E173" s="13">
        <v>1270.557</v>
      </c>
      <c r="F173" s="13"/>
      <c r="G173" s="13"/>
      <c r="H173" s="13"/>
      <c r="I173" s="13">
        <v>40609.817000000003</v>
      </c>
      <c r="J173" s="13"/>
      <c r="K173" s="13"/>
      <c r="L173" s="16">
        <v>48427.342000000004</v>
      </c>
      <c r="N173" s="5">
        <v>2017</v>
      </c>
      <c r="O173" s="4" t="s">
        <v>6</v>
      </c>
      <c r="P173" s="6"/>
      <c r="Q173" s="6"/>
      <c r="R173" s="6"/>
      <c r="S173" s="6"/>
      <c r="T173" s="6">
        <v>500.524</v>
      </c>
      <c r="U173" s="6"/>
      <c r="V173" s="6"/>
      <c r="W173" s="16">
        <v>500.524</v>
      </c>
      <c r="Y173" s="19">
        <v>2014</v>
      </c>
      <c r="Z173" s="17" t="s">
        <v>7</v>
      </c>
      <c r="AA173" s="18">
        <v>5625.7299999999987</v>
      </c>
      <c r="AB173" s="18">
        <v>42353.852000000028</v>
      </c>
      <c r="AC173" s="18">
        <v>10063.654</v>
      </c>
      <c r="AD173" s="18"/>
      <c r="AE173" s="18"/>
      <c r="AF173" s="18"/>
      <c r="AG173" s="18">
        <v>208.38399999999999</v>
      </c>
      <c r="AH173" s="18"/>
      <c r="AI173" s="18"/>
      <c r="AJ173" s="18">
        <v>58251.620000000024</v>
      </c>
    </row>
    <row r="174" spans="1:36" x14ac:dyDescent="0.25">
      <c r="A174" s="5">
        <v>2014</v>
      </c>
      <c r="B174" s="4" t="s">
        <v>9</v>
      </c>
      <c r="C174" s="13"/>
      <c r="D174" s="13"/>
      <c r="E174" s="13">
        <v>66.715000000000003</v>
      </c>
      <c r="F174" s="13"/>
      <c r="G174" s="13"/>
      <c r="H174" s="13"/>
      <c r="I174" s="13">
        <v>18459.384000000002</v>
      </c>
      <c r="J174" s="13"/>
      <c r="K174" s="13"/>
      <c r="L174" s="16">
        <v>18526.099000000002</v>
      </c>
      <c r="N174" s="5">
        <v>2017</v>
      </c>
      <c r="O174" s="4" t="s">
        <v>8</v>
      </c>
      <c r="P174" s="6"/>
      <c r="Q174" s="6"/>
      <c r="R174" s="6"/>
      <c r="S174" s="6"/>
      <c r="T174" s="6">
        <v>47.353000000000002</v>
      </c>
      <c r="U174" s="6"/>
      <c r="V174" s="6"/>
      <c r="W174" s="16">
        <v>47.353000000000002</v>
      </c>
      <c r="Y174" s="19">
        <v>2014</v>
      </c>
      <c r="Z174" s="17" t="s">
        <v>8</v>
      </c>
      <c r="AA174" s="18">
        <v>13720.428000000002</v>
      </c>
      <c r="AB174" s="18">
        <v>10089.130999999996</v>
      </c>
      <c r="AC174" s="18">
        <v>3299.0709999999999</v>
      </c>
      <c r="AD174" s="18"/>
      <c r="AE174" s="18"/>
      <c r="AF174" s="18"/>
      <c r="AG174" s="18">
        <v>973.47899999999981</v>
      </c>
      <c r="AH174" s="18"/>
      <c r="AI174" s="18"/>
      <c r="AJ174" s="18">
        <v>28082.108999999997</v>
      </c>
    </row>
    <row r="175" spans="1:36" x14ac:dyDescent="0.25">
      <c r="A175" s="5">
        <v>2014</v>
      </c>
      <c r="B175" s="4" t="s">
        <v>10</v>
      </c>
      <c r="C175" s="13"/>
      <c r="D175" s="13"/>
      <c r="E175" s="13"/>
      <c r="F175" s="13"/>
      <c r="G175" s="13"/>
      <c r="H175" s="13"/>
      <c r="I175" s="13">
        <v>8552.9989999999962</v>
      </c>
      <c r="J175" s="13"/>
      <c r="K175" s="13"/>
      <c r="L175" s="16">
        <v>8552.9989999999962</v>
      </c>
      <c r="N175" s="5">
        <v>2017</v>
      </c>
      <c r="O175" s="4" t="s">
        <v>13</v>
      </c>
      <c r="P175" s="6"/>
      <c r="Q175" s="6"/>
      <c r="R175" s="6"/>
      <c r="S175" s="6"/>
      <c r="T175" s="6">
        <v>11123.770999999999</v>
      </c>
      <c r="U175" s="6"/>
      <c r="V175" s="6"/>
      <c r="W175" s="16">
        <v>11123.770999999999</v>
      </c>
      <c r="Y175" s="19">
        <v>2014</v>
      </c>
      <c r="Z175" s="17" t="s">
        <v>9</v>
      </c>
      <c r="AA175" s="18">
        <v>48859.739000000038</v>
      </c>
      <c r="AB175" s="18">
        <v>37753.481999999996</v>
      </c>
      <c r="AC175" s="18">
        <v>690.05</v>
      </c>
      <c r="AD175" s="18"/>
      <c r="AE175" s="18"/>
      <c r="AF175" s="18"/>
      <c r="AG175" s="18">
        <v>241.839</v>
      </c>
      <c r="AH175" s="18"/>
      <c r="AI175" s="18"/>
      <c r="AJ175" s="18">
        <v>87545.110000000044</v>
      </c>
    </row>
    <row r="176" spans="1:36" x14ac:dyDescent="0.25">
      <c r="A176" s="5">
        <v>2014</v>
      </c>
      <c r="B176" s="4" t="s">
        <v>11</v>
      </c>
      <c r="C176" s="13"/>
      <c r="D176" s="13"/>
      <c r="E176" s="13"/>
      <c r="F176" s="13"/>
      <c r="G176" s="13"/>
      <c r="H176" s="13"/>
      <c r="I176" s="13">
        <v>946.75099999999998</v>
      </c>
      <c r="J176" s="13"/>
      <c r="K176" s="13"/>
      <c r="L176" s="16">
        <v>946.75099999999998</v>
      </c>
      <c r="N176" s="5">
        <v>2017</v>
      </c>
      <c r="O176" s="4" t="s">
        <v>14</v>
      </c>
      <c r="P176" s="6"/>
      <c r="Q176" s="6"/>
      <c r="R176" s="6"/>
      <c r="S176" s="6"/>
      <c r="T176" s="6">
        <v>2905.9799999999996</v>
      </c>
      <c r="U176" s="6"/>
      <c r="V176" s="6"/>
      <c r="W176" s="16">
        <v>2905.9799999999996</v>
      </c>
      <c r="Y176" s="19">
        <v>2014</v>
      </c>
      <c r="Z176" s="17" t="s">
        <v>10</v>
      </c>
      <c r="AA176" s="18">
        <v>37761.660000000003</v>
      </c>
      <c r="AB176" s="18">
        <v>16456.810000000001</v>
      </c>
      <c r="AC176" s="18">
        <v>550.88000000000011</v>
      </c>
      <c r="AD176" s="18"/>
      <c r="AE176" s="18"/>
      <c r="AF176" s="18"/>
      <c r="AG176" s="18">
        <v>1202.9070000000002</v>
      </c>
      <c r="AH176" s="18">
        <v>38.581999999999994</v>
      </c>
      <c r="AI176" s="18"/>
      <c r="AJ176" s="18">
        <v>56010.839</v>
      </c>
    </row>
    <row r="177" spans="1:36" x14ac:dyDescent="0.25">
      <c r="A177" s="5">
        <v>2014</v>
      </c>
      <c r="B177" s="4" t="s">
        <v>13</v>
      </c>
      <c r="C177" s="13"/>
      <c r="D177" s="13"/>
      <c r="E177" s="13"/>
      <c r="F177" s="13"/>
      <c r="G177" s="13"/>
      <c r="H177" s="13"/>
      <c r="I177" s="13">
        <v>877.61699999999996</v>
      </c>
      <c r="J177" s="13"/>
      <c r="K177" s="13"/>
      <c r="L177" s="16">
        <v>877.61699999999996</v>
      </c>
      <c r="N177" s="5">
        <v>2018</v>
      </c>
      <c r="O177" s="4" t="s">
        <v>5</v>
      </c>
      <c r="P177" s="6"/>
      <c r="Q177" s="6"/>
      <c r="R177" s="6"/>
      <c r="S177" s="6"/>
      <c r="T177" s="6">
        <v>6600.473</v>
      </c>
      <c r="U177" s="6">
        <v>317.16500000000002</v>
      </c>
      <c r="V177" s="6"/>
      <c r="W177" s="16">
        <v>6917.6379999999999</v>
      </c>
      <c r="Y177" s="19">
        <v>2014</v>
      </c>
      <c r="Z177" s="17" t="s">
        <v>11</v>
      </c>
      <c r="AA177" s="18">
        <v>5124.1449999999995</v>
      </c>
      <c r="AB177" s="18">
        <v>7360.2090000000007</v>
      </c>
      <c r="AC177" s="18"/>
      <c r="AD177" s="18"/>
      <c r="AE177" s="18"/>
      <c r="AF177" s="18"/>
      <c r="AG177" s="18"/>
      <c r="AH177" s="18"/>
      <c r="AI177" s="18"/>
      <c r="AJ177" s="18">
        <v>12484.353999999999</v>
      </c>
    </row>
    <row r="178" spans="1:36" x14ac:dyDescent="0.25">
      <c r="A178" s="5">
        <v>2014</v>
      </c>
      <c r="B178" s="4" t="s">
        <v>14</v>
      </c>
      <c r="C178" s="13"/>
      <c r="D178" s="13"/>
      <c r="E178" s="13">
        <v>200.51899999999998</v>
      </c>
      <c r="F178" s="13"/>
      <c r="G178" s="13"/>
      <c r="H178" s="13"/>
      <c r="I178" s="13"/>
      <c r="J178" s="13"/>
      <c r="K178" s="13"/>
      <c r="L178" s="16">
        <v>200.51899999999998</v>
      </c>
      <c r="N178" s="5">
        <v>2018</v>
      </c>
      <c r="O178" s="4" t="s">
        <v>6</v>
      </c>
      <c r="P178" s="6"/>
      <c r="Q178" s="6"/>
      <c r="R178" s="6"/>
      <c r="S178" s="6"/>
      <c r="T178" s="6">
        <v>1228.394</v>
      </c>
      <c r="U178" s="6"/>
      <c r="V178" s="6"/>
      <c r="W178" s="16">
        <v>1228.394</v>
      </c>
      <c r="Y178" s="19">
        <v>2014</v>
      </c>
      <c r="Z178" s="17" t="s">
        <v>12</v>
      </c>
      <c r="AA178" s="18">
        <v>2001.865</v>
      </c>
      <c r="AB178" s="18">
        <v>4895.8889999999992</v>
      </c>
      <c r="AC178" s="18"/>
      <c r="AD178" s="18"/>
      <c r="AE178" s="18"/>
      <c r="AF178" s="18"/>
      <c r="AG178" s="18"/>
      <c r="AH178" s="18"/>
      <c r="AI178" s="18"/>
      <c r="AJ178" s="18">
        <v>6897.753999999999</v>
      </c>
    </row>
    <row r="179" spans="1:36" x14ac:dyDescent="0.25">
      <c r="A179" s="5">
        <v>2014</v>
      </c>
      <c r="B179" s="4" t="s">
        <v>15</v>
      </c>
      <c r="C179" s="13"/>
      <c r="D179" s="13"/>
      <c r="E179" s="13"/>
      <c r="F179" s="13"/>
      <c r="G179" s="13"/>
      <c r="H179" s="13"/>
      <c r="I179" s="13">
        <v>16199.979000000008</v>
      </c>
      <c r="J179" s="13"/>
      <c r="K179" s="13"/>
      <c r="L179" s="16">
        <v>16199.979000000008</v>
      </c>
      <c r="N179" s="5">
        <v>2018</v>
      </c>
      <c r="O179" s="4" t="s">
        <v>13</v>
      </c>
      <c r="P179" s="6"/>
      <c r="Q179" s="6"/>
      <c r="R179" s="6"/>
      <c r="S179" s="6"/>
      <c r="T179" s="6">
        <v>1986.4860000000001</v>
      </c>
      <c r="U179" s="6"/>
      <c r="V179" s="6"/>
      <c r="W179" s="16">
        <v>1986.4860000000001</v>
      </c>
      <c r="Y179" s="19">
        <v>2014</v>
      </c>
      <c r="Z179" s="17" t="s">
        <v>13</v>
      </c>
      <c r="AA179" s="18">
        <v>11131.165000000001</v>
      </c>
      <c r="AB179" s="18">
        <v>82937.820000000036</v>
      </c>
      <c r="AC179" s="18">
        <v>4349.9449999999997</v>
      </c>
      <c r="AD179" s="18"/>
      <c r="AE179" s="18"/>
      <c r="AF179" s="18"/>
      <c r="AG179" s="18">
        <v>87.393999999999991</v>
      </c>
      <c r="AH179" s="18"/>
      <c r="AI179" s="18"/>
      <c r="AJ179" s="18">
        <v>98506.324000000051</v>
      </c>
    </row>
    <row r="180" spans="1:36" x14ac:dyDescent="0.25">
      <c r="A180" s="5">
        <v>2015</v>
      </c>
      <c r="B180" s="4" t="s">
        <v>4</v>
      </c>
      <c r="C180" s="13"/>
      <c r="D180" s="13"/>
      <c r="E180" s="13"/>
      <c r="F180" s="13"/>
      <c r="G180" s="13"/>
      <c r="H180" s="13"/>
      <c r="I180" s="13">
        <v>20921.819999999996</v>
      </c>
      <c r="J180" s="13"/>
      <c r="K180" s="13"/>
      <c r="L180" s="16">
        <v>20921.819999999996</v>
      </c>
      <c r="N180" s="5">
        <v>2019</v>
      </c>
      <c r="O180" s="4" t="s">
        <v>10</v>
      </c>
      <c r="P180" s="6"/>
      <c r="Q180" s="6"/>
      <c r="R180" s="6"/>
      <c r="S180" s="6"/>
      <c r="T180" s="6">
        <v>900.63300000000004</v>
      </c>
      <c r="U180" s="6"/>
      <c r="V180" s="6"/>
      <c r="W180" s="16">
        <v>900.63300000000004</v>
      </c>
      <c r="Y180" s="19">
        <v>2014</v>
      </c>
      <c r="Z180" s="17" t="s">
        <v>14</v>
      </c>
      <c r="AA180" s="18"/>
      <c r="AB180" s="18">
        <v>69893.985000000059</v>
      </c>
      <c r="AC180" s="18">
        <v>27624.202000000005</v>
      </c>
      <c r="AD180" s="18"/>
      <c r="AE180" s="18"/>
      <c r="AF180" s="18"/>
      <c r="AG180" s="18">
        <v>1282.3899999999999</v>
      </c>
      <c r="AH180" s="18">
        <v>34.158000000000001</v>
      </c>
      <c r="AI180" s="18"/>
      <c r="AJ180" s="18">
        <v>98834.735000000059</v>
      </c>
    </row>
    <row r="181" spans="1:36" x14ac:dyDescent="0.25">
      <c r="A181" s="5">
        <v>2015</v>
      </c>
      <c r="B181" s="4" t="s">
        <v>5</v>
      </c>
      <c r="C181" s="13"/>
      <c r="D181" s="13"/>
      <c r="E181" s="13"/>
      <c r="F181" s="13"/>
      <c r="G181" s="13"/>
      <c r="H181" s="13"/>
      <c r="I181" s="13">
        <v>88.835000000000008</v>
      </c>
      <c r="J181" s="13"/>
      <c r="K181" s="13"/>
      <c r="L181" s="16">
        <v>88.835000000000008</v>
      </c>
      <c r="N181" s="5">
        <v>2019</v>
      </c>
      <c r="O181" s="4" t="s">
        <v>13</v>
      </c>
      <c r="P181" s="6"/>
      <c r="Q181" s="6"/>
      <c r="R181" s="6"/>
      <c r="S181" s="6"/>
      <c r="T181" s="6">
        <v>462.42200000000003</v>
      </c>
      <c r="U181" s="6"/>
      <c r="V181" s="6"/>
      <c r="W181" s="16">
        <v>462.42200000000003</v>
      </c>
      <c r="Y181" s="19">
        <v>2014</v>
      </c>
      <c r="Z181" s="17" t="s">
        <v>15</v>
      </c>
      <c r="AA181" s="18">
        <v>448.30000000000007</v>
      </c>
      <c r="AB181" s="18">
        <v>16308.004000000008</v>
      </c>
      <c r="AC181" s="18">
        <v>7443.4049999999988</v>
      </c>
      <c r="AD181" s="18"/>
      <c r="AE181" s="18"/>
      <c r="AF181" s="18"/>
      <c r="AG181" s="18"/>
      <c r="AH181" s="18"/>
      <c r="AI181" s="18"/>
      <c r="AJ181" s="18">
        <v>24199.709000000006</v>
      </c>
    </row>
    <row r="182" spans="1:36" x14ac:dyDescent="0.25">
      <c r="A182" s="5">
        <v>2015</v>
      </c>
      <c r="B182" s="4" t="s">
        <v>6</v>
      </c>
      <c r="C182" s="13">
        <v>1189.174</v>
      </c>
      <c r="D182" s="13">
        <v>14873.441000000003</v>
      </c>
      <c r="E182" s="13">
        <v>13717.495000000001</v>
      </c>
      <c r="F182" s="13"/>
      <c r="G182" s="13"/>
      <c r="H182" s="13"/>
      <c r="I182" s="13">
        <v>1736.4269999999999</v>
      </c>
      <c r="J182" s="13"/>
      <c r="K182" s="13"/>
      <c r="L182" s="16">
        <v>31516.537</v>
      </c>
      <c r="N182" s="5">
        <v>2019</v>
      </c>
      <c r="O182" s="4" t="s">
        <v>14</v>
      </c>
      <c r="P182" s="6"/>
      <c r="Q182" s="6"/>
      <c r="R182" s="6"/>
      <c r="S182" s="6"/>
      <c r="T182" s="6">
        <v>2180.0709999999999</v>
      </c>
      <c r="U182" s="6"/>
      <c r="V182" s="6"/>
      <c r="W182" s="16">
        <v>2180.0709999999999</v>
      </c>
      <c r="Y182" s="19">
        <v>2015</v>
      </c>
      <c r="Z182" s="17" t="s">
        <v>5</v>
      </c>
      <c r="AA182" s="18"/>
      <c r="AB182" s="18"/>
      <c r="AC182" s="18"/>
      <c r="AD182" s="18"/>
      <c r="AE182" s="18"/>
      <c r="AF182" s="18"/>
      <c r="AG182" s="18">
        <v>5.8689999999999998</v>
      </c>
      <c r="AH182" s="18"/>
      <c r="AI182" s="18"/>
      <c r="AJ182" s="18">
        <v>5.8689999999999998</v>
      </c>
    </row>
    <row r="183" spans="1:36" x14ac:dyDescent="0.25">
      <c r="A183" s="5">
        <v>2015</v>
      </c>
      <c r="B183" s="4" t="s">
        <v>7</v>
      </c>
      <c r="C183" s="13"/>
      <c r="D183" s="13">
        <v>2589.4899999999984</v>
      </c>
      <c r="E183" s="13">
        <v>1157.945999999999</v>
      </c>
      <c r="F183" s="13"/>
      <c r="G183" s="13"/>
      <c r="H183" s="13"/>
      <c r="I183" s="13">
        <v>47290.446000000011</v>
      </c>
      <c r="J183" s="13"/>
      <c r="K183" s="13"/>
      <c r="L183" s="16">
        <v>51037.882000000005</v>
      </c>
      <c r="N183" s="5">
        <v>2020</v>
      </c>
      <c r="O183" s="4" t="s">
        <v>7</v>
      </c>
      <c r="P183" s="5"/>
      <c r="Q183" s="5"/>
      <c r="R183" s="5"/>
      <c r="S183" s="5"/>
      <c r="T183" s="6">
        <v>5.7249999999999996</v>
      </c>
      <c r="U183" s="6"/>
      <c r="V183" s="6"/>
      <c r="W183" s="16">
        <v>5.7249999999999996</v>
      </c>
      <c r="Y183" s="19">
        <v>2015</v>
      </c>
      <c r="Z183" s="17" t="s">
        <v>6</v>
      </c>
      <c r="AA183" s="18">
        <v>8549.5729999999985</v>
      </c>
      <c r="AB183" s="18">
        <v>32547.48000000001</v>
      </c>
      <c r="AC183" s="18">
        <v>6638.6839999999975</v>
      </c>
      <c r="AD183" s="18"/>
      <c r="AE183" s="18"/>
      <c r="AF183" s="18"/>
      <c r="AG183" s="18">
        <v>1070.6899999999998</v>
      </c>
      <c r="AH183" s="18">
        <v>121.785</v>
      </c>
      <c r="AI183" s="18"/>
      <c r="AJ183" s="18">
        <v>48928.212000000014</v>
      </c>
    </row>
    <row r="184" spans="1:36" x14ac:dyDescent="0.25">
      <c r="A184" s="5">
        <v>2015</v>
      </c>
      <c r="B184" s="4" t="s">
        <v>8</v>
      </c>
      <c r="C184" s="13"/>
      <c r="D184" s="13">
        <v>1356.6160000000002</v>
      </c>
      <c r="E184" s="13">
        <v>10.371</v>
      </c>
      <c r="F184" s="13"/>
      <c r="G184" s="13">
        <v>340.73700000000002</v>
      </c>
      <c r="H184" s="13"/>
      <c r="I184" s="13">
        <v>38670.306000000004</v>
      </c>
      <c r="J184" s="13">
        <v>11.525</v>
      </c>
      <c r="K184" s="13"/>
      <c r="L184" s="16">
        <v>40389.555000000008</v>
      </c>
      <c r="N184" s="5">
        <v>2020</v>
      </c>
      <c r="O184" s="4" t="s">
        <v>8</v>
      </c>
      <c r="P184" s="5"/>
      <c r="Q184" s="5"/>
      <c r="R184" s="5"/>
      <c r="S184" s="5"/>
      <c r="T184" s="6"/>
      <c r="U184" s="6">
        <v>45.374000000000002</v>
      </c>
      <c r="V184" s="6"/>
      <c r="W184" s="16">
        <v>45.374000000000002</v>
      </c>
      <c r="Y184" s="19">
        <v>2015</v>
      </c>
      <c r="Z184" s="17" t="s">
        <v>7</v>
      </c>
      <c r="AA184" s="18">
        <v>3626.2749999999996</v>
      </c>
      <c r="AB184" s="18">
        <v>39652.581999999988</v>
      </c>
      <c r="AC184" s="18">
        <v>22022.272999999997</v>
      </c>
      <c r="AD184" s="18"/>
      <c r="AE184" s="18"/>
      <c r="AF184" s="18"/>
      <c r="AG184" s="18">
        <v>752.87300000000005</v>
      </c>
      <c r="AH184" s="18">
        <v>76.87</v>
      </c>
      <c r="AI184" s="18"/>
      <c r="AJ184" s="18">
        <v>66130.872999999992</v>
      </c>
    </row>
    <row r="185" spans="1:36" x14ac:dyDescent="0.25">
      <c r="A185" s="5">
        <v>2015</v>
      </c>
      <c r="B185" s="4" t="s">
        <v>9</v>
      </c>
      <c r="C185" s="13">
        <v>5.4930000000000003</v>
      </c>
      <c r="D185" s="13"/>
      <c r="E185" s="13">
        <v>0.66600000000000004</v>
      </c>
      <c r="F185" s="13"/>
      <c r="G185" s="13"/>
      <c r="H185" s="13"/>
      <c r="I185" s="13">
        <v>52664.694000000003</v>
      </c>
      <c r="J185" s="13"/>
      <c r="K185" s="13"/>
      <c r="L185" s="16">
        <v>52670.853000000003</v>
      </c>
      <c r="N185" s="5">
        <v>2020</v>
      </c>
      <c r="O185" s="4" t="s">
        <v>13</v>
      </c>
      <c r="P185" s="5"/>
      <c r="Q185" s="5"/>
      <c r="R185" s="5"/>
      <c r="S185" s="5"/>
      <c r="T185" s="6">
        <v>3478.1680000000001</v>
      </c>
      <c r="U185" s="6"/>
      <c r="V185" s="6"/>
      <c r="W185" s="16">
        <v>3478.1680000000001</v>
      </c>
      <c r="Y185" s="19">
        <v>2015</v>
      </c>
      <c r="Z185" s="17" t="s">
        <v>8</v>
      </c>
      <c r="AA185" s="18">
        <v>5767.2640000000001</v>
      </c>
      <c r="AB185" s="18">
        <v>4227.5519999999997</v>
      </c>
      <c r="AC185" s="18">
        <v>811.55000000000007</v>
      </c>
      <c r="AD185" s="18"/>
      <c r="AE185" s="18"/>
      <c r="AF185" s="18"/>
      <c r="AG185" s="18">
        <v>55.5</v>
      </c>
      <c r="AH185" s="18"/>
      <c r="AI185" s="18"/>
      <c r="AJ185" s="18">
        <v>10861.865999999998</v>
      </c>
    </row>
    <row r="186" spans="1:36" x14ac:dyDescent="0.25">
      <c r="A186" s="5">
        <v>2015</v>
      </c>
      <c r="B186" s="4" t="s">
        <v>10</v>
      </c>
      <c r="C186" s="13"/>
      <c r="D186" s="13"/>
      <c r="E186" s="13"/>
      <c r="F186" s="13"/>
      <c r="G186" s="13"/>
      <c r="H186" s="13"/>
      <c r="I186" s="13">
        <v>23848.123999999993</v>
      </c>
      <c r="J186" s="13"/>
      <c r="K186" s="13"/>
      <c r="L186" s="16">
        <v>23848.123999999993</v>
      </c>
      <c r="N186" s="5">
        <v>2020</v>
      </c>
      <c r="O186" s="4" t="s">
        <v>14</v>
      </c>
      <c r="P186" s="5"/>
      <c r="Q186" s="5"/>
      <c r="R186" s="5"/>
      <c r="S186" s="5"/>
      <c r="T186" s="6">
        <v>1163.963</v>
      </c>
      <c r="U186" s="6"/>
      <c r="V186" s="6"/>
      <c r="W186" s="16">
        <v>1163.963</v>
      </c>
      <c r="Y186" s="19">
        <v>2015</v>
      </c>
      <c r="Z186" s="17" t="s">
        <v>9</v>
      </c>
      <c r="AA186" s="18">
        <v>9209.8520000000008</v>
      </c>
      <c r="AB186" s="18">
        <v>4887.2680000000009</v>
      </c>
      <c r="AC186" s="18">
        <v>15.974</v>
      </c>
      <c r="AD186" s="18"/>
      <c r="AE186" s="18"/>
      <c r="AF186" s="18"/>
      <c r="AG186" s="18">
        <v>115.73000000000002</v>
      </c>
      <c r="AH186" s="18"/>
      <c r="AI186" s="18"/>
      <c r="AJ186" s="18">
        <v>14228.824000000002</v>
      </c>
    </row>
    <row r="187" spans="1:36" x14ac:dyDescent="0.25">
      <c r="A187" s="5">
        <v>2015</v>
      </c>
      <c r="B187" s="4" t="s">
        <v>11</v>
      </c>
      <c r="C187" s="13"/>
      <c r="D187" s="13"/>
      <c r="E187" s="13">
        <v>0.59</v>
      </c>
      <c r="F187" s="13"/>
      <c r="G187" s="13"/>
      <c r="H187" s="13"/>
      <c r="I187" s="13">
        <v>27767.479000000014</v>
      </c>
      <c r="J187" s="13"/>
      <c r="K187" s="13"/>
      <c r="L187" s="16">
        <v>27768.069000000014</v>
      </c>
      <c r="N187" s="5">
        <v>2020</v>
      </c>
      <c r="O187" s="4" t="s">
        <v>15</v>
      </c>
      <c r="P187" s="5"/>
      <c r="Q187" s="5"/>
      <c r="R187" s="5"/>
      <c r="S187" s="5"/>
      <c r="T187" s="6">
        <v>2843.7300000000005</v>
      </c>
      <c r="U187" s="6"/>
      <c r="V187" s="6"/>
      <c r="W187" s="16">
        <v>2843.7300000000005</v>
      </c>
      <c r="Y187" s="19">
        <v>2015</v>
      </c>
      <c r="Z187" s="17" t="s">
        <v>10</v>
      </c>
      <c r="AA187" s="18">
        <v>15118.714999999995</v>
      </c>
      <c r="AB187" s="18">
        <v>22613.612000000005</v>
      </c>
      <c r="AC187" s="18">
        <v>3748.3249999999989</v>
      </c>
      <c r="AD187" s="18"/>
      <c r="AE187" s="18"/>
      <c r="AF187" s="18"/>
      <c r="AG187" s="18">
        <v>36.090000000000003</v>
      </c>
      <c r="AH187" s="18"/>
      <c r="AI187" s="18"/>
      <c r="AJ187" s="18">
        <v>41516.741999999991</v>
      </c>
    </row>
    <row r="188" spans="1:36" x14ac:dyDescent="0.25">
      <c r="A188" s="5">
        <v>2015</v>
      </c>
      <c r="B188" s="4" t="s">
        <v>14</v>
      </c>
      <c r="C188" s="13"/>
      <c r="D188" s="13"/>
      <c r="E188" s="13">
        <v>24.314</v>
      </c>
      <c r="F188" s="13"/>
      <c r="G188" s="13"/>
      <c r="H188" s="13"/>
      <c r="I188" s="13">
        <v>110</v>
      </c>
      <c r="J188" s="13"/>
      <c r="K188" s="13"/>
      <c r="L188" s="16">
        <v>134.31399999999999</v>
      </c>
      <c r="N188" s="5">
        <v>2022</v>
      </c>
      <c r="O188" s="4" t="s">
        <v>7</v>
      </c>
      <c r="P188" s="5"/>
      <c r="Q188" s="5"/>
      <c r="R188" s="5"/>
      <c r="S188" s="5"/>
      <c r="T188" s="6">
        <v>27.53</v>
      </c>
      <c r="U188" s="6"/>
      <c r="V188" s="6"/>
      <c r="W188" s="16">
        <v>27.53</v>
      </c>
      <c r="Y188" s="19">
        <v>2015</v>
      </c>
      <c r="Z188" s="17" t="s">
        <v>11</v>
      </c>
      <c r="AA188" s="18">
        <v>32372.327000000023</v>
      </c>
      <c r="AB188" s="18">
        <v>29440.497999999978</v>
      </c>
      <c r="AC188" s="18">
        <v>630.89</v>
      </c>
      <c r="AD188" s="18"/>
      <c r="AE188" s="18"/>
      <c r="AF188" s="18"/>
      <c r="AG188" s="18">
        <v>1.325</v>
      </c>
      <c r="AH188" s="18"/>
      <c r="AI188" s="18"/>
      <c r="AJ188" s="18">
        <v>62445.039999999994</v>
      </c>
    </row>
    <row r="189" spans="1:36" x14ac:dyDescent="0.25">
      <c r="A189" s="5">
        <v>2015</v>
      </c>
      <c r="B189" s="4" t="s">
        <v>15</v>
      </c>
      <c r="C189" s="13"/>
      <c r="D189" s="13"/>
      <c r="E189" s="13"/>
      <c r="F189" s="13"/>
      <c r="G189" s="13"/>
      <c r="H189" s="13"/>
      <c r="I189" s="13">
        <v>7708.0650000000005</v>
      </c>
      <c r="J189" s="13"/>
      <c r="K189" s="13"/>
      <c r="L189" s="16">
        <v>7708.0650000000005</v>
      </c>
      <c r="N189" s="5">
        <v>2022</v>
      </c>
      <c r="O189" s="4" t="s">
        <v>13</v>
      </c>
      <c r="P189" s="5"/>
      <c r="Q189" s="5"/>
      <c r="R189" s="5"/>
      <c r="S189" s="5"/>
      <c r="T189" s="6">
        <v>5393.8169999999991</v>
      </c>
      <c r="U189" s="6"/>
      <c r="V189" s="6"/>
      <c r="W189" s="16">
        <v>5393.8169999999991</v>
      </c>
      <c r="Y189" s="19">
        <v>2015</v>
      </c>
      <c r="Z189" s="17" t="s">
        <v>13</v>
      </c>
      <c r="AA189" s="18">
        <v>690.16399999999999</v>
      </c>
      <c r="AB189" s="18">
        <v>56612.04799999993</v>
      </c>
      <c r="AC189" s="18">
        <v>2773.2599999999998</v>
      </c>
      <c r="AD189" s="18"/>
      <c r="AE189" s="18"/>
      <c r="AF189" s="18"/>
      <c r="AG189" s="18">
        <v>1635.9450000000006</v>
      </c>
      <c r="AH189" s="18">
        <v>9.1590000000000007</v>
      </c>
      <c r="AI189" s="18"/>
      <c r="AJ189" s="18">
        <v>61720.575999999928</v>
      </c>
    </row>
    <row r="190" spans="1:36" x14ac:dyDescent="0.25">
      <c r="A190" s="5">
        <v>2016</v>
      </c>
      <c r="B190" s="4" t="s">
        <v>4</v>
      </c>
      <c r="C190" s="13"/>
      <c r="D190" s="13"/>
      <c r="E190" s="13"/>
      <c r="F190" s="13"/>
      <c r="G190" s="13"/>
      <c r="H190" s="13"/>
      <c r="I190" s="13">
        <v>51752.940999999948</v>
      </c>
      <c r="J190" s="13"/>
      <c r="K190" s="13"/>
      <c r="L190" s="16">
        <v>51752.940999999948</v>
      </c>
      <c r="N190" s="5">
        <v>2022</v>
      </c>
      <c r="O190" s="4" t="s">
        <v>14</v>
      </c>
      <c r="P190" s="5"/>
      <c r="Q190" s="5"/>
      <c r="R190" s="5"/>
      <c r="S190" s="5"/>
      <c r="T190" s="6">
        <v>24.244</v>
      </c>
      <c r="U190" s="6"/>
      <c r="V190" s="6"/>
      <c r="W190" s="16">
        <v>24.244</v>
      </c>
      <c r="Y190" s="19">
        <v>2015</v>
      </c>
      <c r="Z190" s="17" t="s">
        <v>14</v>
      </c>
      <c r="AA190" s="18">
        <v>12309.468999999999</v>
      </c>
      <c r="AB190" s="18">
        <v>22350.504000000004</v>
      </c>
      <c r="AC190" s="18">
        <v>8229.5709999999963</v>
      </c>
      <c r="AD190" s="18"/>
      <c r="AE190" s="18"/>
      <c r="AF190" s="18"/>
      <c r="AG190" s="18">
        <v>157.45400000000001</v>
      </c>
      <c r="AH190" s="18">
        <v>36.374000000000002</v>
      </c>
      <c r="AI190" s="18"/>
      <c r="AJ190" s="18">
        <v>43083.372000000003</v>
      </c>
    </row>
    <row r="191" spans="1:36" x14ac:dyDescent="0.25">
      <c r="A191" s="5">
        <v>2016</v>
      </c>
      <c r="B191" s="4" t="s">
        <v>5</v>
      </c>
      <c r="C191" s="13"/>
      <c r="D191" s="13"/>
      <c r="E191" s="13"/>
      <c r="F191" s="13"/>
      <c r="G191" s="13"/>
      <c r="H191" s="13"/>
      <c r="I191" s="13">
        <v>16552.93399999999</v>
      </c>
      <c r="J191" s="13"/>
      <c r="K191" s="13"/>
      <c r="L191" s="16">
        <v>16552.93399999999</v>
      </c>
      <c r="N191" s="5">
        <v>2023</v>
      </c>
      <c r="O191" s="4" t="s">
        <v>9</v>
      </c>
      <c r="P191" s="5"/>
      <c r="Q191" s="5"/>
      <c r="R191" s="5"/>
      <c r="S191" s="5"/>
      <c r="T191" s="6">
        <v>638.99900000000002</v>
      </c>
      <c r="U191" s="6"/>
      <c r="V191" s="6"/>
      <c r="W191" s="16">
        <v>638.99900000000002</v>
      </c>
      <c r="Y191" s="19">
        <v>2015</v>
      </c>
      <c r="Z191" s="17" t="s">
        <v>15</v>
      </c>
      <c r="AA191" s="18"/>
      <c r="AB191" s="18">
        <v>27.088999999999999</v>
      </c>
      <c r="AC191" s="18"/>
      <c r="AD191" s="18"/>
      <c r="AE191" s="18"/>
      <c r="AF191" s="18"/>
      <c r="AG191" s="18">
        <v>22.591999999999999</v>
      </c>
      <c r="AH191" s="18"/>
      <c r="AI191" s="18"/>
      <c r="AJ191" s="18">
        <v>49.680999999999997</v>
      </c>
    </row>
    <row r="192" spans="1:36" x14ac:dyDescent="0.25">
      <c r="A192" s="5">
        <v>2016</v>
      </c>
      <c r="B192" s="4" t="s">
        <v>6</v>
      </c>
      <c r="C192" s="13"/>
      <c r="D192" s="13"/>
      <c r="E192" s="13"/>
      <c r="F192" s="13"/>
      <c r="G192" s="13"/>
      <c r="H192" s="13"/>
      <c r="I192" s="13">
        <v>23012.976999999995</v>
      </c>
      <c r="J192" s="13"/>
      <c r="K192" s="13"/>
      <c r="L192" s="16">
        <v>23012.976999999995</v>
      </c>
      <c r="N192" s="5">
        <v>2023</v>
      </c>
      <c r="O192" s="4" t="s">
        <v>13</v>
      </c>
      <c r="P192" s="5"/>
      <c r="Q192" s="5"/>
      <c r="R192" s="5"/>
      <c r="S192" s="5"/>
      <c r="T192" s="6">
        <v>322.18099999999998</v>
      </c>
      <c r="U192" s="6"/>
      <c r="V192" s="6"/>
      <c r="W192" s="16">
        <v>322.18099999999998</v>
      </c>
      <c r="Y192" s="19">
        <v>2016</v>
      </c>
      <c r="Z192" s="17" t="s">
        <v>4</v>
      </c>
      <c r="AA192" s="18"/>
      <c r="AB192" s="18">
        <v>26.17</v>
      </c>
      <c r="AC192" s="18"/>
      <c r="AD192" s="18"/>
      <c r="AE192" s="18"/>
      <c r="AF192" s="18"/>
      <c r="AG192" s="18"/>
      <c r="AH192" s="18"/>
      <c r="AI192" s="18"/>
      <c r="AJ192" s="18">
        <v>26.17</v>
      </c>
    </row>
    <row r="193" spans="1:36" x14ac:dyDescent="0.25">
      <c r="A193" s="5">
        <v>2016</v>
      </c>
      <c r="B193" s="4" t="s">
        <v>7</v>
      </c>
      <c r="C193" s="13"/>
      <c r="D193" s="13"/>
      <c r="E193" s="13"/>
      <c r="F193" s="13"/>
      <c r="G193" s="13"/>
      <c r="H193" s="13"/>
      <c r="I193" s="13">
        <v>45105.481000000007</v>
      </c>
      <c r="J193" s="13"/>
      <c r="K193" s="13"/>
      <c r="L193" s="16">
        <v>45105.481000000007</v>
      </c>
      <c r="N193" s="5">
        <v>2024</v>
      </c>
      <c r="O193" s="4" t="s">
        <v>7</v>
      </c>
      <c r="P193" s="5"/>
      <c r="Q193" s="5"/>
      <c r="R193" s="5"/>
      <c r="S193" s="5"/>
      <c r="T193" s="6">
        <v>128.68600000000001</v>
      </c>
      <c r="U193" s="6"/>
      <c r="V193" s="6"/>
      <c r="W193" s="16">
        <v>128.68600000000001</v>
      </c>
      <c r="Y193" s="19">
        <v>2016</v>
      </c>
      <c r="Z193" s="17" t="s">
        <v>5</v>
      </c>
      <c r="AA193" s="18"/>
      <c r="AB193" s="18"/>
      <c r="AC193" s="18"/>
      <c r="AD193" s="18"/>
      <c r="AE193" s="18"/>
      <c r="AF193" s="18"/>
      <c r="AG193" s="18">
        <v>517.63699999999994</v>
      </c>
      <c r="AH193" s="18">
        <v>10.637</v>
      </c>
      <c r="AI193" s="18"/>
      <c r="AJ193" s="18">
        <v>528.27399999999989</v>
      </c>
    </row>
    <row r="194" spans="1:36" x14ac:dyDescent="0.25">
      <c r="A194" s="5">
        <v>2016</v>
      </c>
      <c r="B194" s="4" t="s">
        <v>8</v>
      </c>
      <c r="C194" s="13"/>
      <c r="D194" s="13">
        <v>45.19</v>
      </c>
      <c r="E194" s="13">
        <v>3.8600000000000003</v>
      </c>
      <c r="F194" s="13"/>
      <c r="G194" s="13"/>
      <c r="H194" s="13"/>
      <c r="I194" s="13">
        <v>42277.507999999994</v>
      </c>
      <c r="J194" s="13"/>
      <c r="K194" s="13"/>
      <c r="L194" s="16">
        <v>42326.557999999997</v>
      </c>
      <c r="N194" s="5">
        <v>2024</v>
      </c>
      <c r="O194" s="4" t="s">
        <v>8</v>
      </c>
      <c r="P194" s="5"/>
      <c r="Q194" s="5"/>
      <c r="R194" s="5"/>
      <c r="S194" s="5"/>
      <c r="T194" s="6">
        <v>265.26400000000001</v>
      </c>
      <c r="U194" s="6"/>
      <c r="V194" s="6"/>
      <c r="W194" s="16">
        <v>265.26400000000001</v>
      </c>
      <c r="Y194" s="19">
        <v>2016</v>
      </c>
      <c r="Z194" s="17" t="s">
        <v>6</v>
      </c>
      <c r="AA194" s="18"/>
      <c r="AB194" s="18">
        <v>2096.29</v>
      </c>
      <c r="AC194" s="18">
        <v>1559.6849999999999</v>
      </c>
      <c r="AD194" s="18"/>
      <c r="AE194" s="18"/>
      <c r="AF194" s="18"/>
      <c r="AG194" s="18">
        <v>672.46699999999987</v>
      </c>
      <c r="AH194" s="18"/>
      <c r="AI194" s="18"/>
      <c r="AJ194" s="18">
        <v>4328.442</v>
      </c>
    </row>
    <row r="195" spans="1:36" x14ac:dyDescent="0.25">
      <c r="A195" s="5">
        <v>2016</v>
      </c>
      <c r="B195" s="4" t="s">
        <v>9</v>
      </c>
      <c r="C195" s="13"/>
      <c r="D195" s="13">
        <v>3562.8180000000002</v>
      </c>
      <c r="E195" s="13">
        <v>3198.5649999999991</v>
      </c>
      <c r="F195" s="13"/>
      <c r="G195" s="13"/>
      <c r="H195" s="13"/>
      <c r="I195" s="13">
        <v>35098.813000000002</v>
      </c>
      <c r="J195" s="13"/>
      <c r="K195" s="13"/>
      <c r="L195" s="16">
        <v>41860.196000000004</v>
      </c>
      <c r="N195" s="5">
        <v>2024</v>
      </c>
      <c r="O195" s="4" t="s">
        <v>13</v>
      </c>
      <c r="P195" s="5"/>
      <c r="Q195" s="5"/>
      <c r="R195" s="5"/>
      <c r="S195" s="5"/>
      <c r="T195" s="6">
        <v>518.54200000000003</v>
      </c>
      <c r="U195" s="6"/>
      <c r="V195" s="6"/>
      <c r="W195" s="16">
        <v>518.54200000000003</v>
      </c>
      <c r="Y195" s="19">
        <v>2016</v>
      </c>
      <c r="Z195" s="17" t="s">
        <v>7</v>
      </c>
      <c r="AA195" s="18">
        <v>1183.5569999999998</v>
      </c>
      <c r="AB195" s="18">
        <v>4309.0899999999992</v>
      </c>
      <c r="AC195" s="18">
        <v>5041.6899999999978</v>
      </c>
      <c r="AD195" s="18"/>
      <c r="AE195" s="18"/>
      <c r="AF195" s="18"/>
      <c r="AG195" s="18"/>
      <c r="AH195" s="18"/>
      <c r="AI195" s="18"/>
      <c r="AJ195" s="18">
        <v>10534.336999999996</v>
      </c>
    </row>
    <row r="196" spans="1:36" x14ac:dyDescent="0.25">
      <c r="A196" s="5">
        <v>2016</v>
      </c>
      <c r="B196" s="4" t="s">
        <v>10</v>
      </c>
      <c r="C196" s="13">
        <v>554.0569999999999</v>
      </c>
      <c r="D196" s="13">
        <v>10364.474999999997</v>
      </c>
      <c r="E196" s="13">
        <v>350.04899999999998</v>
      </c>
      <c r="F196" s="13"/>
      <c r="G196" s="13"/>
      <c r="H196" s="13"/>
      <c r="I196" s="13">
        <v>8858.9489999999987</v>
      </c>
      <c r="J196" s="13"/>
      <c r="K196" s="13"/>
      <c r="L196" s="16">
        <v>20127.53</v>
      </c>
      <c r="N196" s="5">
        <v>2024</v>
      </c>
      <c r="O196" s="4" t="s">
        <v>14</v>
      </c>
      <c r="P196" s="5"/>
      <c r="Q196" s="5"/>
      <c r="R196" s="5"/>
      <c r="S196" s="5"/>
      <c r="T196" s="6">
        <v>1640.0839999999998</v>
      </c>
      <c r="U196" s="6"/>
      <c r="V196" s="6"/>
      <c r="W196" s="16">
        <v>1640.0839999999998</v>
      </c>
      <c r="Y196" s="19">
        <v>2016</v>
      </c>
      <c r="Z196" s="17" t="s">
        <v>8</v>
      </c>
      <c r="AA196" s="18">
        <v>336.07999999999993</v>
      </c>
      <c r="AB196" s="18">
        <v>28977.662000000008</v>
      </c>
      <c r="AC196" s="18">
        <v>10533.805999999999</v>
      </c>
      <c r="AD196" s="18"/>
      <c r="AE196" s="18"/>
      <c r="AF196" s="18"/>
      <c r="AG196" s="18">
        <v>278.19</v>
      </c>
      <c r="AH196" s="18"/>
      <c r="AI196" s="18"/>
      <c r="AJ196" s="18">
        <v>40125.738000000005</v>
      </c>
    </row>
    <row r="197" spans="1:36" x14ac:dyDescent="0.25">
      <c r="A197" s="5">
        <v>2016</v>
      </c>
      <c r="B197" s="4" t="s">
        <v>11</v>
      </c>
      <c r="C197" s="13"/>
      <c r="D197" s="13"/>
      <c r="E197" s="13">
        <v>1085.279</v>
      </c>
      <c r="F197" s="13"/>
      <c r="G197" s="13"/>
      <c r="H197" s="13"/>
      <c r="I197" s="13">
        <v>8311.3810000000012</v>
      </c>
      <c r="J197" s="13"/>
      <c r="K197" s="13"/>
      <c r="L197" s="16">
        <v>9396.6600000000017</v>
      </c>
      <c r="Y197" s="19">
        <v>2016</v>
      </c>
      <c r="Z197" s="17" t="s">
        <v>9</v>
      </c>
      <c r="AA197" s="18">
        <v>607.92399999999998</v>
      </c>
      <c r="AB197" s="18">
        <v>39431.085000000021</v>
      </c>
      <c r="AC197" s="18">
        <v>12100.887999999997</v>
      </c>
      <c r="AD197" s="18"/>
      <c r="AE197" s="18"/>
      <c r="AF197" s="18"/>
      <c r="AG197" s="18">
        <v>981.00599999999974</v>
      </c>
      <c r="AH197" s="18">
        <v>67.677999999999997</v>
      </c>
      <c r="AI197" s="18"/>
      <c r="AJ197" s="18">
        <v>53188.58100000002</v>
      </c>
    </row>
    <row r="198" spans="1:36" x14ac:dyDescent="0.25">
      <c r="A198" s="5">
        <v>2016</v>
      </c>
      <c r="B198" s="4" t="s">
        <v>12</v>
      </c>
      <c r="C198" s="13"/>
      <c r="D198" s="13"/>
      <c r="E198" s="13"/>
      <c r="F198" s="13"/>
      <c r="G198" s="13"/>
      <c r="H198" s="13"/>
      <c r="I198" s="13">
        <v>79.765000000000001</v>
      </c>
      <c r="J198" s="13"/>
      <c r="K198" s="13"/>
      <c r="L198" s="16">
        <v>79.765000000000001</v>
      </c>
      <c r="Y198" s="19">
        <v>2016</v>
      </c>
      <c r="Z198" s="17" t="s">
        <v>10</v>
      </c>
      <c r="AA198" s="18">
        <v>5883.925000000002</v>
      </c>
      <c r="AB198" s="18">
        <v>24878.817999999992</v>
      </c>
      <c r="AC198" s="18">
        <v>1462.627</v>
      </c>
      <c r="AD198" s="18"/>
      <c r="AE198" s="18"/>
      <c r="AF198" s="18"/>
      <c r="AG198" s="18">
        <v>106.49299999999999</v>
      </c>
      <c r="AH198" s="18">
        <v>27.305</v>
      </c>
      <c r="AI198" s="18"/>
      <c r="AJ198" s="18">
        <v>32359.167999999994</v>
      </c>
    </row>
    <row r="199" spans="1:36" x14ac:dyDescent="0.25">
      <c r="A199" s="5">
        <v>2016</v>
      </c>
      <c r="B199" s="4" t="s">
        <v>13</v>
      </c>
      <c r="C199" s="13"/>
      <c r="D199" s="13">
        <v>2066.4740000000002</v>
      </c>
      <c r="E199" s="13">
        <v>2530.444</v>
      </c>
      <c r="F199" s="13"/>
      <c r="G199" s="13"/>
      <c r="H199" s="13"/>
      <c r="I199" s="13">
        <v>3519.4499999999994</v>
      </c>
      <c r="J199" s="13"/>
      <c r="K199" s="13"/>
      <c r="L199" s="16">
        <v>8116.3679999999986</v>
      </c>
      <c r="Y199" s="19">
        <v>2016</v>
      </c>
      <c r="Z199" s="17" t="s">
        <v>11</v>
      </c>
      <c r="AA199" s="18">
        <v>679.548</v>
      </c>
      <c r="AB199" s="18">
        <v>845.82600000000025</v>
      </c>
      <c r="AC199" s="18">
        <v>1349.4440000000002</v>
      </c>
      <c r="AD199" s="18"/>
      <c r="AE199" s="18"/>
      <c r="AF199" s="18"/>
      <c r="AG199" s="18"/>
      <c r="AH199" s="18"/>
      <c r="AI199" s="18"/>
      <c r="AJ199" s="18">
        <v>2874.8180000000002</v>
      </c>
    </row>
    <row r="200" spans="1:36" x14ac:dyDescent="0.25">
      <c r="A200" s="5">
        <v>2016</v>
      </c>
      <c r="B200" s="4" t="s">
        <v>14</v>
      </c>
      <c r="C200" s="13"/>
      <c r="D200" s="13">
        <v>484.721</v>
      </c>
      <c r="E200" s="13"/>
      <c r="F200" s="13"/>
      <c r="G200" s="13"/>
      <c r="H200" s="13"/>
      <c r="I200" s="13">
        <v>3041.328</v>
      </c>
      <c r="J200" s="13"/>
      <c r="K200" s="13"/>
      <c r="L200" s="16">
        <v>3526.049</v>
      </c>
      <c r="Y200" s="19">
        <v>2016</v>
      </c>
      <c r="Z200" s="17" t="s">
        <v>12</v>
      </c>
      <c r="AA200" s="18">
        <v>3701.7850000000003</v>
      </c>
      <c r="AB200" s="18">
        <v>352.02299999999991</v>
      </c>
      <c r="AC200" s="18"/>
      <c r="AD200" s="18"/>
      <c r="AE200" s="18"/>
      <c r="AF200" s="18"/>
      <c r="AG200" s="18"/>
      <c r="AH200" s="18"/>
      <c r="AI200" s="18"/>
      <c r="AJ200" s="18">
        <v>4053.808</v>
      </c>
    </row>
    <row r="201" spans="1:36" x14ac:dyDescent="0.25">
      <c r="A201" s="5">
        <v>2016</v>
      </c>
      <c r="B201" s="4" t="s">
        <v>15</v>
      </c>
      <c r="C201" s="13"/>
      <c r="D201" s="13"/>
      <c r="E201" s="13"/>
      <c r="F201" s="13"/>
      <c r="G201" s="13"/>
      <c r="H201" s="13"/>
      <c r="I201" s="13">
        <v>25606.500000000004</v>
      </c>
      <c r="J201" s="13"/>
      <c r="K201" s="13"/>
      <c r="L201" s="16">
        <v>25606.500000000004</v>
      </c>
      <c r="Y201" s="19">
        <v>2016</v>
      </c>
      <c r="Z201" s="17" t="s">
        <v>13</v>
      </c>
      <c r="AA201" s="18">
        <v>593.65500000000009</v>
      </c>
      <c r="AB201" s="18">
        <v>4208.6689999999999</v>
      </c>
      <c r="AC201" s="18">
        <v>4.0549999999999997</v>
      </c>
      <c r="AD201" s="18"/>
      <c r="AE201" s="18"/>
      <c r="AF201" s="18"/>
      <c r="AG201" s="18">
        <v>1543.6519999999998</v>
      </c>
      <c r="AH201" s="18">
        <v>237.73599999999999</v>
      </c>
      <c r="AI201" s="18"/>
      <c r="AJ201" s="18">
        <v>6587.7669999999998</v>
      </c>
    </row>
    <row r="202" spans="1:36" x14ac:dyDescent="0.25">
      <c r="A202" s="5">
        <v>2017</v>
      </c>
      <c r="B202" s="4" t="s">
        <v>4</v>
      </c>
      <c r="C202" s="13"/>
      <c r="D202" s="13"/>
      <c r="E202" s="13"/>
      <c r="F202" s="13"/>
      <c r="G202" s="13"/>
      <c r="H202" s="13"/>
      <c r="I202" s="13">
        <v>9054.7780000000002</v>
      </c>
      <c r="J202" s="13"/>
      <c r="K202" s="13"/>
      <c r="L202" s="16">
        <v>9054.7780000000002</v>
      </c>
      <c r="Y202" s="19">
        <v>2016</v>
      </c>
      <c r="Z202" s="17" t="s">
        <v>14</v>
      </c>
      <c r="AA202" s="18">
        <v>977.34400000000005</v>
      </c>
      <c r="AB202" s="18">
        <v>624.95699999999999</v>
      </c>
      <c r="AC202" s="18">
        <v>1032.83</v>
      </c>
      <c r="AD202" s="18"/>
      <c r="AE202" s="18"/>
      <c r="AF202" s="18"/>
      <c r="AG202" s="18">
        <v>515.84400000000005</v>
      </c>
      <c r="AH202" s="18"/>
      <c r="AI202" s="18"/>
      <c r="AJ202" s="18">
        <v>3150.9749999999999</v>
      </c>
    </row>
    <row r="203" spans="1:36" x14ac:dyDescent="0.25">
      <c r="A203" s="5">
        <v>2017</v>
      </c>
      <c r="B203" s="4" t="s">
        <v>5</v>
      </c>
      <c r="C203" s="13">
        <v>30.436</v>
      </c>
      <c r="D203" s="13">
        <v>2450.9090000000006</v>
      </c>
      <c r="E203" s="13">
        <v>1312.6419999999998</v>
      </c>
      <c r="F203" s="13"/>
      <c r="G203" s="13"/>
      <c r="H203" s="13"/>
      <c r="I203" s="13">
        <v>3974.7760000000003</v>
      </c>
      <c r="J203" s="13"/>
      <c r="K203" s="13"/>
      <c r="L203" s="16">
        <v>7768.7630000000008</v>
      </c>
      <c r="Y203" s="19">
        <v>2016</v>
      </c>
      <c r="Z203" s="17" t="s">
        <v>15</v>
      </c>
      <c r="AA203" s="18"/>
      <c r="AB203" s="18"/>
      <c r="AC203" s="18">
        <v>17.55</v>
      </c>
      <c r="AD203" s="18"/>
      <c r="AE203" s="18"/>
      <c r="AF203" s="18"/>
      <c r="AG203" s="18">
        <v>376.13799999999998</v>
      </c>
      <c r="AH203" s="18"/>
      <c r="AI203" s="18"/>
      <c r="AJ203" s="18">
        <v>393.68799999999999</v>
      </c>
    </row>
    <row r="204" spans="1:36" x14ac:dyDescent="0.25">
      <c r="A204" s="5">
        <v>2017</v>
      </c>
      <c r="B204" s="4" t="s">
        <v>6</v>
      </c>
      <c r="C204" s="13"/>
      <c r="D204" s="13">
        <v>8718.7540000000008</v>
      </c>
      <c r="E204" s="13">
        <v>7508.1250000000009</v>
      </c>
      <c r="F204" s="13"/>
      <c r="G204" s="13">
        <v>618.21600000000001</v>
      </c>
      <c r="H204" s="13"/>
      <c r="I204" s="13">
        <v>37945.298999999999</v>
      </c>
      <c r="J204" s="13"/>
      <c r="K204" s="13"/>
      <c r="L204" s="16">
        <v>54790.394</v>
      </c>
      <c r="Y204" s="19">
        <v>2017</v>
      </c>
      <c r="Z204" s="17" t="s">
        <v>5</v>
      </c>
      <c r="AA204" s="18">
        <v>17362.057999999997</v>
      </c>
      <c r="AB204" s="18">
        <v>47432.186000000016</v>
      </c>
      <c r="AC204" s="18">
        <v>8559.7039999999997</v>
      </c>
      <c r="AD204" s="18"/>
      <c r="AE204" s="18"/>
      <c r="AF204" s="18"/>
      <c r="AG204" s="18">
        <v>515.85500000000002</v>
      </c>
      <c r="AH204" s="18">
        <v>87.759999999999991</v>
      </c>
      <c r="AI204" s="18"/>
      <c r="AJ204" s="18">
        <v>73957.563000000009</v>
      </c>
    </row>
    <row r="205" spans="1:36" x14ac:dyDescent="0.25">
      <c r="A205" s="5">
        <v>2017</v>
      </c>
      <c r="B205" s="4" t="s">
        <v>7</v>
      </c>
      <c r="C205" s="13"/>
      <c r="D205" s="13">
        <v>667.85900000000015</v>
      </c>
      <c r="E205" s="13">
        <v>512.096</v>
      </c>
      <c r="F205" s="13"/>
      <c r="G205" s="13">
        <v>1342.6049999999998</v>
      </c>
      <c r="H205" s="13"/>
      <c r="I205" s="13">
        <v>53221.420000000042</v>
      </c>
      <c r="J205" s="13"/>
      <c r="K205" s="13"/>
      <c r="L205" s="16">
        <v>55743.98000000004</v>
      </c>
      <c r="Y205" s="19">
        <v>2017</v>
      </c>
      <c r="Z205" s="17" t="s">
        <v>6</v>
      </c>
      <c r="AA205" s="18">
        <v>5209.5469999999996</v>
      </c>
      <c r="AB205" s="18">
        <v>75107.287999999942</v>
      </c>
      <c r="AC205" s="18">
        <v>1517.8570000000002</v>
      </c>
      <c r="AD205" s="18"/>
      <c r="AE205" s="18"/>
      <c r="AF205" s="18"/>
      <c r="AG205" s="18">
        <v>170.20099999999999</v>
      </c>
      <c r="AH205" s="18"/>
      <c r="AI205" s="18"/>
      <c r="AJ205" s="18">
        <v>82004.892999999953</v>
      </c>
    </row>
    <row r="206" spans="1:36" x14ac:dyDescent="0.25">
      <c r="A206" s="5">
        <v>2017</v>
      </c>
      <c r="B206" s="4" t="s">
        <v>8</v>
      </c>
      <c r="C206" s="13">
        <v>1447.0570000000002</v>
      </c>
      <c r="D206" s="13">
        <v>6967.6439999999993</v>
      </c>
      <c r="E206" s="13">
        <v>5049.8279999999995</v>
      </c>
      <c r="F206" s="13"/>
      <c r="G206" s="13"/>
      <c r="H206" s="13"/>
      <c r="I206" s="13">
        <v>70042.067000000039</v>
      </c>
      <c r="J206" s="13"/>
      <c r="K206" s="13"/>
      <c r="L206" s="16">
        <v>83506.596000000034</v>
      </c>
      <c r="Y206" s="19">
        <v>2017</v>
      </c>
      <c r="Z206" s="17" t="s">
        <v>7</v>
      </c>
      <c r="AA206" s="18">
        <v>18585.672000000002</v>
      </c>
      <c r="AB206" s="18">
        <v>64106.667000000001</v>
      </c>
      <c r="AC206" s="18">
        <v>7220.2719999999999</v>
      </c>
      <c r="AD206" s="18"/>
      <c r="AE206" s="18"/>
      <c r="AF206" s="18"/>
      <c r="AG206" s="18">
        <v>22.888000000000002</v>
      </c>
      <c r="AH206" s="18"/>
      <c r="AI206" s="18"/>
      <c r="AJ206" s="18">
        <v>89935.499000000011</v>
      </c>
    </row>
    <row r="207" spans="1:36" x14ac:dyDescent="0.25">
      <c r="A207" s="5">
        <v>2017</v>
      </c>
      <c r="B207" s="4" t="s">
        <v>9</v>
      </c>
      <c r="C207" s="13"/>
      <c r="D207" s="13">
        <v>38.863</v>
      </c>
      <c r="E207" s="13"/>
      <c r="F207" s="13"/>
      <c r="G207" s="13"/>
      <c r="H207" s="13"/>
      <c r="I207" s="13">
        <v>27953.609999999979</v>
      </c>
      <c r="J207" s="13"/>
      <c r="K207" s="13"/>
      <c r="L207" s="16">
        <v>27992.47299999998</v>
      </c>
      <c r="Y207" s="19">
        <v>2017</v>
      </c>
      <c r="Z207" s="17" t="s">
        <v>8</v>
      </c>
      <c r="AA207" s="18">
        <v>124.575</v>
      </c>
      <c r="AB207" s="18">
        <v>19460.383999999998</v>
      </c>
      <c r="AC207" s="18">
        <v>3661.630000000001</v>
      </c>
      <c r="AD207" s="18"/>
      <c r="AE207" s="18"/>
      <c r="AF207" s="18"/>
      <c r="AG207" s="18">
        <v>356.392</v>
      </c>
      <c r="AH207" s="18"/>
      <c r="AI207" s="18"/>
      <c r="AJ207" s="18">
        <v>23602.981</v>
      </c>
    </row>
    <row r="208" spans="1:36" x14ac:dyDescent="0.25">
      <c r="A208" s="5">
        <v>2017</v>
      </c>
      <c r="B208" s="4" t="s">
        <v>10</v>
      </c>
      <c r="C208" s="13"/>
      <c r="D208" s="13"/>
      <c r="E208" s="13"/>
      <c r="F208" s="13"/>
      <c r="G208" s="13"/>
      <c r="H208" s="13"/>
      <c r="I208" s="13">
        <v>38917.289000000004</v>
      </c>
      <c r="J208" s="13"/>
      <c r="K208" s="13"/>
      <c r="L208" s="16">
        <v>38917.289000000004</v>
      </c>
      <c r="Y208" s="19">
        <v>2017</v>
      </c>
      <c r="Z208" s="17" t="s">
        <v>9</v>
      </c>
      <c r="AA208" s="18">
        <v>773.13000000000011</v>
      </c>
      <c r="AB208" s="18">
        <v>6068.1920000000009</v>
      </c>
      <c r="AC208" s="18"/>
      <c r="AD208" s="18"/>
      <c r="AE208" s="18"/>
      <c r="AF208" s="18"/>
      <c r="AG208" s="18"/>
      <c r="AH208" s="18"/>
      <c r="AI208" s="18"/>
      <c r="AJ208" s="18">
        <v>6841.322000000001</v>
      </c>
    </row>
    <row r="209" spans="1:36" x14ac:dyDescent="0.25">
      <c r="A209" s="5">
        <v>2017</v>
      </c>
      <c r="B209" s="4" t="s">
        <v>11</v>
      </c>
      <c r="C209" s="13"/>
      <c r="D209" s="13"/>
      <c r="E209" s="13"/>
      <c r="F209" s="13"/>
      <c r="G209" s="13"/>
      <c r="H209" s="13"/>
      <c r="I209" s="13">
        <v>19009.954000000009</v>
      </c>
      <c r="J209" s="13"/>
      <c r="K209" s="13"/>
      <c r="L209" s="16">
        <v>19009.954000000009</v>
      </c>
      <c r="Y209" s="19">
        <v>2017</v>
      </c>
      <c r="Z209" s="17" t="s">
        <v>10</v>
      </c>
      <c r="AA209" s="18">
        <v>5298.4459999999981</v>
      </c>
      <c r="AB209" s="18">
        <v>12274.043999999998</v>
      </c>
      <c r="AC209" s="18">
        <v>678.53</v>
      </c>
      <c r="AD209" s="18"/>
      <c r="AE209" s="18"/>
      <c r="AF209" s="18"/>
      <c r="AG209" s="18"/>
      <c r="AH209" s="18"/>
      <c r="AI209" s="18"/>
      <c r="AJ209" s="18">
        <v>18251.019999999997</v>
      </c>
    </row>
    <row r="210" spans="1:36" x14ac:dyDescent="0.25">
      <c r="A210" s="5">
        <v>2017</v>
      </c>
      <c r="B210" s="4" t="s">
        <v>12</v>
      </c>
      <c r="C210" s="13"/>
      <c r="D210" s="13"/>
      <c r="E210" s="13"/>
      <c r="F210" s="13"/>
      <c r="G210" s="13"/>
      <c r="H210" s="13"/>
      <c r="I210" s="13">
        <v>4461.7960000000003</v>
      </c>
      <c r="J210" s="13"/>
      <c r="K210" s="13"/>
      <c r="L210" s="16">
        <v>4461.7960000000003</v>
      </c>
      <c r="Y210" s="19">
        <v>2017</v>
      </c>
      <c r="Z210" s="17" t="s">
        <v>11</v>
      </c>
      <c r="AA210" s="18">
        <v>1582.6840000000002</v>
      </c>
      <c r="AB210" s="18">
        <v>4482.6750000000002</v>
      </c>
      <c r="AC210" s="18">
        <v>139.69</v>
      </c>
      <c r="AD210" s="18"/>
      <c r="AE210" s="18"/>
      <c r="AF210" s="18"/>
      <c r="AG210" s="18"/>
      <c r="AH210" s="18"/>
      <c r="AI210" s="18"/>
      <c r="AJ210" s="18">
        <v>6205.049</v>
      </c>
    </row>
    <row r="211" spans="1:36" x14ac:dyDescent="0.25">
      <c r="A211" s="5">
        <v>2017</v>
      </c>
      <c r="B211" s="4" t="s">
        <v>13</v>
      </c>
      <c r="C211" s="13"/>
      <c r="D211" s="13">
        <v>0.51300000000000001</v>
      </c>
      <c r="E211" s="13"/>
      <c r="F211" s="13"/>
      <c r="G211" s="13"/>
      <c r="H211" s="13"/>
      <c r="I211" s="13"/>
      <c r="J211" s="13"/>
      <c r="K211" s="13"/>
      <c r="L211" s="16">
        <v>0.51300000000000001</v>
      </c>
      <c r="Y211" s="19">
        <v>2017</v>
      </c>
      <c r="Z211" s="17" t="s">
        <v>13</v>
      </c>
      <c r="AA211" s="18">
        <v>3963.9090000000006</v>
      </c>
      <c r="AB211" s="18">
        <v>52117.538999999975</v>
      </c>
      <c r="AC211" s="18">
        <v>9756.6810000000023</v>
      </c>
      <c r="AD211" s="18"/>
      <c r="AE211" s="18"/>
      <c r="AF211" s="18"/>
      <c r="AG211" s="18">
        <v>1030.732</v>
      </c>
      <c r="AH211" s="18"/>
      <c r="AI211" s="18"/>
      <c r="AJ211" s="18">
        <v>66868.860999999975</v>
      </c>
    </row>
    <row r="212" spans="1:36" x14ac:dyDescent="0.25">
      <c r="A212" s="5">
        <v>2017</v>
      </c>
      <c r="B212" s="4" t="s">
        <v>14</v>
      </c>
      <c r="C212" s="13"/>
      <c r="D212" s="13">
        <v>34.555</v>
      </c>
      <c r="E212" s="13">
        <v>34.350999999999999</v>
      </c>
      <c r="F212" s="13"/>
      <c r="G212" s="13"/>
      <c r="H212" s="13"/>
      <c r="I212" s="13"/>
      <c r="J212" s="13"/>
      <c r="K212" s="13"/>
      <c r="L212" s="16">
        <v>68.906000000000006</v>
      </c>
      <c r="Y212" s="19">
        <v>2017</v>
      </c>
      <c r="Z212" s="17" t="s">
        <v>14</v>
      </c>
      <c r="AA212" s="18">
        <v>74.408000000000001</v>
      </c>
      <c r="AB212" s="18">
        <v>19074.360999999997</v>
      </c>
      <c r="AC212" s="18">
        <v>2940.9799999999991</v>
      </c>
      <c r="AD212" s="18"/>
      <c r="AE212" s="18"/>
      <c r="AF212" s="18"/>
      <c r="AG212" s="18">
        <v>1087.67</v>
      </c>
      <c r="AH212" s="18"/>
      <c r="AI212" s="18"/>
      <c r="AJ212" s="18">
        <v>23177.418999999994</v>
      </c>
    </row>
    <row r="213" spans="1:36" x14ac:dyDescent="0.25">
      <c r="A213" s="5">
        <v>2017</v>
      </c>
      <c r="B213" s="4" t="s">
        <v>15</v>
      </c>
      <c r="C213" s="13"/>
      <c r="D213" s="13"/>
      <c r="E213" s="13"/>
      <c r="F213" s="13"/>
      <c r="G213" s="13"/>
      <c r="H213" s="13"/>
      <c r="I213" s="13">
        <v>13721.646999999999</v>
      </c>
      <c r="J213" s="13"/>
      <c r="K213" s="13"/>
      <c r="L213" s="16">
        <v>13721.646999999999</v>
      </c>
      <c r="Y213" s="19">
        <v>2017</v>
      </c>
      <c r="Z213" s="17" t="s">
        <v>15</v>
      </c>
      <c r="AA213" s="18">
        <v>7.8650000000000002</v>
      </c>
      <c r="AB213" s="18">
        <v>186.404</v>
      </c>
      <c r="AC213" s="18">
        <v>494.93500000000006</v>
      </c>
      <c r="AD213" s="18"/>
      <c r="AE213" s="18"/>
      <c r="AF213" s="18"/>
      <c r="AG213" s="18"/>
      <c r="AH213" s="18"/>
      <c r="AI213" s="18"/>
      <c r="AJ213" s="18">
        <v>689.20400000000006</v>
      </c>
    </row>
    <row r="214" spans="1:36" x14ac:dyDescent="0.25">
      <c r="A214" s="5">
        <v>2018</v>
      </c>
      <c r="B214" s="4" t="s">
        <v>4</v>
      </c>
      <c r="C214" s="13"/>
      <c r="D214" s="13">
        <v>65.634</v>
      </c>
      <c r="E214" s="13"/>
      <c r="F214" s="13"/>
      <c r="G214" s="13">
        <v>1179.9159999999997</v>
      </c>
      <c r="H214" s="13"/>
      <c r="I214" s="13">
        <v>39894.354999999989</v>
      </c>
      <c r="J214" s="13"/>
      <c r="K214" s="13"/>
      <c r="L214" s="16">
        <v>41139.904999999992</v>
      </c>
      <c r="Y214" s="19">
        <v>2018</v>
      </c>
      <c r="Z214" s="17" t="s">
        <v>4</v>
      </c>
      <c r="AA214" s="18">
        <v>3299.4999999999995</v>
      </c>
      <c r="AB214" s="18">
        <v>7961.3050000000003</v>
      </c>
      <c r="AC214" s="18"/>
      <c r="AD214" s="18"/>
      <c r="AE214" s="18"/>
      <c r="AF214" s="18"/>
      <c r="AG214" s="18"/>
      <c r="AH214" s="18"/>
      <c r="AI214" s="18"/>
      <c r="AJ214" s="18">
        <v>11260.805</v>
      </c>
    </row>
    <row r="215" spans="1:36" x14ac:dyDescent="0.25">
      <c r="A215" s="5">
        <v>2018</v>
      </c>
      <c r="B215" s="4" t="s">
        <v>5</v>
      </c>
      <c r="C215" s="13"/>
      <c r="D215" s="13"/>
      <c r="E215" s="13"/>
      <c r="F215" s="13"/>
      <c r="G215" s="13"/>
      <c r="H215" s="13"/>
      <c r="I215" s="13">
        <v>49425.359999999993</v>
      </c>
      <c r="J215" s="13"/>
      <c r="K215" s="13"/>
      <c r="L215" s="16">
        <v>49425.359999999993</v>
      </c>
      <c r="Y215" s="19">
        <v>2018</v>
      </c>
      <c r="Z215" s="17" t="s">
        <v>5</v>
      </c>
      <c r="AA215" s="18"/>
      <c r="AB215" s="18"/>
      <c r="AC215" s="18"/>
      <c r="AD215" s="18"/>
      <c r="AE215" s="18"/>
      <c r="AF215" s="18"/>
      <c r="AG215" s="18">
        <v>380.42700000000002</v>
      </c>
      <c r="AH215" s="18"/>
      <c r="AI215" s="18"/>
      <c r="AJ215" s="18">
        <v>380.42700000000002</v>
      </c>
    </row>
    <row r="216" spans="1:36" x14ac:dyDescent="0.25">
      <c r="A216" s="5">
        <v>2018</v>
      </c>
      <c r="B216" s="4" t="s">
        <v>6</v>
      </c>
      <c r="C216" s="13"/>
      <c r="D216" s="13">
        <v>1008.091</v>
      </c>
      <c r="E216" s="13">
        <v>695.91600000000028</v>
      </c>
      <c r="F216" s="13"/>
      <c r="G216" s="13"/>
      <c r="H216" s="13"/>
      <c r="I216" s="13">
        <v>41463.056000000004</v>
      </c>
      <c r="J216" s="13"/>
      <c r="K216" s="13"/>
      <c r="L216" s="16">
        <v>43167.063000000002</v>
      </c>
      <c r="Y216" s="19">
        <v>2018</v>
      </c>
      <c r="Z216" s="17" t="s">
        <v>6</v>
      </c>
      <c r="AA216" s="18">
        <v>14389.115000000002</v>
      </c>
      <c r="AB216" s="18">
        <v>96709.434000000037</v>
      </c>
      <c r="AC216" s="18">
        <v>25323.021999999994</v>
      </c>
      <c r="AD216" s="18"/>
      <c r="AE216" s="18"/>
      <c r="AF216" s="18"/>
      <c r="AG216" s="18">
        <v>540.303</v>
      </c>
      <c r="AH216" s="18"/>
      <c r="AI216" s="18"/>
      <c r="AJ216" s="18">
        <v>136961.87400000004</v>
      </c>
    </row>
    <row r="217" spans="1:36" x14ac:dyDescent="0.25">
      <c r="A217" s="5">
        <v>2018</v>
      </c>
      <c r="B217" s="4" t="s">
        <v>7</v>
      </c>
      <c r="C217" s="13"/>
      <c r="D217" s="13">
        <v>879.20600000000013</v>
      </c>
      <c r="E217" s="13">
        <v>1255.4879999999994</v>
      </c>
      <c r="F217" s="13"/>
      <c r="G217" s="13"/>
      <c r="H217" s="13"/>
      <c r="I217" s="13">
        <v>42474.597999999991</v>
      </c>
      <c r="J217" s="13"/>
      <c r="K217" s="13"/>
      <c r="L217" s="16">
        <v>44609.291999999987</v>
      </c>
      <c r="Y217" s="19">
        <v>2018</v>
      </c>
      <c r="Z217" s="17" t="s">
        <v>7</v>
      </c>
      <c r="AA217" s="18">
        <v>315.495</v>
      </c>
      <c r="AB217" s="18">
        <v>64011.67700000004</v>
      </c>
      <c r="AC217" s="18">
        <v>29557.663999999979</v>
      </c>
      <c r="AD217" s="18"/>
      <c r="AE217" s="18"/>
      <c r="AF217" s="18"/>
      <c r="AG217" s="18"/>
      <c r="AH217" s="18"/>
      <c r="AI217" s="18"/>
      <c r="AJ217" s="18">
        <v>93884.836000000025</v>
      </c>
    </row>
    <row r="218" spans="1:36" x14ac:dyDescent="0.25">
      <c r="A218" s="5">
        <v>2018</v>
      </c>
      <c r="B218" s="4" t="s">
        <v>8</v>
      </c>
      <c r="C218" s="13"/>
      <c r="D218" s="13">
        <v>570.42499999999984</v>
      </c>
      <c r="E218" s="13">
        <v>4998.7670000000007</v>
      </c>
      <c r="F218" s="13"/>
      <c r="G218" s="13"/>
      <c r="H218" s="13"/>
      <c r="I218" s="13">
        <v>64850.870999999977</v>
      </c>
      <c r="J218" s="13"/>
      <c r="K218" s="13"/>
      <c r="L218" s="16">
        <v>70420.06299999998</v>
      </c>
      <c r="Y218" s="19">
        <v>2018</v>
      </c>
      <c r="Z218" s="17" t="s">
        <v>8</v>
      </c>
      <c r="AA218" s="18">
        <v>1239.5269999999998</v>
      </c>
      <c r="AB218" s="18">
        <v>69281.24099999998</v>
      </c>
      <c r="AC218" s="18">
        <v>10658.075999999997</v>
      </c>
      <c r="AD218" s="18"/>
      <c r="AE218" s="18"/>
      <c r="AF218" s="18"/>
      <c r="AG218" s="18"/>
      <c r="AH218" s="18"/>
      <c r="AI218" s="18"/>
      <c r="AJ218" s="18">
        <v>81178.843999999983</v>
      </c>
    </row>
    <row r="219" spans="1:36" x14ac:dyDescent="0.25">
      <c r="A219" s="5">
        <v>2018</v>
      </c>
      <c r="B219" s="4" t="s">
        <v>9</v>
      </c>
      <c r="C219" s="13"/>
      <c r="D219" s="13">
        <v>2.3690000000000002</v>
      </c>
      <c r="E219" s="13">
        <v>72.158999999999992</v>
      </c>
      <c r="F219" s="13"/>
      <c r="G219" s="13"/>
      <c r="H219" s="13"/>
      <c r="I219" s="13">
        <v>47225.618000000017</v>
      </c>
      <c r="J219" s="13"/>
      <c r="K219" s="13"/>
      <c r="L219" s="16">
        <v>47300.146000000015</v>
      </c>
      <c r="Y219" s="19">
        <v>2018</v>
      </c>
      <c r="Z219" s="17" t="s">
        <v>9</v>
      </c>
      <c r="AA219" s="18">
        <v>382.75</v>
      </c>
      <c r="AB219" s="18">
        <v>16153.744999999995</v>
      </c>
      <c r="AC219" s="18">
        <v>15712.931999999995</v>
      </c>
      <c r="AD219" s="18"/>
      <c r="AE219" s="18"/>
      <c r="AF219" s="18"/>
      <c r="AG219" s="18"/>
      <c r="AH219" s="18"/>
      <c r="AI219" s="18"/>
      <c r="AJ219" s="18">
        <v>32249.426999999989</v>
      </c>
    </row>
    <row r="220" spans="1:36" x14ac:dyDescent="0.25">
      <c r="A220" s="5">
        <v>2018</v>
      </c>
      <c r="B220" s="4" t="s">
        <v>10</v>
      </c>
      <c r="C220" s="13"/>
      <c r="D220" s="13"/>
      <c r="E220" s="13"/>
      <c r="F220" s="13"/>
      <c r="G220" s="13"/>
      <c r="H220" s="13"/>
      <c r="I220" s="13">
        <v>42496.717000000011</v>
      </c>
      <c r="J220" s="13"/>
      <c r="K220" s="13"/>
      <c r="L220" s="16">
        <v>42496.717000000011</v>
      </c>
      <c r="Y220" s="19">
        <v>2018</v>
      </c>
      <c r="Z220" s="17" t="s">
        <v>10</v>
      </c>
      <c r="AA220" s="18">
        <v>790.67799999999977</v>
      </c>
      <c r="AB220" s="18">
        <v>4486.7609999999986</v>
      </c>
      <c r="AC220" s="18">
        <v>4767.6650000000009</v>
      </c>
      <c r="AD220" s="18"/>
      <c r="AE220" s="18"/>
      <c r="AF220" s="18"/>
      <c r="AG220" s="18"/>
      <c r="AH220" s="18"/>
      <c r="AI220" s="18"/>
      <c r="AJ220" s="18">
        <v>10045.103999999999</v>
      </c>
    </row>
    <row r="221" spans="1:36" x14ac:dyDescent="0.25">
      <c r="A221" s="5">
        <v>2018</v>
      </c>
      <c r="B221" s="4" t="s">
        <v>11</v>
      </c>
      <c r="C221" s="13"/>
      <c r="D221" s="13"/>
      <c r="E221" s="13"/>
      <c r="F221" s="13"/>
      <c r="G221" s="13"/>
      <c r="H221" s="13"/>
      <c r="I221" s="13">
        <v>14603.475999999999</v>
      </c>
      <c r="J221" s="13"/>
      <c r="K221" s="13"/>
      <c r="L221" s="16">
        <v>14603.475999999999</v>
      </c>
      <c r="Y221" s="19">
        <v>2018</v>
      </c>
      <c r="Z221" s="17" t="s">
        <v>11</v>
      </c>
      <c r="AA221" s="18">
        <v>15391.386000000008</v>
      </c>
      <c r="AB221" s="18">
        <v>7801.1219999999985</v>
      </c>
      <c r="AC221" s="18">
        <v>2215.2599999999998</v>
      </c>
      <c r="AD221" s="18"/>
      <c r="AE221" s="18"/>
      <c r="AF221" s="18"/>
      <c r="AG221" s="18"/>
      <c r="AH221" s="18"/>
      <c r="AI221" s="18"/>
      <c r="AJ221" s="18">
        <v>25407.768000000004</v>
      </c>
    </row>
    <row r="222" spans="1:36" x14ac:dyDescent="0.25">
      <c r="A222" s="5">
        <v>2018</v>
      </c>
      <c r="B222" s="4" t="s">
        <v>12</v>
      </c>
      <c r="C222" s="13"/>
      <c r="D222" s="13"/>
      <c r="E222" s="13"/>
      <c r="F222" s="13"/>
      <c r="G222" s="13"/>
      <c r="H222" s="13"/>
      <c r="I222" s="13">
        <v>468.26800000000003</v>
      </c>
      <c r="J222" s="13"/>
      <c r="K222" s="13"/>
      <c r="L222" s="16">
        <v>468.26800000000003</v>
      </c>
      <c r="Y222" s="19">
        <v>2018</v>
      </c>
      <c r="Z222" s="17" t="s">
        <v>13</v>
      </c>
      <c r="AA222" s="18">
        <v>10319.343999999999</v>
      </c>
      <c r="AB222" s="18">
        <v>70926.152999999991</v>
      </c>
      <c r="AC222" s="18">
        <v>13163.103000000003</v>
      </c>
      <c r="AD222" s="18"/>
      <c r="AE222" s="18"/>
      <c r="AF222" s="18"/>
      <c r="AG222" s="18">
        <v>475.37900000000002</v>
      </c>
      <c r="AH222" s="18"/>
      <c r="AI222" s="18"/>
      <c r="AJ222" s="18">
        <v>94883.978999999992</v>
      </c>
    </row>
    <row r="223" spans="1:36" x14ac:dyDescent="0.25">
      <c r="A223" s="5">
        <v>2018</v>
      </c>
      <c r="B223" s="4" t="s">
        <v>15</v>
      </c>
      <c r="C223" s="13"/>
      <c r="D223" s="13">
        <v>25.896000000000001</v>
      </c>
      <c r="E223" s="13"/>
      <c r="F223" s="13"/>
      <c r="G223" s="13"/>
      <c r="H223" s="13"/>
      <c r="I223" s="13">
        <v>47912.552000000025</v>
      </c>
      <c r="J223" s="13"/>
      <c r="K223" s="13"/>
      <c r="L223" s="16">
        <v>47938.448000000026</v>
      </c>
      <c r="Y223" s="19">
        <v>2018</v>
      </c>
      <c r="Z223" s="17" t="s">
        <v>14</v>
      </c>
      <c r="AA223" s="18">
        <v>4552.7889999999998</v>
      </c>
      <c r="AB223" s="18">
        <v>41517.638000000006</v>
      </c>
      <c r="AC223" s="18">
        <v>12749.277</v>
      </c>
      <c r="AD223" s="18"/>
      <c r="AE223" s="18"/>
      <c r="AF223" s="18"/>
      <c r="AG223" s="18"/>
      <c r="AH223" s="18"/>
      <c r="AI223" s="18"/>
      <c r="AJ223" s="18">
        <v>58819.704000000005</v>
      </c>
    </row>
    <row r="224" spans="1:36" x14ac:dyDescent="0.25">
      <c r="A224" s="5">
        <v>2019</v>
      </c>
      <c r="B224" s="4" t="s">
        <v>4</v>
      </c>
      <c r="C224" s="13"/>
      <c r="D224" s="13"/>
      <c r="E224" s="13"/>
      <c r="F224" s="13"/>
      <c r="G224" s="13"/>
      <c r="H224" s="13"/>
      <c r="I224" s="13">
        <v>42049.514999999963</v>
      </c>
      <c r="J224" s="13"/>
      <c r="K224" s="13"/>
      <c r="L224" s="16">
        <v>42049.514999999963</v>
      </c>
      <c r="Y224" s="19">
        <v>2018</v>
      </c>
      <c r="Z224" s="17" t="s">
        <v>15</v>
      </c>
      <c r="AA224" s="18"/>
      <c r="AB224" s="18">
        <v>7694.1660000000011</v>
      </c>
      <c r="AC224" s="18">
        <v>2466.7189999999996</v>
      </c>
      <c r="AD224" s="18"/>
      <c r="AE224" s="18"/>
      <c r="AF224" s="18"/>
      <c r="AG224" s="18"/>
      <c r="AH224" s="18"/>
      <c r="AI224" s="18"/>
      <c r="AJ224" s="18">
        <v>10160.885</v>
      </c>
    </row>
    <row r="225" spans="1:36" x14ac:dyDescent="0.25">
      <c r="A225" s="5">
        <v>2019</v>
      </c>
      <c r="B225" s="4" t="s">
        <v>5</v>
      </c>
      <c r="C225" s="13"/>
      <c r="D225" s="13"/>
      <c r="E225" s="13"/>
      <c r="F225" s="13"/>
      <c r="G225" s="13"/>
      <c r="H225" s="13"/>
      <c r="I225" s="13">
        <v>67072.54899999997</v>
      </c>
      <c r="J225" s="13"/>
      <c r="K225" s="13"/>
      <c r="L225" s="16">
        <v>67072.54899999997</v>
      </c>
      <c r="Y225" s="19">
        <v>2019</v>
      </c>
      <c r="Z225" s="17" t="s">
        <v>6</v>
      </c>
      <c r="AA225" s="18"/>
      <c r="AB225" s="18">
        <v>39506.679999999978</v>
      </c>
      <c r="AC225" s="18">
        <v>22731.519999999993</v>
      </c>
      <c r="AD225" s="18"/>
      <c r="AE225" s="18"/>
      <c r="AF225" s="18"/>
      <c r="AG225" s="18"/>
      <c r="AH225" s="18"/>
      <c r="AI225" s="18"/>
      <c r="AJ225" s="18">
        <v>62238.199999999968</v>
      </c>
    </row>
    <row r="226" spans="1:36" x14ac:dyDescent="0.25">
      <c r="A226" s="5">
        <v>2019</v>
      </c>
      <c r="B226" s="4" t="s">
        <v>6</v>
      </c>
      <c r="C226" s="13"/>
      <c r="D226" s="13">
        <v>16.742000000000001</v>
      </c>
      <c r="E226" s="13">
        <v>92.763000000000005</v>
      </c>
      <c r="F226" s="13"/>
      <c r="G226" s="13"/>
      <c r="H226" s="13"/>
      <c r="I226" s="13">
        <v>74508.63999999997</v>
      </c>
      <c r="J226" s="13"/>
      <c r="K226" s="13"/>
      <c r="L226" s="16">
        <v>74618.144999999975</v>
      </c>
      <c r="Y226" s="19">
        <v>2019</v>
      </c>
      <c r="Z226" s="17" t="s">
        <v>7</v>
      </c>
      <c r="AA226" s="18"/>
      <c r="AB226" s="18">
        <v>35527.412000000018</v>
      </c>
      <c r="AC226" s="18">
        <v>22441.420999999984</v>
      </c>
      <c r="AD226" s="18"/>
      <c r="AE226" s="18"/>
      <c r="AF226" s="18"/>
      <c r="AG226" s="18"/>
      <c r="AH226" s="18"/>
      <c r="AI226" s="18"/>
      <c r="AJ226" s="18">
        <v>57968.832999999999</v>
      </c>
    </row>
    <row r="227" spans="1:36" x14ac:dyDescent="0.25">
      <c r="A227" s="5">
        <v>2019</v>
      </c>
      <c r="B227" s="4" t="s">
        <v>7</v>
      </c>
      <c r="C227" s="13"/>
      <c r="D227" s="13">
        <v>13.398</v>
      </c>
      <c r="E227" s="13">
        <v>13.436999999999999</v>
      </c>
      <c r="F227" s="13"/>
      <c r="G227" s="13"/>
      <c r="H227" s="13"/>
      <c r="I227" s="13">
        <v>57543.908000000003</v>
      </c>
      <c r="J227" s="13"/>
      <c r="K227" s="13"/>
      <c r="L227" s="16">
        <v>57570.743000000002</v>
      </c>
      <c r="Y227" s="19">
        <v>2019</v>
      </c>
      <c r="Z227" s="17" t="s">
        <v>8</v>
      </c>
      <c r="AA227" s="18">
        <v>7091.366</v>
      </c>
      <c r="AB227" s="18">
        <v>61552.315000000046</v>
      </c>
      <c r="AC227" s="18">
        <v>24463.648000000001</v>
      </c>
      <c r="AD227" s="18"/>
      <c r="AE227" s="18"/>
      <c r="AF227" s="18"/>
      <c r="AG227" s="18"/>
      <c r="AH227" s="18"/>
      <c r="AI227" s="18"/>
      <c r="AJ227" s="18">
        <v>93107.329000000042</v>
      </c>
    </row>
    <row r="228" spans="1:36" x14ac:dyDescent="0.25">
      <c r="A228" s="5">
        <v>2019</v>
      </c>
      <c r="B228" s="4" t="s">
        <v>8</v>
      </c>
      <c r="C228" s="13"/>
      <c r="D228" s="13">
        <v>40.748000000000005</v>
      </c>
      <c r="E228" s="13">
        <v>1.9119999999999999</v>
      </c>
      <c r="F228" s="13"/>
      <c r="G228" s="13"/>
      <c r="H228" s="13"/>
      <c r="I228" s="13">
        <v>47756.269000000015</v>
      </c>
      <c r="J228" s="13"/>
      <c r="K228" s="13"/>
      <c r="L228" s="16">
        <v>47798.929000000018</v>
      </c>
      <c r="Y228" s="19">
        <v>2019</v>
      </c>
      <c r="Z228" s="17" t="s">
        <v>9</v>
      </c>
      <c r="AA228" s="18">
        <v>3902.9259999999995</v>
      </c>
      <c r="AB228" s="18">
        <v>40952.54699999997</v>
      </c>
      <c r="AC228" s="18">
        <v>834.46499999999992</v>
      </c>
      <c r="AD228" s="18"/>
      <c r="AE228" s="18"/>
      <c r="AF228" s="18"/>
      <c r="AG228" s="18"/>
      <c r="AH228" s="18"/>
      <c r="AI228" s="18"/>
      <c r="AJ228" s="18">
        <v>45689.937999999966</v>
      </c>
    </row>
    <row r="229" spans="1:36" x14ac:dyDescent="0.25">
      <c r="A229" s="5">
        <v>2019</v>
      </c>
      <c r="B229" s="4" t="s">
        <v>9</v>
      </c>
      <c r="C229" s="13"/>
      <c r="D229" s="13">
        <v>1466.895</v>
      </c>
      <c r="E229" s="13"/>
      <c r="F229" s="13"/>
      <c r="G229" s="13"/>
      <c r="H229" s="13"/>
      <c r="I229" s="13">
        <v>57239.92199999997</v>
      </c>
      <c r="J229" s="13"/>
      <c r="K229" s="13"/>
      <c r="L229" s="16">
        <v>58706.816999999966</v>
      </c>
      <c r="Y229" s="19">
        <v>2019</v>
      </c>
      <c r="Z229" s="17" t="s">
        <v>10</v>
      </c>
      <c r="AA229" s="18">
        <v>3990.3840000000009</v>
      </c>
      <c r="AB229" s="18">
        <v>54091.72299999994</v>
      </c>
      <c r="AC229" s="18">
        <v>433.95499999999998</v>
      </c>
      <c r="AD229" s="18"/>
      <c r="AE229" s="18"/>
      <c r="AF229" s="18"/>
      <c r="AG229" s="18">
        <v>57.192</v>
      </c>
      <c r="AH229" s="18"/>
      <c r="AI229" s="18"/>
      <c r="AJ229" s="18">
        <v>58573.253999999943</v>
      </c>
    </row>
    <row r="230" spans="1:36" x14ac:dyDescent="0.25">
      <c r="A230" s="5">
        <v>2019</v>
      </c>
      <c r="B230" s="4" t="s">
        <v>10</v>
      </c>
      <c r="C230" s="13">
        <v>169.059</v>
      </c>
      <c r="D230" s="13"/>
      <c r="E230" s="13"/>
      <c r="F230" s="13"/>
      <c r="G230" s="13"/>
      <c r="H230" s="13"/>
      <c r="I230" s="13">
        <v>38349.418000000005</v>
      </c>
      <c r="J230" s="13"/>
      <c r="K230" s="13"/>
      <c r="L230" s="16">
        <v>38518.477000000006</v>
      </c>
      <c r="Y230" s="19">
        <v>2019</v>
      </c>
      <c r="Z230" s="17" t="s">
        <v>11</v>
      </c>
      <c r="AA230" s="18">
        <v>167.55499999999998</v>
      </c>
      <c r="AB230" s="18">
        <v>5237.5390000000007</v>
      </c>
      <c r="AC230" s="18">
        <v>91.356999999999999</v>
      </c>
      <c r="AD230" s="18"/>
      <c r="AE230" s="18"/>
      <c r="AF230" s="18"/>
      <c r="AG230" s="18"/>
      <c r="AH230" s="18"/>
      <c r="AI230" s="18"/>
      <c r="AJ230" s="18">
        <v>5496.4510000000009</v>
      </c>
    </row>
    <row r="231" spans="1:36" x14ac:dyDescent="0.25">
      <c r="A231" s="5">
        <v>2019</v>
      </c>
      <c r="B231" s="4" t="s">
        <v>11</v>
      </c>
      <c r="C231" s="13"/>
      <c r="D231" s="13">
        <v>9.4E-2</v>
      </c>
      <c r="E231" s="13"/>
      <c r="F231" s="13"/>
      <c r="G231" s="13"/>
      <c r="H231" s="13"/>
      <c r="I231" s="13">
        <v>4029.4460000000008</v>
      </c>
      <c r="J231" s="13"/>
      <c r="K231" s="13"/>
      <c r="L231" s="16">
        <v>4029.5400000000009</v>
      </c>
      <c r="Y231" s="19">
        <v>2019</v>
      </c>
      <c r="Z231" s="17" t="s">
        <v>13</v>
      </c>
      <c r="AA231" s="18">
        <v>2046.3470000000002</v>
      </c>
      <c r="AB231" s="18">
        <v>3029.5989999999993</v>
      </c>
      <c r="AC231" s="18"/>
      <c r="AD231" s="18"/>
      <c r="AE231" s="18"/>
      <c r="AF231" s="18"/>
      <c r="AG231" s="18">
        <v>101.438</v>
      </c>
      <c r="AH231" s="18"/>
      <c r="AI231" s="18"/>
      <c r="AJ231" s="18">
        <v>5177.384</v>
      </c>
    </row>
    <row r="232" spans="1:36" x14ac:dyDescent="0.25">
      <c r="A232" s="5">
        <v>2019</v>
      </c>
      <c r="B232" s="4" t="s">
        <v>13</v>
      </c>
      <c r="C232" s="13"/>
      <c r="D232" s="13">
        <v>3823.4400000000005</v>
      </c>
      <c r="E232" s="13">
        <v>333.73500000000001</v>
      </c>
      <c r="F232" s="13"/>
      <c r="G232" s="13"/>
      <c r="H232" s="13"/>
      <c r="I232" s="13"/>
      <c r="J232" s="13"/>
      <c r="K232" s="13"/>
      <c r="L232" s="16">
        <v>4157.1750000000002</v>
      </c>
      <c r="Y232" s="19">
        <v>2019</v>
      </c>
      <c r="Z232" s="17" t="s">
        <v>14</v>
      </c>
      <c r="AA232" s="18">
        <v>10579.962000000009</v>
      </c>
      <c r="AB232" s="18">
        <v>13482.881000000007</v>
      </c>
      <c r="AC232" s="18"/>
      <c r="AD232" s="18"/>
      <c r="AE232" s="18"/>
      <c r="AF232" s="18"/>
      <c r="AG232" s="18">
        <v>505.01399999999995</v>
      </c>
      <c r="AH232" s="18"/>
      <c r="AI232" s="18"/>
      <c r="AJ232" s="18">
        <v>24567.857000000015</v>
      </c>
    </row>
    <row r="233" spans="1:36" x14ac:dyDescent="0.25">
      <c r="A233" s="5">
        <v>2019</v>
      </c>
      <c r="B233" s="4" t="s">
        <v>14</v>
      </c>
      <c r="C233" s="13">
        <v>1709.4590000000005</v>
      </c>
      <c r="D233" s="13">
        <v>4307.7470000000012</v>
      </c>
      <c r="E233" s="13"/>
      <c r="F233" s="13"/>
      <c r="G233" s="13"/>
      <c r="H233" s="13"/>
      <c r="I233" s="13"/>
      <c r="J233" s="13"/>
      <c r="K233" s="13"/>
      <c r="L233" s="16">
        <v>6017.2060000000019</v>
      </c>
      <c r="Y233" s="19">
        <v>2019</v>
      </c>
      <c r="Z233" s="17" t="s">
        <v>15</v>
      </c>
      <c r="AA233" s="18">
        <v>998.07000000000016</v>
      </c>
      <c r="AB233" s="18">
        <v>218.09200000000001</v>
      </c>
      <c r="AC233" s="18"/>
      <c r="AD233" s="18"/>
      <c r="AE233" s="18"/>
      <c r="AF233" s="18"/>
      <c r="AG233" s="18"/>
      <c r="AH233" s="18"/>
      <c r="AI233" s="18"/>
      <c r="AJ233" s="18">
        <v>1216.1620000000003</v>
      </c>
    </row>
    <row r="234" spans="1:36" x14ac:dyDescent="0.25">
      <c r="A234" s="5">
        <v>2019</v>
      </c>
      <c r="B234" s="4" t="s">
        <v>15</v>
      </c>
      <c r="C234" s="13">
        <v>8.0730000000000004</v>
      </c>
      <c r="D234" s="13">
        <v>2276.2270000000003</v>
      </c>
      <c r="E234" s="13">
        <v>217.32300000000004</v>
      </c>
      <c r="F234" s="13"/>
      <c r="G234" s="13"/>
      <c r="H234" s="13"/>
      <c r="I234" s="13">
        <v>16447.355000000007</v>
      </c>
      <c r="J234" s="13"/>
      <c r="K234" s="13"/>
      <c r="L234" s="16">
        <v>18948.978000000006</v>
      </c>
      <c r="Y234" s="5">
        <v>2020</v>
      </c>
      <c r="Z234" s="4" t="s">
        <v>6</v>
      </c>
      <c r="AA234" s="16"/>
      <c r="AB234" s="16">
        <v>7194.87</v>
      </c>
      <c r="AC234" s="16">
        <v>2438.9200000000005</v>
      </c>
      <c r="AD234" s="16"/>
      <c r="AE234" s="16"/>
      <c r="AF234" s="16"/>
      <c r="AG234" s="16"/>
      <c r="AH234" s="16"/>
      <c r="AI234" s="16"/>
      <c r="AJ234" s="16">
        <v>9633.7900000000009</v>
      </c>
    </row>
    <row r="235" spans="1:36" x14ac:dyDescent="0.25">
      <c r="A235" s="5">
        <v>2020</v>
      </c>
      <c r="B235" s="4" t="s">
        <v>4</v>
      </c>
      <c r="C235" s="13">
        <v>6.1820000000000004</v>
      </c>
      <c r="D235" s="13">
        <v>2123.6949999999997</v>
      </c>
      <c r="E235" s="13">
        <v>1090.7090000000001</v>
      </c>
      <c r="F235" s="13"/>
      <c r="G235" s="13"/>
      <c r="H235" s="13"/>
      <c r="I235" s="13">
        <v>69904.875</v>
      </c>
      <c r="J235" s="13"/>
      <c r="K235" s="13"/>
      <c r="L235" s="16">
        <v>73125.460999999996</v>
      </c>
      <c r="Y235" s="5">
        <v>2020</v>
      </c>
      <c r="Z235" s="4" t="s">
        <v>7</v>
      </c>
      <c r="AA235" s="16">
        <v>33.295999999999999</v>
      </c>
      <c r="AB235" s="16"/>
      <c r="AC235" s="16"/>
      <c r="AD235" s="16"/>
      <c r="AE235" s="16"/>
      <c r="AF235" s="16"/>
      <c r="AG235" s="16"/>
      <c r="AH235" s="16"/>
      <c r="AI235" s="16"/>
      <c r="AJ235" s="16">
        <v>33.295999999999999</v>
      </c>
    </row>
    <row r="236" spans="1:36" x14ac:dyDescent="0.25">
      <c r="A236" s="5">
        <v>2020</v>
      </c>
      <c r="B236" s="4" t="s">
        <v>5</v>
      </c>
      <c r="C236" s="13"/>
      <c r="D236" s="13"/>
      <c r="E236" s="13"/>
      <c r="F236" s="13"/>
      <c r="G236" s="13"/>
      <c r="H236" s="13"/>
      <c r="I236" s="13">
        <v>99736.364999999932</v>
      </c>
      <c r="J236" s="13"/>
      <c r="K236" s="13"/>
      <c r="L236" s="16">
        <v>99736.364999999932</v>
      </c>
      <c r="Y236" s="5">
        <v>2020</v>
      </c>
      <c r="Z236" s="4" t="s">
        <v>8</v>
      </c>
      <c r="AA236" s="16">
        <v>2906.6400000000012</v>
      </c>
      <c r="AB236" s="16">
        <v>68.896000000000001</v>
      </c>
      <c r="AC236" s="16"/>
      <c r="AD236" s="16"/>
      <c r="AE236" s="16"/>
      <c r="AF236" s="16"/>
      <c r="AG236" s="16"/>
      <c r="AH236" s="16">
        <v>5.0410000000000004</v>
      </c>
      <c r="AI236" s="16"/>
      <c r="AJ236" s="16">
        <v>2980.5770000000016</v>
      </c>
    </row>
    <row r="237" spans="1:36" x14ac:dyDescent="0.25">
      <c r="A237" s="5">
        <v>2020</v>
      </c>
      <c r="B237" s="4" t="s">
        <v>6</v>
      </c>
      <c r="C237" s="13">
        <v>375.09500000000003</v>
      </c>
      <c r="D237" s="13">
        <v>4779.3609999999999</v>
      </c>
      <c r="E237" s="13"/>
      <c r="F237" s="13"/>
      <c r="G237" s="13"/>
      <c r="H237" s="13"/>
      <c r="I237" s="13">
        <v>74999.188000000024</v>
      </c>
      <c r="J237" s="13"/>
      <c r="K237" s="13"/>
      <c r="L237" s="16">
        <v>80153.644000000029</v>
      </c>
      <c r="Y237" s="5">
        <v>2020</v>
      </c>
      <c r="Z237" s="4" t="s">
        <v>9</v>
      </c>
      <c r="AA237" s="16">
        <v>628.71999999999991</v>
      </c>
      <c r="AB237" s="16">
        <v>4600.4710000000023</v>
      </c>
      <c r="AC237" s="16">
        <v>1410.2999999999997</v>
      </c>
      <c r="AD237" s="16"/>
      <c r="AE237" s="16"/>
      <c r="AF237" s="16"/>
      <c r="AG237" s="16"/>
      <c r="AH237" s="16"/>
      <c r="AI237" s="16"/>
      <c r="AJ237" s="16">
        <v>6639.4910000000018</v>
      </c>
    </row>
    <row r="238" spans="1:36" x14ac:dyDescent="0.25">
      <c r="A238" s="5">
        <v>2020</v>
      </c>
      <c r="B238" s="4" t="s">
        <v>7</v>
      </c>
      <c r="C238" s="13">
        <v>1081.2739999999999</v>
      </c>
      <c r="D238" s="13">
        <v>13188.633000000002</v>
      </c>
      <c r="E238" s="13">
        <v>2130.7130000000006</v>
      </c>
      <c r="F238" s="13"/>
      <c r="G238" s="13"/>
      <c r="H238" s="13">
        <v>210.989</v>
      </c>
      <c r="I238" s="13">
        <v>60685.657999999967</v>
      </c>
      <c r="J238" s="13"/>
      <c r="K238" s="13"/>
      <c r="L238" s="16">
        <v>77297.266999999963</v>
      </c>
      <c r="Y238" s="5">
        <v>2020</v>
      </c>
      <c r="Z238" s="4" t="s">
        <v>10</v>
      </c>
      <c r="AA238" s="16">
        <v>273.12500000000006</v>
      </c>
      <c r="AB238" s="16">
        <v>2678.1219999999994</v>
      </c>
      <c r="AC238" s="16">
        <v>76.449999999999989</v>
      </c>
      <c r="AD238" s="16"/>
      <c r="AE238" s="16"/>
      <c r="AF238" s="16"/>
      <c r="AG238" s="16"/>
      <c r="AH238" s="16"/>
      <c r="AI238" s="16"/>
      <c r="AJ238" s="16">
        <v>3027.6969999999992</v>
      </c>
    </row>
    <row r="239" spans="1:36" x14ac:dyDescent="0.25">
      <c r="A239" s="5">
        <v>2020</v>
      </c>
      <c r="B239" s="4" t="s">
        <v>8</v>
      </c>
      <c r="C239" s="13">
        <v>1200.5739999999998</v>
      </c>
      <c r="D239" s="13">
        <v>10642.740000000005</v>
      </c>
      <c r="E239" s="13">
        <v>3381.2069999999999</v>
      </c>
      <c r="F239" s="13"/>
      <c r="G239" s="13"/>
      <c r="H239" s="13"/>
      <c r="I239" s="13">
        <v>66967.25999999998</v>
      </c>
      <c r="J239" s="13"/>
      <c r="K239" s="13"/>
      <c r="L239" s="16">
        <v>82191.780999999988</v>
      </c>
      <c r="Y239" s="5">
        <v>2020</v>
      </c>
      <c r="Z239" s="4" t="s">
        <v>11</v>
      </c>
      <c r="AA239" s="16">
        <v>6025.1799999999994</v>
      </c>
      <c r="AB239" s="16">
        <v>4774.181999999998</v>
      </c>
      <c r="AC239" s="16"/>
      <c r="AD239" s="16"/>
      <c r="AE239" s="16"/>
      <c r="AF239" s="16"/>
      <c r="AG239" s="16"/>
      <c r="AH239" s="16"/>
      <c r="AI239" s="16"/>
      <c r="AJ239" s="16">
        <v>10799.361999999997</v>
      </c>
    </row>
    <row r="240" spans="1:36" x14ac:dyDescent="0.25">
      <c r="A240" s="5">
        <v>2020</v>
      </c>
      <c r="B240" s="4" t="s">
        <v>9</v>
      </c>
      <c r="C240" s="13"/>
      <c r="D240" s="13">
        <v>80.662999999999982</v>
      </c>
      <c r="E240" s="13">
        <v>96.521999999999991</v>
      </c>
      <c r="F240" s="13"/>
      <c r="G240" s="13"/>
      <c r="H240" s="13"/>
      <c r="I240" s="13">
        <v>51810.273999999998</v>
      </c>
      <c r="J240" s="13"/>
      <c r="K240" s="13"/>
      <c r="L240" s="16">
        <v>51987.458999999995</v>
      </c>
      <c r="Y240" s="5">
        <v>2020</v>
      </c>
      <c r="Z240" s="4" t="s">
        <v>13</v>
      </c>
      <c r="AA240" s="16">
        <v>3604.2249999999999</v>
      </c>
      <c r="AB240" s="16">
        <v>1633.0720000000001</v>
      </c>
      <c r="AC240" s="16"/>
      <c r="AD240" s="16"/>
      <c r="AE240" s="16"/>
      <c r="AF240" s="16"/>
      <c r="AG240" s="16">
        <v>482.42700000000002</v>
      </c>
      <c r="AH240" s="16"/>
      <c r="AI240" s="16"/>
      <c r="AJ240" s="16">
        <v>5719.7240000000002</v>
      </c>
    </row>
    <row r="241" spans="1:36" x14ac:dyDescent="0.25">
      <c r="A241" s="5">
        <v>2020</v>
      </c>
      <c r="B241" s="4" t="s">
        <v>10</v>
      </c>
      <c r="C241" s="13">
        <v>196.24</v>
      </c>
      <c r="D241" s="13">
        <v>95.524000000000001</v>
      </c>
      <c r="E241" s="13"/>
      <c r="F241" s="13"/>
      <c r="G241" s="13"/>
      <c r="H241" s="13"/>
      <c r="I241" s="13">
        <v>24626.475999999981</v>
      </c>
      <c r="J241" s="13"/>
      <c r="K241" s="13"/>
      <c r="L241" s="16">
        <v>24918.23999999998</v>
      </c>
      <c r="Y241" s="5">
        <v>2020</v>
      </c>
      <c r="Z241" s="4" t="s">
        <v>14</v>
      </c>
      <c r="AA241" s="16">
        <v>5900.0450000000001</v>
      </c>
      <c r="AB241" s="16">
        <v>5608.3019999999988</v>
      </c>
      <c r="AC241" s="16"/>
      <c r="AD241" s="16"/>
      <c r="AE241" s="16"/>
      <c r="AF241" s="16"/>
      <c r="AG241" s="16">
        <v>538.30700000000002</v>
      </c>
      <c r="AH241" s="16"/>
      <c r="AI241" s="16"/>
      <c r="AJ241" s="16">
        <v>12046.653999999999</v>
      </c>
    </row>
    <row r="242" spans="1:36" x14ac:dyDescent="0.25">
      <c r="A242" s="5">
        <v>2020</v>
      </c>
      <c r="B242" s="4" t="s">
        <v>11</v>
      </c>
      <c r="C242" s="13"/>
      <c r="D242" s="13"/>
      <c r="E242" s="13"/>
      <c r="F242" s="13"/>
      <c r="G242" s="13"/>
      <c r="H242" s="13"/>
      <c r="I242" s="13">
        <v>6714.8190000000004</v>
      </c>
      <c r="J242" s="13"/>
      <c r="K242" s="13"/>
      <c r="L242" s="16">
        <v>6714.8190000000004</v>
      </c>
      <c r="Y242" s="5">
        <v>2020</v>
      </c>
      <c r="Z242" s="4" t="s">
        <v>15</v>
      </c>
      <c r="AA242" s="16">
        <v>2729.300999999999</v>
      </c>
      <c r="AB242" s="16">
        <v>3688.3199999999997</v>
      </c>
      <c r="AC242" s="16">
        <v>36.825000000000003</v>
      </c>
      <c r="AD242" s="16"/>
      <c r="AE242" s="16"/>
      <c r="AF242" s="16"/>
      <c r="AG242" s="16">
        <v>768.67000000000007</v>
      </c>
      <c r="AH242" s="16"/>
      <c r="AI242" s="16"/>
      <c r="AJ242" s="16">
        <v>7223.1159999999991</v>
      </c>
    </row>
    <row r="243" spans="1:36" x14ac:dyDescent="0.25">
      <c r="A243" s="5">
        <v>2020</v>
      </c>
      <c r="B243" s="4" t="s">
        <v>12</v>
      </c>
      <c r="C243" s="13"/>
      <c r="D243" s="13"/>
      <c r="E243" s="13"/>
      <c r="F243" s="13"/>
      <c r="G243" s="13"/>
      <c r="H243" s="13"/>
      <c r="I243" s="13">
        <v>893.375</v>
      </c>
      <c r="J243" s="13"/>
      <c r="K243" s="13"/>
      <c r="L243" s="16">
        <v>893.375</v>
      </c>
      <c r="Y243" s="5">
        <v>2021</v>
      </c>
      <c r="Z243" s="4" t="s">
        <v>4</v>
      </c>
      <c r="AA243" s="16">
        <v>113.58799999999999</v>
      </c>
      <c r="AB243" s="16">
        <v>557.01099999999997</v>
      </c>
      <c r="AC243" s="16">
        <v>52.277000000000001</v>
      </c>
      <c r="AD243" s="16"/>
      <c r="AE243" s="16"/>
      <c r="AF243" s="16"/>
      <c r="AG243" s="16"/>
      <c r="AH243" s="16"/>
      <c r="AI243" s="16"/>
      <c r="AJ243" s="16">
        <v>722.87599999999998</v>
      </c>
    </row>
    <row r="244" spans="1:36" x14ac:dyDescent="0.25">
      <c r="A244" s="5">
        <v>2020</v>
      </c>
      <c r="B244" s="4" t="s">
        <v>13</v>
      </c>
      <c r="C244" s="13">
        <v>201.85900000000001</v>
      </c>
      <c r="D244" s="13">
        <v>1957.09</v>
      </c>
      <c r="E244" s="13">
        <v>223.22499999999999</v>
      </c>
      <c r="F244" s="13"/>
      <c r="G244" s="13"/>
      <c r="H244" s="13"/>
      <c r="I244" s="13"/>
      <c r="J244" s="13"/>
      <c r="K244" s="13"/>
      <c r="L244" s="16">
        <v>2382.174</v>
      </c>
      <c r="Y244" s="5">
        <v>2021</v>
      </c>
      <c r="Z244" s="4" t="s">
        <v>5</v>
      </c>
      <c r="AA244" s="16">
        <v>29.085000000000001</v>
      </c>
      <c r="AB244" s="16">
        <v>721.78099999999995</v>
      </c>
      <c r="AC244" s="16"/>
      <c r="AD244" s="16"/>
      <c r="AE244" s="16"/>
      <c r="AF244" s="16"/>
      <c r="AG244" s="16"/>
      <c r="AH244" s="16"/>
      <c r="AI244" s="16"/>
      <c r="AJ244" s="16">
        <v>750.86599999999999</v>
      </c>
    </row>
    <row r="245" spans="1:36" x14ac:dyDescent="0.25">
      <c r="A245" s="5">
        <v>2020</v>
      </c>
      <c r="B245" s="4" t="s">
        <v>14</v>
      </c>
      <c r="C245" s="13">
        <v>444.43200000000002</v>
      </c>
      <c r="D245" s="13">
        <v>764.12300000000005</v>
      </c>
      <c r="E245" s="13">
        <v>8.1150000000000002</v>
      </c>
      <c r="F245" s="13"/>
      <c r="G245" s="13"/>
      <c r="H245" s="13"/>
      <c r="I245" s="13">
        <v>1199.078</v>
      </c>
      <c r="J245" s="13"/>
      <c r="K245" s="13"/>
      <c r="L245" s="16">
        <v>2415.748</v>
      </c>
      <c r="Y245" s="5">
        <v>2021</v>
      </c>
      <c r="Z245" s="4" t="s">
        <v>6</v>
      </c>
      <c r="AA245" s="16">
        <v>487.54900000000004</v>
      </c>
      <c r="AB245" s="16">
        <v>1835.4620000000004</v>
      </c>
      <c r="AC245" s="16">
        <v>715.52600000000007</v>
      </c>
      <c r="AD245" s="16"/>
      <c r="AE245" s="16"/>
      <c r="AF245" s="16"/>
      <c r="AG245" s="16"/>
      <c r="AH245" s="16"/>
      <c r="AI245" s="16"/>
      <c r="AJ245" s="16">
        <v>3038.5370000000003</v>
      </c>
    </row>
    <row r="246" spans="1:36" x14ac:dyDescent="0.25">
      <c r="A246" s="5">
        <v>2020</v>
      </c>
      <c r="B246" s="4" t="s">
        <v>15</v>
      </c>
      <c r="C246" s="13"/>
      <c r="D246" s="13">
        <v>5.0039999999999996</v>
      </c>
      <c r="E246" s="13"/>
      <c r="F246" s="13"/>
      <c r="G246" s="13"/>
      <c r="H246" s="13"/>
      <c r="I246" s="13">
        <v>23047.85200000001</v>
      </c>
      <c r="J246" s="13"/>
      <c r="K246" s="13"/>
      <c r="L246" s="16">
        <v>23052.856000000011</v>
      </c>
      <c r="Y246" s="5">
        <v>2021</v>
      </c>
      <c r="Z246" s="4" t="s">
        <v>7</v>
      </c>
      <c r="AA246" s="16"/>
      <c r="AB246" s="16">
        <v>4174.768</v>
      </c>
      <c r="AC246" s="16">
        <v>1953.0739999999998</v>
      </c>
      <c r="AD246" s="16"/>
      <c r="AE246" s="16"/>
      <c r="AF246" s="16"/>
      <c r="AG246" s="16"/>
      <c r="AH246" s="16"/>
      <c r="AI246" s="16"/>
      <c r="AJ246" s="16">
        <v>6127.8419999999996</v>
      </c>
    </row>
    <row r="247" spans="1:36" x14ac:dyDescent="0.25">
      <c r="A247" s="5">
        <v>2021</v>
      </c>
      <c r="B247" s="4" t="s">
        <v>4</v>
      </c>
      <c r="C247" s="6"/>
      <c r="D247" s="6">
        <v>7192.5259999999989</v>
      </c>
      <c r="E247" s="6">
        <v>39.722999999999999</v>
      </c>
      <c r="F247" s="6"/>
      <c r="G247" s="6"/>
      <c r="H247" s="6"/>
      <c r="I247" s="6">
        <v>76789.715999999986</v>
      </c>
      <c r="J247" s="6"/>
      <c r="K247" s="6"/>
      <c r="L247" s="16">
        <v>84021.964999999982</v>
      </c>
      <c r="Y247" s="5">
        <v>2021</v>
      </c>
      <c r="Z247" s="4" t="s">
        <v>8</v>
      </c>
      <c r="AA247" s="16">
        <v>13995.018000000004</v>
      </c>
      <c r="AB247" s="16">
        <v>9719.1080000000056</v>
      </c>
      <c r="AC247" s="16">
        <v>3803.5280000000007</v>
      </c>
      <c r="AD247" s="16"/>
      <c r="AE247" s="16"/>
      <c r="AF247" s="16"/>
      <c r="AG247" s="16"/>
      <c r="AH247" s="16"/>
      <c r="AI247" s="16"/>
      <c r="AJ247" s="16">
        <v>27517.654000000013</v>
      </c>
    </row>
    <row r="248" spans="1:36" x14ac:dyDescent="0.25">
      <c r="A248" s="5">
        <v>2021</v>
      </c>
      <c r="B248" s="4" t="s">
        <v>5</v>
      </c>
      <c r="C248" s="6">
        <v>2129.2529999999997</v>
      </c>
      <c r="D248" s="6">
        <v>4100.0190000000002</v>
      </c>
      <c r="E248" s="6">
        <v>690.01499999999999</v>
      </c>
      <c r="F248" s="6"/>
      <c r="G248" s="6"/>
      <c r="H248" s="6"/>
      <c r="I248" s="6">
        <v>80523.963000000018</v>
      </c>
      <c r="J248" s="6"/>
      <c r="K248" s="6"/>
      <c r="L248" s="16">
        <v>87443.250000000015</v>
      </c>
      <c r="Y248" s="5">
        <v>2021</v>
      </c>
      <c r="Z248" s="4" t="s">
        <v>9</v>
      </c>
      <c r="AA248" s="16">
        <v>3656.9130000000005</v>
      </c>
      <c r="AB248" s="16">
        <v>14667.249</v>
      </c>
      <c r="AC248" s="16">
        <v>8167.0969999999988</v>
      </c>
      <c r="AD248" s="16"/>
      <c r="AE248" s="16"/>
      <c r="AF248" s="16"/>
      <c r="AG248" s="16"/>
      <c r="AH248" s="16"/>
      <c r="AI248" s="16"/>
      <c r="AJ248" s="16">
        <v>26491.258999999998</v>
      </c>
    </row>
    <row r="249" spans="1:36" x14ac:dyDescent="0.25">
      <c r="A249" s="5">
        <v>2021</v>
      </c>
      <c r="B249" s="4" t="s">
        <v>6</v>
      </c>
      <c r="C249" s="6">
        <v>982.82800000000009</v>
      </c>
      <c r="D249" s="6">
        <v>11805.191000000004</v>
      </c>
      <c r="E249" s="6">
        <v>7020.4660000000022</v>
      </c>
      <c r="F249" s="6"/>
      <c r="G249" s="6"/>
      <c r="H249" s="6"/>
      <c r="I249" s="6">
        <v>72784.290000000037</v>
      </c>
      <c r="J249" s="6"/>
      <c r="K249" s="6"/>
      <c r="L249" s="16">
        <v>92592.775000000052</v>
      </c>
      <c r="Y249" s="5">
        <v>2021</v>
      </c>
      <c r="Z249" s="4" t="s">
        <v>10</v>
      </c>
      <c r="AA249" s="16">
        <v>5102.49</v>
      </c>
      <c r="AB249" s="16">
        <v>11700.540999999996</v>
      </c>
      <c r="AC249" s="16">
        <v>5752.8990000000013</v>
      </c>
      <c r="AD249" s="16"/>
      <c r="AE249" s="16"/>
      <c r="AF249" s="16"/>
      <c r="AG249" s="16"/>
      <c r="AH249" s="16"/>
      <c r="AI249" s="16"/>
      <c r="AJ249" s="16">
        <v>22555.929999999997</v>
      </c>
    </row>
    <row r="250" spans="1:36" x14ac:dyDescent="0.25">
      <c r="A250" s="5">
        <v>2021</v>
      </c>
      <c r="B250" s="4" t="s">
        <v>7</v>
      </c>
      <c r="C250" s="6">
        <v>177.785</v>
      </c>
      <c r="D250" s="6">
        <v>11596.325000000004</v>
      </c>
      <c r="E250" s="6">
        <v>2077.7670000000007</v>
      </c>
      <c r="F250" s="6"/>
      <c r="G250" s="6"/>
      <c r="H250" s="6"/>
      <c r="I250" s="6">
        <v>72216.459000000003</v>
      </c>
      <c r="J250" s="6"/>
      <c r="K250" s="6"/>
      <c r="L250" s="16">
        <v>86068.33600000001</v>
      </c>
      <c r="Y250" s="5">
        <v>2021</v>
      </c>
      <c r="Z250" s="4" t="s">
        <v>12</v>
      </c>
      <c r="AA250" s="16"/>
      <c r="AB250" s="16"/>
      <c r="AC250" s="16">
        <v>30.97</v>
      </c>
      <c r="AD250" s="16"/>
      <c r="AE250" s="16"/>
      <c r="AF250" s="16"/>
      <c r="AG250" s="16"/>
      <c r="AH250" s="16"/>
      <c r="AI250" s="16"/>
      <c r="AJ250" s="16">
        <v>30.97</v>
      </c>
    </row>
    <row r="251" spans="1:36" x14ac:dyDescent="0.25">
      <c r="A251" s="5">
        <v>2021</v>
      </c>
      <c r="B251" s="4" t="s">
        <v>8</v>
      </c>
      <c r="C251" s="6">
        <v>241.44500000000002</v>
      </c>
      <c r="D251" s="6">
        <v>3727.3929999999996</v>
      </c>
      <c r="E251" s="6">
        <v>7.6059999999999999</v>
      </c>
      <c r="F251" s="6"/>
      <c r="G251" s="6"/>
      <c r="H251" s="6"/>
      <c r="I251" s="6">
        <v>70915.002000000037</v>
      </c>
      <c r="J251" s="6"/>
      <c r="K251" s="6"/>
      <c r="L251" s="16">
        <v>74891.44600000004</v>
      </c>
      <c r="Y251" s="5">
        <v>2021</v>
      </c>
      <c r="Z251" s="4" t="s">
        <v>13</v>
      </c>
      <c r="AA251" s="16">
        <v>1454.7249999999999</v>
      </c>
      <c r="AB251" s="16">
        <v>445.73099999999999</v>
      </c>
      <c r="AC251" s="16">
        <v>87.715000000000003</v>
      </c>
      <c r="AD251" s="16"/>
      <c r="AE251" s="16"/>
      <c r="AF251" s="16"/>
      <c r="AG251" s="16"/>
      <c r="AH251" s="16"/>
      <c r="AI251" s="16"/>
      <c r="AJ251" s="16">
        <v>1988.1709999999998</v>
      </c>
    </row>
    <row r="252" spans="1:36" x14ac:dyDescent="0.25">
      <c r="A252" s="5">
        <v>2021</v>
      </c>
      <c r="B252" s="4" t="s">
        <v>9</v>
      </c>
      <c r="C252" s="6">
        <v>14.865</v>
      </c>
      <c r="D252" s="6">
        <v>515.19800000000009</v>
      </c>
      <c r="E252" s="6">
        <v>114.69</v>
      </c>
      <c r="F252" s="6"/>
      <c r="G252" s="6"/>
      <c r="H252" s="6"/>
      <c r="I252" s="6">
        <v>65440.953000000009</v>
      </c>
      <c r="J252" s="6"/>
      <c r="K252" s="6"/>
      <c r="L252" s="16">
        <v>66085.706000000006</v>
      </c>
      <c r="Y252" s="5">
        <v>2021</v>
      </c>
      <c r="Z252" s="4" t="s">
        <v>14</v>
      </c>
      <c r="AA252" s="16">
        <v>4638.5899999999992</v>
      </c>
      <c r="AB252" s="16">
        <v>1002.0730000000001</v>
      </c>
      <c r="AC252" s="16">
        <v>239.45499999999998</v>
      </c>
      <c r="AD252" s="16"/>
      <c r="AE252" s="16"/>
      <c r="AF252" s="16"/>
      <c r="AG252" s="16"/>
      <c r="AH252" s="16"/>
      <c r="AI252" s="16"/>
      <c r="AJ252" s="16">
        <v>5880.1179999999995</v>
      </c>
    </row>
    <row r="253" spans="1:36" x14ac:dyDescent="0.25">
      <c r="A253" s="5">
        <v>2021</v>
      </c>
      <c r="B253" s="4" t="s">
        <v>10</v>
      </c>
      <c r="C253" s="6"/>
      <c r="D253" s="6">
        <v>111.26199999999999</v>
      </c>
      <c r="E253" s="6">
        <v>57.148000000000003</v>
      </c>
      <c r="F253" s="6"/>
      <c r="G253" s="6"/>
      <c r="H253" s="6"/>
      <c r="I253" s="6">
        <v>37343.277999999998</v>
      </c>
      <c r="J253" s="6"/>
      <c r="K253" s="6"/>
      <c r="L253" s="16">
        <v>37511.688000000002</v>
      </c>
      <c r="Y253" s="5">
        <v>2021</v>
      </c>
      <c r="Z253" s="4" t="s">
        <v>15</v>
      </c>
      <c r="AA253" s="16">
        <v>5049.271999999999</v>
      </c>
      <c r="AB253" s="16">
        <v>423.07100000000003</v>
      </c>
      <c r="AC253" s="16"/>
      <c r="AD253" s="16"/>
      <c r="AE253" s="16"/>
      <c r="AF253" s="16"/>
      <c r="AG253" s="16"/>
      <c r="AH253" s="16"/>
      <c r="AI253" s="16"/>
      <c r="AJ253" s="16">
        <v>5472.3429999999989</v>
      </c>
    </row>
    <row r="254" spans="1:36" x14ac:dyDescent="0.25">
      <c r="A254" s="5">
        <v>2021</v>
      </c>
      <c r="B254" s="4" t="s">
        <v>11</v>
      </c>
      <c r="C254" s="6"/>
      <c r="D254" s="6"/>
      <c r="E254" s="6"/>
      <c r="F254" s="6"/>
      <c r="G254" s="6"/>
      <c r="H254" s="6"/>
      <c r="I254" s="6">
        <v>780.60500000000002</v>
      </c>
      <c r="J254" s="6"/>
      <c r="K254" s="6"/>
      <c r="L254" s="16">
        <v>780.60500000000002</v>
      </c>
      <c r="Y254" s="5">
        <v>2022</v>
      </c>
      <c r="Z254" s="4" t="s">
        <v>4</v>
      </c>
      <c r="AA254" s="16"/>
      <c r="AB254" s="16">
        <v>20.765000000000001</v>
      </c>
      <c r="AC254" s="16"/>
      <c r="AD254" s="16"/>
      <c r="AE254" s="16"/>
      <c r="AF254" s="16"/>
      <c r="AG254" s="16"/>
      <c r="AH254" s="16"/>
      <c r="AI254" s="16"/>
      <c r="AJ254" s="16">
        <v>20.765000000000001</v>
      </c>
    </row>
    <row r="255" spans="1:36" x14ac:dyDescent="0.25">
      <c r="A255" s="5">
        <v>2021</v>
      </c>
      <c r="B255" s="4" t="s">
        <v>13</v>
      </c>
      <c r="C255" s="6"/>
      <c r="D255" s="6">
        <v>3742.2879999999996</v>
      </c>
      <c r="E255" s="6">
        <v>299.15300000000002</v>
      </c>
      <c r="F255" s="6"/>
      <c r="G255" s="6"/>
      <c r="H255" s="6"/>
      <c r="I255" s="6"/>
      <c r="J255" s="6"/>
      <c r="K255" s="6"/>
      <c r="L255" s="16">
        <v>4041.4409999999998</v>
      </c>
      <c r="Y255" s="5">
        <v>2022</v>
      </c>
      <c r="Z255" s="4" t="s">
        <v>5</v>
      </c>
      <c r="AA255" s="16">
        <v>172.02699999999999</v>
      </c>
      <c r="AB255" s="16"/>
      <c r="AC255" s="16"/>
      <c r="AD255" s="16"/>
      <c r="AE255" s="16"/>
      <c r="AF255" s="16"/>
      <c r="AG255" s="16"/>
      <c r="AH255" s="16"/>
      <c r="AI255" s="16"/>
      <c r="AJ255" s="16">
        <v>172.02699999999999</v>
      </c>
    </row>
    <row r="256" spans="1:36" x14ac:dyDescent="0.25">
      <c r="A256" s="5">
        <v>2021</v>
      </c>
      <c r="B256" s="4" t="s">
        <v>14</v>
      </c>
      <c r="C256" s="6">
        <v>594.52300000000002</v>
      </c>
      <c r="D256" s="6">
        <v>1926.1880000000001</v>
      </c>
      <c r="E256" s="6"/>
      <c r="F256" s="6"/>
      <c r="G256" s="6"/>
      <c r="H256" s="6"/>
      <c r="I256" s="6"/>
      <c r="J256" s="6"/>
      <c r="K256" s="6"/>
      <c r="L256" s="16">
        <v>2520.7110000000002</v>
      </c>
      <c r="Y256" s="5">
        <v>2022</v>
      </c>
      <c r="Z256" s="4" t="s">
        <v>6</v>
      </c>
      <c r="AA256" s="16"/>
      <c r="AB256" s="16">
        <v>44.47</v>
      </c>
      <c r="AC256" s="16"/>
      <c r="AD256" s="16"/>
      <c r="AE256" s="16"/>
      <c r="AF256" s="16"/>
      <c r="AG256" s="16"/>
      <c r="AH256" s="16"/>
      <c r="AI256" s="16"/>
      <c r="AJ256" s="16">
        <v>44.47</v>
      </c>
    </row>
    <row r="257" spans="1:36" x14ac:dyDescent="0.25">
      <c r="A257" s="5">
        <v>2021</v>
      </c>
      <c r="B257" s="4" t="s">
        <v>15</v>
      </c>
      <c r="C257" s="6"/>
      <c r="D257" s="6">
        <v>264.28499999999997</v>
      </c>
      <c r="E257" s="6"/>
      <c r="F257" s="6"/>
      <c r="G257" s="6"/>
      <c r="H257" s="6"/>
      <c r="I257" s="6">
        <v>31036.995999999996</v>
      </c>
      <c r="J257" s="6"/>
      <c r="K257" s="6"/>
      <c r="L257" s="16">
        <v>31301.280999999995</v>
      </c>
      <c r="Y257" s="5">
        <v>2022</v>
      </c>
      <c r="Z257" s="4" t="s">
        <v>7</v>
      </c>
      <c r="AA257" s="16">
        <v>79.019000000000005</v>
      </c>
      <c r="AB257" s="16">
        <v>204.155</v>
      </c>
      <c r="AC257" s="16">
        <v>1317.0940000000001</v>
      </c>
      <c r="AD257" s="16"/>
      <c r="AE257" s="16"/>
      <c r="AF257" s="16"/>
      <c r="AG257" s="16">
        <v>33.85</v>
      </c>
      <c r="AH257" s="16"/>
      <c r="AI257" s="16"/>
      <c r="AJ257" s="16">
        <v>1634.1179999999999</v>
      </c>
    </row>
    <row r="258" spans="1:36" x14ac:dyDescent="0.25">
      <c r="A258" s="5">
        <v>2022</v>
      </c>
      <c r="B258" s="4" t="s">
        <v>4</v>
      </c>
      <c r="C258" s="6"/>
      <c r="D258" s="6">
        <v>53.57</v>
      </c>
      <c r="E258" s="6">
        <v>646.69199999999989</v>
      </c>
      <c r="F258" s="6"/>
      <c r="G258" s="6"/>
      <c r="H258" s="6"/>
      <c r="I258" s="6">
        <v>78399.960999999952</v>
      </c>
      <c r="J258" s="6"/>
      <c r="K258" s="6"/>
      <c r="L258" s="16">
        <v>79100.222999999954</v>
      </c>
      <c r="Y258" s="5">
        <v>2022</v>
      </c>
      <c r="Z258" s="4" t="s">
        <v>8</v>
      </c>
      <c r="AA258" s="16">
        <v>22.734999999999999</v>
      </c>
      <c r="AB258" s="16">
        <v>6776.0180000000018</v>
      </c>
      <c r="AC258" s="16">
        <v>330.87</v>
      </c>
      <c r="AD258" s="16"/>
      <c r="AE258" s="16"/>
      <c r="AF258" s="16"/>
      <c r="AG258" s="16"/>
      <c r="AH258" s="16"/>
      <c r="AI258" s="16"/>
      <c r="AJ258" s="16">
        <v>7129.6230000000014</v>
      </c>
    </row>
    <row r="259" spans="1:36" x14ac:dyDescent="0.25">
      <c r="A259" s="5">
        <v>2022</v>
      </c>
      <c r="B259" s="4" t="s">
        <v>5</v>
      </c>
      <c r="C259" s="6">
        <v>2.6560000000000001</v>
      </c>
      <c r="D259" s="6"/>
      <c r="E259" s="6"/>
      <c r="F259" s="6"/>
      <c r="G259" s="6"/>
      <c r="H259" s="6"/>
      <c r="I259" s="6">
        <v>73012.457000000024</v>
      </c>
      <c r="J259" s="6"/>
      <c r="K259" s="6"/>
      <c r="L259" s="16">
        <v>73015.113000000027</v>
      </c>
      <c r="Y259" s="5">
        <v>2022</v>
      </c>
      <c r="Z259" s="4" t="s">
        <v>9</v>
      </c>
      <c r="AA259" s="16">
        <v>10317.324999999999</v>
      </c>
      <c r="AB259" s="16">
        <v>15898.119000000008</v>
      </c>
      <c r="AC259" s="16">
        <v>141.51</v>
      </c>
      <c r="AD259" s="16"/>
      <c r="AE259" s="16"/>
      <c r="AF259" s="16"/>
      <c r="AG259" s="16"/>
      <c r="AH259" s="16"/>
      <c r="AI259" s="16"/>
      <c r="AJ259" s="16">
        <v>26356.954000000005</v>
      </c>
    </row>
    <row r="260" spans="1:36" x14ac:dyDescent="0.25">
      <c r="A260" s="5">
        <v>2022</v>
      </c>
      <c r="B260" s="4" t="s">
        <v>6</v>
      </c>
      <c r="C260" s="6">
        <v>84.126999999999995</v>
      </c>
      <c r="D260" s="6">
        <v>8878.5139999999992</v>
      </c>
      <c r="E260" s="6">
        <v>3071.56</v>
      </c>
      <c r="F260" s="6"/>
      <c r="G260" s="6"/>
      <c r="H260" s="6"/>
      <c r="I260" s="6">
        <v>82806.705999999976</v>
      </c>
      <c r="J260" s="6"/>
      <c r="K260" s="6"/>
      <c r="L260" s="16">
        <v>94840.906999999977</v>
      </c>
      <c r="Y260" s="5">
        <v>2022</v>
      </c>
      <c r="Z260" s="4" t="s">
        <v>10</v>
      </c>
      <c r="AA260" s="16">
        <v>686.74500000000023</v>
      </c>
      <c r="AB260" s="16">
        <v>17012.438999999998</v>
      </c>
      <c r="AC260" s="16">
        <v>6452.9730000000018</v>
      </c>
      <c r="AD260" s="16"/>
      <c r="AE260" s="16"/>
      <c r="AF260" s="16"/>
      <c r="AG260" s="16"/>
      <c r="AH260" s="16"/>
      <c r="AI260" s="16"/>
      <c r="AJ260" s="16">
        <v>24152.156999999999</v>
      </c>
    </row>
    <row r="261" spans="1:36" x14ac:dyDescent="0.25">
      <c r="A261" s="5">
        <v>2022</v>
      </c>
      <c r="B261" s="4" t="s">
        <v>7</v>
      </c>
      <c r="C261" s="6">
        <v>282.18600000000004</v>
      </c>
      <c r="D261" s="6">
        <v>9935.6739999999991</v>
      </c>
      <c r="E261" s="6">
        <v>3110.7289999999998</v>
      </c>
      <c r="F261" s="6"/>
      <c r="G261" s="6"/>
      <c r="H261" s="6"/>
      <c r="I261" s="6">
        <v>65230.209999999977</v>
      </c>
      <c r="J261" s="6"/>
      <c r="K261" s="6"/>
      <c r="L261" s="16">
        <v>78558.79899999997</v>
      </c>
      <c r="Y261" s="5">
        <v>2022</v>
      </c>
      <c r="Z261" s="4" t="s">
        <v>11</v>
      </c>
      <c r="AA261" s="16">
        <v>297.89500000000004</v>
      </c>
      <c r="AB261" s="16">
        <v>2589.3359999999993</v>
      </c>
      <c r="AC261" s="16"/>
      <c r="AD261" s="16"/>
      <c r="AE261" s="16"/>
      <c r="AF261" s="16"/>
      <c r="AG261" s="16"/>
      <c r="AH261" s="16"/>
      <c r="AI261" s="16"/>
      <c r="AJ261" s="16">
        <v>2887.2309999999993</v>
      </c>
    </row>
    <row r="262" spans="1:36" x14ac:dyDescent="0.25">
      <c r="A262" s="5">
        <v>2022</v>
      </c>
      <c r="B262" s="4" t="s">
        <v>8</v>
      </c>
      <c r="C262" s="6"/>
      <c r="D262" s="6">
        <v>3496.1979999999999</v>
      </c>
      <c r="E262" s="6">
        <v>1362.7440000000001</v>
      </c>
      <c r="F262" s="6"/>
      <c r="G262" s="6"/>
      <c r="H262" s="6"/>
      <c r="I262" s="6">
        <v>90334.556999999972</v>
      </c>
      <c r="J262" s="6"/>
      <c r="K262" s="6"/>
      <c r="L262" s="16">
        <v>95193.498999999967</v>
      </c>
      <c r="Y262" s="5">
        <v>2022</v>
      </c>
      <c r="Z262" s="4" t="s">
        <v>13</v>
      </c>
      <c r="AA262" s="16"/>
      <c r="AB262" s="16">
        <v>91.372</v>
      </c>
      <c r="AC262" s="16"/>
      <c r="AD262" s="16"/>
      <c r="AE262" s="16"/>
      <c r="AF262" s="16"/>
      <c r="AG262" s="16">
        <v>378.34800000000007</v>
      </c>
      <c r="AH262" s="16"/>
      <c r="AI262" s="16"/>
      <c r="AJ262" s="16">
        <v>469.72000000000008</v>
      </c>
    </row>
    <row r="263" spans="1:36" x14ac:dyDescent="0.25">
      <c r="A263" s="5">
        <v>2022</v>
      </c>
      <c r="B263" s="4" t="s">
        <v>9</v>
      </c>
      <c r="C263" s="6">
        <v>231.52799999999999</v>
      </c>
      <c r="D263" s="6">
        <v>3094.2579999999998</v>
      </c>
      <c r="E263" s="6"/>
      <c r="F263" s="6"/>
      <c r="G263" s="6"/>
      <c r="H263" s="6"/>
      <c r="I263" s="6">
        <v>72132.900999999969</v>
      </c>
      <c r="J263" s="6"/>
      <c r="K263" s="6"/>
      <c r="L263" s="16">
        <v>75458.686999999962</v>
      </c>
      <c r="Y263" s="5">
        <v>2022</v>
      </c>
      <c r="Z263" s="4" t="s">
        <v>14</v>
      </c>
      <c r="AA263" s="16"/>
      <c r="AB263" s="16">
        <v>248.18300000000002</v>
      </c>
      <c r="AC263" s="16"/>
      <c r="AD263" s="16"/>
      <c r="AE263" s="16"/>
      <c r="AF263" s="16"/>
      <c r="AG263" s="16">
        <v>521.78599999999994</v>
      </c>
      <c r="AH263" s="16"/>
      <c r="AI263" s="16"/>
      <c r="AJ263" s="16">
        <v>769.96899999999994</v>
      </c>
    </row>
    <row r="264" spans="1:36" x14ac:dyDescent="0.25">
      <c r="A264" s="5">
        <v>2022</v>
      </c>
      <c r="B264" s="4" t="s">
        <v>10</v>
      </c>
      <c r="C264" s="6"/>
      <c r="D264" s="6">
        <v>3307.3970000000004</v>
      </c>
      <c r="E264" s="6">
        <v>1270.1779999999999</v>
      </c>
      <c r="F264" s="6"/>
      <c r="G264" s="6"/>
      <c r="H264" s="6"/>
      <c r="I264" s="6">
        <v>55638.51400000001</v>
      </c>
      <c r="J264" s="6"/>
      <c r="K264" s="6"/>
      <c r="L264" s="16">
        <v>60216.089000000007</v>
      </c>
      <c r="Y264" s="5">
        <v>2023</v>
      </c>
      <c r="Z264" s="4" t="s">
        <v>4</v>
      </c>
      <c r="AA264" s="16"/>
      <c r="AB264" s="16"/>
      <c r="AC264" s="16">
        <v>17.902000000000001</v>
      </c>
      <c r="AD264" s="16"/>
      <c r="AE264" s="16"/>
      <c r="AF264" s="16"/>
      <c r="AG264" s="16"/>
      <c r="AH264" s="16"/>
      <c r="AI264" s="16"/>
      <c r="AJ264" s="16">
        <v>17.902000000000001</v>
      </c>
    </row>
    <row r="265" spans="1:36" x14ac:dyDescent="0.25">
      <c r="A265" s="5">
        <v>2022</v>
      </c>
      <c r="B265" s="4" t="s">
        <v>11</v>
      </c>
      <c r="C265" s="6">
        <v>276.80500000000001</v>
      </c>
      <c r="D265" s="6">
        <v>6756.3329999999987</v>
      </c>
      <c r="E265" s="6">
        <v>1603.8349999999998</v>
      </c>
      <c r="F265" s="6"/>
      <c r="G265" s="6"/>
      <c r="H265" s="6"/>
      <c r="I265" s="6">
        <v>13164.936000000002</v>
      </c>
      <c r="J265" s="6"/>
      <c r="K265" s="6"/>
      <c r="L265" s="16">
        <v>21801.909</v>
      </c>
      <c r="Y265" s="5">
        <v>2023</v>
      </c>
      <c r="Z265" s="4" t="s">
        <v>7</v>
      </c>
      <c r="AA265" s="16">
        <v>37.549999999999997</v>
      </c>
      <c r="AB265" s="16"/>
      <c r="AC265" s="16"/>
      <c r="AD265" s="16"/>
      <c r="AE265" s="16"/>
      <c r="AF265" s="16"/>
      <c r="AG265" s="16"/>
      <c r="AH265" s="16"/>
      <c r="AI265" s="16"/>
      <c r="AJ265" s="16">
        <v>37.549999999999997</v>
      </c>
    </row>
    <row r="266" spans="1:36" x14ac:dyDescent="0.25">
      <c r="A266" s="5">
        <v>2022</v>
      </c>
      <c r="B266" s="4" t="s">
        <v>12</v>
      </c>
      <c r="C266" s="6"/>
      <c r="D266" s="6"/>
      <c r="E266" s="6"/>
      <c r="F266" s="6"/>
      <c r="G266" s="6"/>
      <c r="H266" s="6"/>
      <c r="I266" s="6">
        <v>2851.9870000000001</v>
      </c>
      <c r="J266" s="6"/>
      <c r="K266" s="6"/>
      <c r="L266" s="16">
        <v>2851.9870000000001</v>
      </c>
      <c r="Y266" s="5">
        <v>2023</v>
      </c>
      <c r="Z266" s="4" t="s">
        <v>9</v>
      </c>
      <c r="AA266" s="16"/>
      <c r="AB266" s="16"/>
      <c r="AC266" s="16"/>
      <c r="AD266" s="16"/>
      <c r="AE266" s="16"/>
      <c r="AF266" s="16"/>
      <c r="AG266" s="16">
        <v>944.66100000000006</v>
      </c>
      <c r="AH266" s="16"/>
      <c r="AI266" s="16"/>
      <c r="AJ266" s="16">
        <v>944.66100000000006</v>
      </c>
    </row>
    <row r="267" spans="1:36" x14ac:dyDescent="0.25">
      <c r="A267" s="5">
        <v>2022</v>
      </c>
      <c r="B267" s="4" t="s">
        <v>13</v>
      </c>
      <c r="C267" s="6"/>
      <c r="D267" s="6">
        <v>3367.3630000000003</v>
      </c>
      <c r="E267" s="6">
        <v>188.965</v>
      </c>
      <c r="F267" s="6"/>
      <c r="G267" s="6"/>
      <c r="H267" s="6"/>
      <c r="I267" s="6"/>
      <c r="J267" s="6"/>
      <c r="K267" s="6"/>
      <c r="L267" s="16">
        <v>3556.3280000000004</v>
      </c>
      <c r="Y267" s="5">
        <v>2023</v>
      </c>
      <c r="Z267" s="4" t="s">
        <v>10</v>
      </c>
      <c r="AA267" s="16"/>
      <c r="AB267" s="16"/>
      <c r="AC267" s="16"/>
      <c r="AD267" s="16"/>
      <c r="AE267" s="16"/>
      <c r="AF267" s="16"/>
      <c r="AG267" s="16">
        <v>33.799999999999997</v>
      </c>
      <c r="AH267" s="16"/>
      <c r="AI267" s="16"/>
      <c r="AJ267" s="16">
        <v>33.799999999999997</v>
      </c>
    </row>
    <row r="268" spans="1:36" x14ac:dyDescent="0.25">
      <c r="A268" s="5">
        <v>2022</v>
      </c>
      <c r="B268" s="4" t="s">
        <v>14</v>
      </c>
      <c r="C268" s="6"/>
      <c r="D268" s="6">
        <v>6551.538999999997</v>
      </c>
      <c r="E268" s="6">
        <v>2226.7840000000006</v>
      </c>
      <c r="F268" s="6"/>
      <c r="G268" s="6"/>
      <c r="H268" s="6"/>
      <c r="I268" s="6">
        <v>802.25799999999992</v>
      </c>
      <c r="J268" s="6"/>
      <c r="K268" s="6"/>
      <c r="L268" s="16">
        <v>9580.5809999999965</v>
      </c>
      <c r="Y268" s="5">
        <v>2023</v>
      </c>
      <c r="Z268" s="4" t="s">
        <v>13</v>
      </c>
      <c r="AA268" s="16"/>
      <c r="AB268" s="16"/>
      <c r="AC268" s="16"/>
      <c r="AD268" s="16"/>
      <c r="AE268" s="16"/>
      <c r="AF268" s="16"/>
      <c r="AG268" s="16">
        <v>589.44399999999996</v>
      </c>
      <c r="AH268" s="16"/>
      <c r="AI268" s="16"/>
      <c r="AJ268" s="16">
        <v>589.44399999999996</v>
      </c>
    </row>
    <row r="269" spans="1:36" x14ac:dyDescent="0.25">
      <c r="A269" s="5">
        <v>2022</v>
      </c>
      <c r="B269" s="4" t="s">
        <v>15</v>
      </c>
      <c r="C269" s="6"/>
      <c r="D269" s="6">
        <v>2349.5790000000006</v>
      </c>
      <c r="E269" s="6">
        <v>696.54700000000003</v>
      </c>
      <c r="F269" s="6"/>
      <c r="G269" s="6"/>
      <c r="H269" s="6"/>
      <c r="I269" s="6">
        <v>44259.238999999994</v>
      </c>
      <c r="J269" s="6"/>
      <c r="K269" s="6"/>
      <c r="L269" s="16">
        <v>47305.364999999998</v>
      </c>
      <c r="Y269" s="5">
        <v>2024</v>
      </c>
      <c r="Z269" s="4" t="s">
        <v>7</v>
      </c>
      <c r="AA269" s="16"/>
      <c r="AB269" s="16"/>
      <c r="AC269" s="16"/>
      <c r="AD269" s="16"/>
      <c r="AE269" s="16"/>
      <c r="AF269" s="16"/>
      <c r="AG269" s="16">
        <v>360.38099999999997</v>
      </c>
      <c r="AH269" s="16"/>
      <c r="AI269" s="16"/>
      <c r="AJ269" s="16">
        <v>360.38099999999997</v>
      </c>
    </row>
    <row r="270" spans="1:36" x14ac:dyDescent="0.25">
      <c r="A270" s="5">
        <v>2023</v>
      </c>
      <c r="B270" s="4" t="s">
        <v>4</v>
      </c>
      <c r="C270" s="6"/>
      <c r="D270" s="6">
        <v>4270.0110000000004</v>
      </c>
      <c r="E270" s="6">
        <v>8178.1500000000015</v>
      </c>
      <c r="F270" s="6"/>
      <c r="G270" s="6"/>
      <c r="H270" s="6"/>
      <c r="I270" s="6">
        <v>80260.950999999957</v>
      </c>
      <c r="J270" s="6"/>
      <c r="K270" s="6"/>
      <c r="L270" s="16">
        <v>92709.111999999965</v>
      </c>
      <c r="Y270" s="5">
        <v>2024</v>
      </c>
      <c r="Z270" s="4" t="s">
        <v>8</v>
      </c>
      <c r="AA270" s="16"/>
      <c r="AB270" s="16"/>
      <c r="AC270" s="16"/>
      <c r="AD270" s="16"/>
      <c r="AE270" s="16"/>
      <c r="AF270" s="16"/>
      <c r="AG270" s="16">
        <v>459.77599999999995</v>
      </c>
      <c r="AH270" s="16"/>
      <c r="AI270" s="16"/>
      <c r="AJ270" s="16">
        <v>459.77599999999995</v>
      </c>
    </row>
    <row r="271" spans="1:36" x14ac:dyDescent="0.25">
      <c r="A271" s="5">
        <v>2023</v>
      </c>
      <c r="B271" s="4" t="s">
        <v>5</v>
      </c>
      <c r="C271" s="6"/>
      <c r="D271" s="6">
        <v>2805.3219999999997</v>
      </c>
      <c r="E271" s="6">
        <v>5506.2919999999995</v>
      </c>
      <c r="F271" s="6"/>
      <c r="G271" s="6"/>
      <c r="H271" s="6"/>
      <c r="I271" s="6">
        <v>110197.18599999994</v>
      </c>
      <c r="J271" s="6"/>
      <c r="K271" s="6"/>
      <c r="L271" s="16">
        <v>118508.79999999994</v>
      </c>
      <c r="Y271" s="5">
        <v>2024</v>
      </c>
      <c r="Z271" s="4" t="s">
        <v>13</v>
      </c>
      <c r="AA271" s="16"/>
      <c r="AB271" s="16"/>
      <c r="AC271" s="16"/>
      <c r="AD271" s="16"/>
      <c r="AE271" s="16"/>
      <c r="AF271" s="16"/>
      <c r="AG271" s="16">
        <v>595.77800000000002</v>
      </c>
      <c r="AH271" s="16"/>
      <c r="AI271" s="16"/>
      <c r="AJ271" s="16">
        <v>595.77800000000002</v>
      </c>
    </row>
    <row r="272" spans="1:36" x14ac:dyDescent="0.25">
      <c r="A272" s="5">
        <v>2023</v>
      </c>
      <c r="B272" s="4" t="s">
        <v>6</v>
      </c>
      <c r="C272" s="6"/>
      <c r="D272" s="6">
        <v>7305.9210000000012</v>
      </c>
      <c r="E272" s="6">
        <v>14332.226999999997</v>
      </c>
      <c r="F272" s="6"/>
      <c r="G272" s="6"/>
      <c r="H272" s="6"/>
      <c r="I272" s="6">
        <v>95017.978999999992</v>
      </c>
      <c r="J272" s="6"/>
      <c r="K272" s="6"/>
      <c r="L272" s="16">
        <v>116656.12699999999</v>
      </c>
      <c r="Y272" s="5">
        <v>2024</v>
      </c>
      <c r="Z272" s="4" t="s">
        <v>14</v>
      </c>
      <c r="AA272" s="16">
        <v>1167.8410000000001</v>
      </c>
      <c r="AB272" s="16">
        <v>913.33100000000002</v>
      </c>
      <c r="AC272" s="16"/>
      <c r="AD272" s="16"/>
      <c r="AE272" s="16"/>
      <c r="AF272" s="16"/>
      <c r="AG272" s="16">
        <v>643.11099999999999</v>
      </c>
      <c r="AH272" s="16"/>
      <c r="AI272" s="16"/>
      <c r="AJ272" s="16">
        <v>2724.2829999999999</v>
      </c>
    </row>
    <row r="273" spans="1:36" x14ac:dyDescent="0.25">
      <c r="A273" s="5">
        <v>2023</v>
      </c>
      <c r="B273" s="4" t="s">
        <v>7</v>
      </c>
      <c r="C273" s="6"/>
      <c r="D273" s="6">
        <v>11814.715</v>
      </c>
      <c r="E273" s="6">
        <v>2264.0300000000002</v>
      </c>
      <c r="F273" s="6"/>
      <c r="G273" s="6"/>
      <c r="H273" s="6"/>
      <c r="I273" s="6">
        <v>93026.962000000029</v>
      </c>
      <c r="J273" s="6"/>
      <c r="K273" s="6"/>
      <c r="L273" s="16">
        <v>107105.70700000002</v>
      </c>
      <c r="Y273" s="5">
        <v>2024</v>
      </c>
      <c r="Z273" s="4" t="s">
        <v>15</v>
      </c>
      <c r="AA273" s="16">
        <v>138.405</v>
      </c>
      <c r="AB273" s="16">
        <v>1306.0830000000001</v>
      </c>
      <c r="AC273" s="16"/>
      <c r="AD273" s="16"/>
      <c r="AE273" s="16"/>
      <c r="AF273" s="16"/>
      <c r="AG273" s="16"/>
      <c r="AH273" s="16"/>
      <c r="AI273" s="16"/>
      <c r="AJ273" s="16">
        <v>1444.4880000000001</v>
      </c>
    </row>
    <row r="274" spans="1:36" x14ac:dyDescent="0.25">
      <c r="A274" s="5">
        <v>2023</v>
      </c>
      <c r="B274" s="4" t="s">
        <v>8</v>
      </c>
      <c r="C274" s="6"/>
      <c r="D274" s="6">
        <v>2416.558</v>
      </c>
      <c r="E274" s="6">
        <v>7350.9719999999988</v>
      </c>
      <c r="F274" s="6"/>
      <c r="G274" s="6"/>
      <c r="H274" s="6"/>
      <c r="I274" s="6">
        <v>90676.805999999997</v>
      </c>
      <c r="J274" s="6"/>
      <c r="K274" s="6"/>
      <c r="L274" s="16">
        <v>100444.336</v>
      </c>
    </row>
    <row r="275" spans="1:36" x14ac:dyDescent="0.25">
      <c r="A275" s="5">
        <v>2023</v>
      </c>
      <c r="B275" s="4" t="s">
        <v>9</v>
      </c>
      <c r="C275" s="6"/>
      <c r="D275" s="6">
        <v>1460.8899999999996</v>
      </c>
      <c r="E275" s="6">
        <v>8807.7319999999982</v>
      </c>
      <c r="F275" s="6"/>
      <c r="G275" s="6"/>
      <c r="H275" s="6"/>
      <c r="I275" s="6">
        <v>77007.564000000042</v>
      </c>
      <c r="J275" s="6"/>
      <c r="K275" s="6"/>
      <c r="L275" s="16">
        <v>87276.186000000045</v>
      </c>
    </row>
    <row r="276" spans="1:36" x14ac:dyDescent="0.25">
      <c r="A276" s="5">
        <v>2023</v>
      </c>
      <c r="B276" s="4" t="s">
        <v>10</v>
      </c>
      <c r="C276" s="6"/>
      <c r="D276" s="6"/>
      <c r="E276" s="6"/>
      <c r="F276" s="6"/>
      <c r="G276" s="6"/>
      <c r="H276" s="6"/>
      <c r="I276" s="6">
        <v>21545.281999999996</v>
      </c>
      <c r="J276" s="6"/>
      <c r="K276" s="6"/>
      <c r="L276" s="16">
        <v>21545.281999999996</v>
      </c>
    </row>
    <row r="277" spans="1:36" x14ac:dyDescent="0.25">
      <c r="A277" s="5">
        <v>2023</v>
      </c>
      <c r="B277" s="4" t="s">
        <v>11</v>
      </c>
      <c r="C277" s="6"/>
      <c r="D277" s="6"/>
      <c r="E277" s="6"/>
      <c r="F277" s="6"/>
      <c r="G277" s="6"/>
      <c r="H277" s="6"/>
      <c r="I277" s="6">
        <v>883.52700000000004</v>
      </c>
      <c r="J277" s="6"/>
      <c r="K277" s="6"/>
      <c r="L277" s="16">
        <v>883.52700000000004</v>
      </c>
    </row>
    <row r="278" spans="1:36" x14ac:dyDescent="0.25">
      <c r="A278" s="5">
        <v>2023</v>
      </c>
      <c r="B278" s="4" t="s">
        <v>12</v>
      </c>
      <c r="C278" s="6"/>
      <c r="D278" s="6">
        <v>1983.721</v>
      </c>
      <c r="E278" s="6">
        <v>92.03</v>
      </c>
      <c r="F278" s="6"/>
      <c r="G278" s="6"/>
      <c r="H278" s="6"/>
      <c r="I278" s="6"/>
      <c r="J278" s="6"/>
      <c r="K278" s="6"/>
      <c r="L278" s="16">
        <v>2075.7510000000002</v>
      </c>
    </row>
    <row r="279" spans="1:36" x14ac:dyDescent="0.25">
      <c r="A279" s="5">
        <v>2023</v>
      </c>
      <c r="B279" s="4" t="s">
        <v>13</v>
      </c>
      <c r="C279" s="6"/>
      <c r="D279" s="6">
        <v>5294.1440000000002</v>
      </c>
      <c r="E279" s="6">
        <v>684.45</v>
      </c>
      <c r="F279" s="6"/>
      <c r="G279" s="6"/>
      <c r="H279" s="6"/>
      <c r="I279" s="6"/>
      <c r="J279" s="6"/>
      <c r="K279" s="6"/>
      <c r="L279" s="16">
        <v>5978.5940000000001</v>
      </c>
    </row>
    <row r="280" spans="1:36" x14ac:dyDescent="0.25">
      <c r="A280" s="5">
        <v>2023</v>
      </c>
      <c r="B280" s="4" t="s">
        <v>14</v>
      </c>
      <c r="C280" s="6"/>
      <c r="D280" s="6">
        <v>859.50800000000004</v>
      </c>
      <c r="E280" s="6"/>
      <c r="F280" s="6"/>
      <c r="G280" s="6"/>
      <c r="H280" s="6"/>
      <c r="I280" s="6">
        <v>21617.581000000006</v>
      </c>
      <c r="J280" s="6"/>
      <c r="K280" s="6"/>
      <c r="L280" s="16">
        <v>22477.089000000007</v>
      </c>
    </row>
    <row r="281" spans="1:36" x14ac:dyDescent="0.25">
      <c r="A281" s="5">
        <v>2023</v>
      </c>
      <c r="B281" s="4" t="s">
        <v>15</v>
      </c>
      <c r="C281" s="6"/>
      <c r="D281" s="6">
        <v>461.67899999999997</v>
      </c>
      <c r="E281" s="6">
        <v>802.46299999999997</v>
      </c>
      <c r="F281" s="6"/>
      <c r="G281" s="6"/>
      <c r="H281" s="6"/>
      <c r="I281" s="6">
        <v>63925.218999999975</v>
      </c>
      <c r="J281" s="6"/>
      <c r="K281" s="6"/>
      <c r="L281" s="16">
        <v>65189.360999999975</v>
      </c>
    </row>
    <row r="282" spans="1:36" x14ac:dyDescent="0.25">
      <c r="A282" s="5">
        <v>2024</v>
      </c>
      <c r="B282" s="4" t="s">
        <v>4</v>
      </c>
      <c r="C282" s="6"/>
      <c r="D282" s="6">
        <v>892.25800000000004</v>
      </c>
      <c r="E282" s="6">
        <v>1106.6990000000001</v>
      </c>
      <c r="F282" s="6"/>
      <c r="G282" s="6"/>
      <c r="H282" s="6"/>
      <c r="I282" s="6">
        <v>117458.11900000006</v>
      </c>
      <c r="J282" s="6"/>
      <c r="K282" s="6"/>
      <c r="L282" s="16">
        <v>119457.076</v>
      </c>
      <c r="M282" s="16">
        <f>SUBTOTAL(9,H282:K282)</f>
        <v>117458.11900000006</v>
      </c>
    </row>
    <row r="283" spans="1:36" x14ac:dyDescent="0.25">
      <c r="A283" s="5">
        <v>2024</v>
      </c>
      <c r="B283" s="4" t="s">
        <v>5</v>
      </c>
      <c r="C283" s="6"/>
      <c r="D283" s="6">
        <v>18686.508000000013</v>
      </c>
      <c r="E283" s="6">
        <v>777.73500000000013</v>
      </c>
      <c r="F283" s="6"/>
      <c r="G283" s="6"/>
      <c r="H283" s="6"/>
      <c r="I283" s="6">
        <v>118058.80500000007</v>
      </c>
      <c r="J283" s="6"/>
      <c r="K283" s="6"/>
      <c r="L283" s="16">
        <v>137523.04800000007</v>
      </c>
      <c r="M283" s="16">
        <f t="shared" ref="M283:M293" si="0">SUBTOTAL(9,H283:K283)</f>
        <v>118058.80500000007</v>
      </c>
    </row>
    <row r="284" spans="1:36" x14ac:dyDescent="0.25">
      <c r="A284" s="5">
        <v>2024</v>
      </c>
      <c r="B284" s="4" t="s">
        <v>6</v>
      </c>
      <c r="C284" s="6"/>
      <c r="D284" s="6">
        <v>13567.360999999999</v>
      </c>
      <c r="E284" s="6">
        <v>16181.790999999999</v>
      </c>
      <c r="F284" s="6"/>
      <c r="G284" s="6"/>
      <c r="H284" s="6"/>
      <c r="I284" s="6">
        <v>101778.46599999997</v>
      </c>
      <c r="J284" s="6"/>
      <c r="K284" s="6"/>
      <c r="L284" s="16">
        <v>131527.61799999996</v>
      </c>
      <c r="M284" s="16">
        <f t="shared" si="0"/>
        <v>101778.46599999997</v>
      </c>
    </row>
    <row r="285" spans="1:36" x14ac:dyDescent="0.25">
      <c r="A285" s="5">
        <v>2024</v>
      </c>
      <c r="B285" s="4" t="s">
        <v>7</v>
      </c>
      <c r="C285" s="6">
        <v>10139.320000000003</v>
      </c>
      <c r="D285" s="6">
        <v>5297.1530000000002</v>
      </c>
      <c r="E285" s="6">
        <v>6440.5059999999985</v>
      </c>
      <c r="F285" s="6"/>
      <c r="G285" s="6"/>
      <c r="H285" s="6"/>
      <c r="I285" s="6">
        <v>120360.37499999988</v>
      </c>
      <c r="J285" s="6"/>
      <c r="K285" s="6"/>
      <c r="L285" s="16">
        <v>142237.35399999988</v>
      </c>
      <c r="M285" s="16">
        <f t="shared" si="0"/>
        <v>120360.37499999988</v>
      </c>
    </row>
    <row r="286" spans="1:36" x14ac:dyDescent="0.25">
      <c r="A286" s="5">
        <v>2024</v>
      </c>
      <c r="B286" s="4" t="s">
        <v>8</v>
      </c>
      <c r="C286" s="6"/>
      <c r="D286" s="6">
        <v>3128.1700000000005</v>
      </c>
      <c r="E286" s="6">
        <v>11856.791999999999</v>
      </c>
      <c r="F286" s="6"/>
      <c r="G286" s="6"/>
      <c r="H286" s="6"/>
      <c r="I286" s="6">
        <v>83259.934999999954</v>
      </c>
      <c r="J286" s="6"/>
      <c r="K286" s="6"/>
      <c r="L286" s="16">
        <v>98244.896999999954</v>
      </c>
      <c r="M286" s="16">
        <f t="shared" si="0"/>
        <v>83259.934999999954</v>
      </c>
    </row>
    <row r="287" spans="1:36" x14ac:dyDescent="0.25">
      <c r="A287" s="5">
        <v>2024</v>
      </c>
      <c r="B287" s="4" t="s">
        <v>9</v>
      </c>
      <c r="C287" s="6"/>
      <c r="D287" s="6">
        <v>1989.21</v>
      </c>
      <c r="E287" s="6">
        <v>1259.721</v>
      </c>
      <c r="F287" s="6"/>
      <c r="G287" s="6">
        <v>1283.6450000000002</v>
      </c>
      <c r="H287" s="6"/>
      <c r="I287" s="6">
        <v>30963.561999999987</v>
      </c>
      <c r="J287" s="6"/>
      <c r="K287" s="6"/>
      <c r="L287" s="16">
        <v>35496.137999999984</v>
      </c>
      <c r="M287" s="16">
        <f t="shared" si="0"/>
        <v>30963.561999999987</v>
      </c>
    </row>
    <row r="288" spans="1:36" x14ac:dyDescent="0.25">
      <c r="A288" s="5">
        <v>2024</v>
      </c>
      <c r="B288" s="4" t="s">
        <v>10</v>
      </c>
      <c r="C288" s="6"/>
      <c r="D288" s="6">
        <v>6530.4710000000014</v>
      </c>
      <c r="E288" s="6"/>
      <c r="F288" s="6"/>
      <c r="G288" s="6"/>
      <c r="H288" s="6"/>
      <c r="I288" s="6">
        <v>67392.853000000032</v>
      </c>
      <c r="J288" s="6"/>
      <c r="K288" s="6"/>
      <c r="L288" s="16">
        <v>73923.324000000037</v>
      </c>
      <c r="M288" s="16">
        <f t="shared" si="0"/>
        <v>67392.853000000032</v>
      </c>
    </row>
    <row r="289" spans="1:13" x14ac:dyDescent="0.25">
      <c r="A289" s="5">
        <v>2024</v>
      </c>
      <c r="B289" s="4" t="s">
        <v>11</v>
      </c>
      <c r="C289" s="6"/>
      <c r="D289" s="6">
        <v>252.56299999999999</v>
      </c>
      <c r="E289" s="6"/>
      <c r="F289" s="6"/>
      <c r="G289" s="6"/>
      <c r="H289" s="6"/>
      <c r="I289" s="6">
        <v>40742.517999999989</v>
      </c>
      <c r="J289" s="6"/>
      <c r="K289" s="6"/>
      <c r="L289" s="16">
        <v>40995.080999999991</v>
      </c>
      <c r="M289" s="16">
        <f t="shared" si="0"/>
        <v>40742.517999999989</v>
      </c>
    </row>
    <row r="290" spans="1:13" x14ac:dyDescent="0.25">
      <c r="A290" s="5">
        <v>2024</v>
      </c>
      <c r="B290" s="4" t="s">
        <v>12</v>
      </c>
      <c r="C290" s="6"/>
      <c r="D290" s="6">
        <v>595.80100000000004</v>
      </c>
      <c r="E290" s="6"/>
      <c r="F290" s="6"/>
      <c r="G290" s="6"/>
      <c r="H290" s="6"/>
      <c r="I290" s="6">
        <v>3974.9850000000001</v>
      </c>
      <c r="J290" s="6"/>
      <c r="K290" s="6"/>
      <c r="L290" s="16">
        <v>4570.7860000000001</v>
      </c>
      <c r="M290" s="16">
        <f t="shared" si="0"/>
        <v>3974.9850000000001</v>
      </c>
    </row>
    <row r="291" spans="1:13" x14ac:dyDescent="0.25">
      <c r="A291" s="5">
        <v>2024</v>
      </c>
      <c r="B291" s="4" t="s">
        <v>13</v>
      </c>
      <c r="C291" s="6">
        <v>724.87</v>
      </c>
      <c r="D291" s="6">
        <v>1709.0770000000002</v>
      </c>
      <c r="E291" s="6"/>
      <c r="F291" s="6"/>
      <c r="G291" s="6"/>
      <c r="H291" s="6"/>
      <c r="I291" s="6">
        <v>8190.6870000000008</v>
      </c>
      <c r="J291" s="6"/>
      <c r="K291" s="6"/>
      <c r="L291" s="16">
        <v>10624.634000000002</v>
      </c>
      <c r="M291" s="16">
        <f t="shared" si="0"/>
        <v>8190.6870000000008</v>
      </c>
    </row>
    <row r="292" spans="1:13" x14ac:dyDescent="0.25">
      <c r="A292" s="5">
        <v>2024</v>
      </c>
      <c r="B292" s="4" t="s">
        <v>14</v>
      </c>
      <c r="C292" s="6">
        <v>127.28400000000001</v>
      </c>
      <c r="D292" s="6">
        <v>2508.4549999999999</v>
      </c>
      <c r="E292" s="6"/>
      <c r="F292" s="6"/>
      <c r="G292" s="6"/>
      <c r="H292" s="6"/>
      <c r="I292" s="6">
        <v>22682.977999999992</v>
      </c>
      <c r="J292" s="6"/>
      <c r="K292" s="6"/>
      <c r="L292" s="16">
        <v>25318.716999999993</v>
      </c>
      <c r="M292" s="16">
        <f t="shared" si="0"/>
        <v>22682.977999999992</v>
      </c>
    </row>
    <row r="293" spans="1:13" x14ac:dyDescent="0.25">
      <c r="A293" s="5">
        <v>2024</v>
      </c>
      <c r="B293" s="4" t="s">
        <v>15</v>
      </c>
      <c r="C293" s="6">
        <v>3181.8610000000003</v>
      </c>
      <c r="D293" s="6">
        <v>1354.873</v>
      </c>
      <c r="E293" s="6">
        <v>1710.895</v>
      </c>
      <c r="F293" s="6"/>
      <c r="G293" s="6"/>
      <c r="H293" s="6"/>
      <c r="I293" s="6">
        <v>97661.014999999999</v>
      </c>
      <c r="J293" s="6"/>
      <c r="K293" s="6"/>
      <c r="L293" s="16">
        <v>103908.644</v>
      </c>
      <c r="M293" s="16">
        <f t="shared" si="0"/>
        <v>97661.014999999999</v>
      </c>
    </row>
  </sheetData>
  <autoFilter ref="A2:L293" xr:uid="{1A774602-C0D9-44FB-AB9C-0B56AFC3DE03}"/>
  <conditionalFormatting sqref="I282:I2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{32627561-69C3-4EE0-A9F5-3292AD0DDA52}</x14:id>
        </ext>
      </extLst>
    </cfRule>
  </conditionalFormatting>
  <pageMargins left="0.7" right="0.7" top="0.75" bottom="0.75" header="0.3" footer="0.3"/>
  <ignoredErrors>
    <ignoredError sqref="M282:M29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27561-69C3-4EE0-A9F5-3292AD0DD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I282:I293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25D-6256-40CD-9A09-F86E9C4118F1}">
  <dimension ref="A1:AD170"/>
  <sheetViews>
    <sheetView topLeftCell="A125" workbookViewId="0">
      <selection activeCell="A2" sqref="A2:I143"/>
    </sheetView>
  </sheetViews>
  <sheetFormatPr defaultColWidth="11.42578125" defaultRowHeight="15" x14ac:dyDescent="0.25"/>
  <cols>
    <col min="3" max="8" width="8.140625" style="1" customWidth="1"/>
    <col min="9" max="9" width="12.5703125" style="1" bestFit="1" customWidth="1"/>
    <col min="11" max="11" width="17" bestFit="1" customWidth="1"/>
    <col min="12" max="12" width="18.42578125" bestFit="1" customWidth="1"/>
    <col min="13" max="18" width="7.5703125" style="1" customWidth="1"/>
    <col min="19" max="19" width="12.5703125" style="1" bestFit="1" customWidth="1"/>
    <col min="21" max="21" width="17" bestFit="1" customWidth="1"/>
    <col min="23" max="23" width="8" style="2" bestFit="1" customWidth="1"/>
    <col min="24" max="24" width="10" style="2" bestFit="1" customWidth="1"/>
    <col min="25" max="25" width="6" style="2" bestFit="1" customWidth="1"/>
    <col min="26" max="27" width="9" style="2" bestFit="1" customWidth="1"/>
    <col min="28" max="28" width="6" style="2" bestFit="1" customWidth="1"/>
    <col min="29" max="29" width="12.5703125" style="2" bestFit="1" customWidth="1"/>
  </cols>
  <sheetData>
    <row r="1" spans="1:29" x14ac:dyDescent="0.25">
      <c r="A1" s="3" t="s">
        <v>0</v>
      </c>
      <c r="K1" s="3" t="s">
        <v>17</v>
      </c>
      <c r="T1" s="1"/>
      <c r="U1" s="3" t="s">
        <v>16</v>
      </c>
      <c r="V1" s="1"/>
    </row>
    <row r="2" spans="1:29" s="9" customFormat="1" x14ac:dyDescent="0.25">
      <c r="A2" s="7" t="s">
        <v>1</v>
      </c>
      <c r="B2" s="7" t="s">
        <v>2</v>
      </c>
      <c r="C2" s="8">
        <v>5</v>
      </c>
      <c r="D2" s="8">
        <v>7</v>
      </c>
      <c r="E2" s="8">
        <v>8</v>
      </c>
      <c r="F2" s="8">
        <v>9</v>
      </c>
      <c r="G2" s="8">
        <v>14</v>
      </c>
      <c r="H2" s="8">
        <v>10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10">
        <v>5</v>
      </c>
      <c r="X2" s="10">
        <v>8</v>
      </c>
      <c r="Y2" s="10">
        <v>9</v>
      </c>
      <c r="Z2" s="10">
        <v>14</v>
      </c>
      <c r="AA2" s="10">
        <v>10</v>
      </c>
      <c r="AB2" s="10">
        <v>11</v>
      </c>
      <c r="AC2" s="10" t="s">
        <v>3</v>
      </c>
    </row>
    <row r="3" spans="1:29" x14ac:dyDescent="0.25">
      <c r="A3" s="5">
        <v>2011</v>
      </c>
      <c r="B3" s="4" t="s">
        <v>4</v>
      </c>
      <c r="C3" s="6"/>
      <c r="D3" s="6">
        <v>0.97499999999999998</v>
      </c>
      <c r="E3" s="6">
        <v>147.25900000000001</v>
      </c>
      <c r="F3" s="6"/>
      <c r="G3" s="6"/>
      <c r="H3" s="6">
        <v>164.06899999999996</v>
      </c>
      <c r="I3" s="6">
        <v>312.303</v>
      </c>
      <c r="K3" s="5">
        <v>2011</v>
      </c>
      <c r="L3" s="4" t="s">
        <v>4</v>
      </c>
      <c r="M3" s="6"/>
      <c r="N3" s="6"/>
      <c r="O3" s="6"/>
      <c r="P3" s="6"/>
      <c r="Q3" s="6"/>
      <c r="R3" s="6">
        <v>7.721000000000001</v>
      </c>
      <c r="S3" s="6">
        <v>7.721000000000001</v>
      </c>
      <c r="U3" s="5">
        <v>2011</v>
      </c>
      <c r="V3" s="4" t="s">
        <v>4</v>
      </c>
      <c r="W3" s="6"/>
      <c r="X3" s="6"/>
      <c r="Y3" s="6"/>
      <c r="Z3" s="6"/>
      <c r="AA3" s="6">
        <v>32.152000000000001</v>
      </c>
      <c r="AB3" s="6"/>
      <c r="AC3" s="6">
        <v>32.152000000000001</v>
      </c>
    </row>
    <row r="4" spans="1:29" x14ac:dyDescent="0.25">
      <c r="A4" s="5">
        <v>2011</v>
      </c>
      <c r="B4" s="4" t="s">
        <v>5</v>
      </c>
      <c r="C4" s="6">
        <v>11.14</v>
      </c>
      <c r="D4" s="6"/>
      <c r="E4" s="6"/>
      <c r="F4" s="6"/>
      <c r="G4" s="6"/>
      <c r="H4" s="6">
        <v>413.28899999999993</v>
      </c>
      <c r="I4" s="6">
        <v>424.42899999999992</v>
      </c>
      <c r="K4" s="5">
        <v>2011</v>
      </c>
      <c r="L4" s="4" t="s">
        <v>5</v>
      </c>
      <c r="M4" s="6"/>
      <c r="N4" s="6"/>
      <c r="O4" s="6">
        <v>9742.2970000000059</v>
      </c>
      <c r="P4" s="6"/>
      <c r="Q4" s="6">
        <v>8454.1820000000007</v>
      </c>
      <c r="R4" s="6">
        <v>3316.0030000000006</v>
      </c>
      <c r="S4" s="6">
        <v>21512.482000000007</v>
      </c>
      <c r="U4" s="5">
        <v>2011</v>
      </c>
      <c r="V4" s="4" t="s">
        <v>5</v>
      </c>
      <c r="W4" s="6"/>
      <c r="X4" s="6">
        <v>57.110000000000007</v>
      </c>
      <c r="Y4" s="6"/>
      <c r="Z4" s="6">
        <v>3.8979999999999997</v>
      </c>
      <c r="AA4" s="6">
        <v>4.53</v>
      </c>
      <c r="AB4" s="6"/>
      <c r="AC4" s="6">
        <v>65.538000000000011</v>
      </c>
    </row>
    <row r="5" spans="1:29" x14ac:dyDescent="0.25">
      <c r="A5" s="5">
        <v>2011</v>
      </c>
      <c r="B5" s="4" t="s">
        <v>6</v>
      </c>
      <c r="C5" s="6">
        <v>0.185</v>
      </c>
      <c r="D5" s="6"/>
      <c r="E5" s="6">
        <v>47.475000000000001</v>
      </c>
      <c r="F5" s="6"/>
      <c r="G5" s="6">
        <v>65.551999999999992</v>
      </c>
      <c r="H5" s="6">
        <v>104.736</v>
      </c>
      <c r="I5" s="6">
        <v>217.94799999999998</v>
      </c>
      <c r="K5" s="5">
        <v>2011</v>
      </c>
      <c r="L5" s="4" t="s">
        <v>6</v>
      </c>
      <c r="M5" s="6">
        <v>3457.1839999999984</v>
      </c>
      <c r="N5" s="6"/>
      <c r="O5" s="6">
        <v>260455.41100000055</v>
      </c>
      <c r="P5" s="6">
        <v>2.1</v>
      </c>
      <c r="Q5" s="6">
        <v>24150.016</v>
      </c>
      <c r="R5" s="6">
        <v>849.71999999999935</v>
      </c>
      <c r="S5" s="6">
        <v>288914.43100000051</v>
      </c>
      <c r="U5" s="5">
        <v>2011</v>
      </c>
      <c r="V5" s="4" t="s">
        <v>6</v>
      </c>
      <c r="W5" s="6">
        <v>1202.7229999999997</v>
      </c>
      <c r="X5" s="6">
        <v>21188.03800000004</v>
      </c>
      <c r="Y5" s="6">
        <v>1</v>
      </c>
      <c r="Z5" s="6">
        <v>189.251</v>
      </c>
      <c r="AA5" s="6">
        <v>43.731000000000002</v>
      </c>
      <c r="AB5" s="6"/>
      <c r="AC5" s="6">
        <v>22624.743000000039</v>
      </c>
    </row>
    <row r="6" spans="1:29" x14ac:dyDescent="0.25">
      <c r="A6" s="5">
        <v>2011</v>
      </c>
      <c r="B6" s="4" t="s">
        <v>7</v>
      </c>
      <c r="C6" s="6">
        <v>0.04</v>
      </c>
      <c r="D6" s="6"/>
      <c r="E6" s="6">
        <v>308.94900000000001</v>
      </c>
      <c r="F6" s="6"/>
      <c r="G6" s="6"/>
      <c r="H6" s="6">
        <v>10.856</v>
      </c>
      <c r="I6" s="6">
        <v>319.84500000000003</v>
      </c>
      <c r="K6" s="5">
        <v>2011</v>
      </c>
      <c r="L6" s="4" t="s">
        <v>7</v>
      </c>
      <c r="M6" s="6">
        <v>4322.9939999999979</v>
      </c>
      <c r="N6" s="6"/>
      <c r="O6" s="6">
        <v>134487.90699999957</v>
      </c>
      <c r="P6" s="6">
        <v>0.30000000000000004</v>
      </c>
      <c r="Q6" s="6">
        <v>19150.477999999996</v>
      </c>
      <c r="R6" s="6">
        <v>337.00500000000005</v>
      </c>
      <c r="S6" s="6">
        <v>158298.68399999957</v>
      </c>
      <c r="U6" s="5">
        <v>2011</v>
      </c>
      <c r="V6" s="4" t="s">
        <v>7</v>
      </c>
      <c r="W6" s="6">
        <v>847.82499999999993</v>
      </c>
      <c r="X6" s="6">
        <v>43033.465000000004</v>
      </c>
      <c r="Y6" s="6">
        <v>0.05</v>
      </c>
      <c r="Z6" s="6">
        <v>228.39399999999995</v>
      </c>
      <c r="AA6" s="6">
        <v>227.62999999999997</v>
      </c>
      <c r="AB6" s="6"/>
      <c r="AC6" s="6">
        <v>44337.364000000001</v>
      </c>
    </row>
    <row r="7" spans="1:29" x14ac:dyDescent="0.25">
      <c r="A7" s="5">
        <v>2011</v>
      </c>
      <c r="B7" s="4" t="s">
        <v>8</v>
      </c>
      <c r="C7" s="6"/>
      <c r="D7" s="6"/>
      <c r="E7" s="6">
        <v>1192.251</v>
      </c>
      <c r="F7" s="6"/>
      <c r="G7" s="6"/>
      <c r="H7" s="6"/>
      <c r="I7" s="6">
        <v>1192.251</v>
      </c>
      <c r="K7" s="5">
        <v>2011</v>
      </c>
      <c r="L7" s="4" t="s">
        <v>8</v>
      </c>
      <c r="M7" s="6">
        <v>2224.4849999999997</v>
      </c>
      <c r="N7" s="6"/>
      <c r="O7" s="6">
        <v>39786.818000000043</v>
      </c>
      <c r="P7" s="6"/>
      <c r="Q7" s="6">
        <v>4568.5600000000004</v>
      </c>
      <c r="R7" s="6">
        <v>338.15300000000008</v>
      </c>
      <c r="S7" s="6">
        <v>46918.01600000004</v>
      </c>
      <c r="U7" s="5">
        <v>2011</v>
      </c>
      <c r="V7" s="4" t="s">
        <v>8</v>
      </c>
      <c r="W7" s="6">
        <v>342.29499999999996</v>
      </c>
      <c r="X7" s="6">
        <v>11909.330999999998</v>
      </c>
      <c r="Y7" s="6"/>
      <c r="Z7" s="6">
        <v>3.7399999999999998</v>
      </c>
      <c r="AA7" s="6">
        <v>452.05900000000008</v>
      </c>
      <c r="AB7" s="6"/>
      <c r="AC7" s="6">
        <v>12707.424999999997</v>
      </c>
    </row>
    <row r="8" spans="1:29" x14ac:dyDescent="0.25">
      <c r="A8" s="5">
        <v>2011</v>
      </c>
      <c r="B8" s="4" t="s">
        <v>9</v>
      </c>
      <c r="C8" s="6">
        <v>5</v>
      </c>
      <c r="D8" s="6"/>
      <c r="E8" s="6">
        <v>376.87800000000004</v>
      </c>
      <c r="F8" s="6"/>
      <c r="G8" s="6"/>
      <c r="H8" s="6"/>
      <c r="I8" s="6">
        <v>381.87800000000004</v>
      </c>
      <c r="K8" s="5">
        <v>2011</v>
      </c>
      <c r="L8" s="4" t="s">
        <v>9</v>
      </c>
      <c r="M8" s="6">
        <v>283.45499999999998</v>
      </c>
      <c r="N8" s="6"/>
      <c r="O8" s="6">
        <v>13517.038000000008</v>
      </c>
      <c r="P8" s="6"/>
      <c r="Q8" s="6">
        <v>5146.880000000001</v>
      </c>
      <c r="R8" s="6">
        <v>139.90700000000001</v>
      </c>
      <c r="S8" s="6">
        <v>19087.280000000006</v>
      </c>
      <c r="U8" s="5">
        <v>2011</v>
      </c>
      <c r="V8" s="4" t="s">
        <v>9</v>
      </c>
      <c r="W8" s="6"/>
      <c r="X8" s="6">
        <v>1496.8119999999997</v>
      </c>
      <c r="Y8" s="6"/>
      <c r="Z8" s="6">
        <v>43.317999999999998</v>
      </c>
      <c r="AA8" s="6">
        <v>400.00099999999986</v>
      </c>
      <c r="AB8" s="6"/>
      <c r="AC8" s="6">
        <v>1940.1309999999994</v>
      </c>
    </row>
    <row r="9" spans="1:29" x14ac:dyDescent="0.25">
      <c r="A9" s="5">
        <v>2011</v>
      </c>
      <c r="B9" s="4" t="s">
        <v>10</v>
      </c>
      <c r="C9" s="6">
        <v>61.634999999999998</v>
      </c>
      <c r="D9" s="6"/>
      <c r="E9" s="6">
        <v>151.898</v>
      </c>
      <c r="F9" s="6"/>
      <c r="G9" s="6"/>
      <c r="H9" s="6"/>
      <c r="I9" s="6">
        <v>213.53299999999999</v>
      </c>
      <c r="K9" s="5">
        <v>2011</v>
      </c>
      <c r="L9" s="4" t="s">
        <v>10</v>
      </c>
      <c r="M9" s="6">
        <v>207.50500000000005</v>
      </c>
      <c r="N9" s="6"/>
      <c r="O9" s="6">
        <v>12179.738999999992</v>
      </c>
      <c r="P9" s="6"/>
      <c r="Q9" s="6">
        <v>2780.7379999999994</v>
      </c>
      <c r="R9" s="6">
        <v>12.113000000000001</v>
      </c>
      <c r="S9" s="6">
        <v>15180.09499999999</v>
      </c>
      <c r="U9" s="5">
        <v>2011</v>
      </c>
      <c r="V9" s="4" t="s">
        <v>10</v>
      </c>
      <c r="W9" s="6"/>
      <c r="X9" s="6">
        <v>590.34299999999996</v>
      </c>
      <c r="Y9" s="6"/>
      <c r="Z9" s="6">
        <v>199.07499999999996</v>
      </c>
      <c r="AA9" s="6">
        <v>119.26200000000001</v>
      </c>
      <c r="AB9" s="6"/>
      <c r="AC9" s="6">
        <v>908.68</v>
      </c>
    </row>
    <row r="10" spans="1:29" x14ac:dyDescent="0.25">
      <c r="A10" s="5">
        <v>2011</v>
      </c>
      <c r="B10" s="4" t="s">
        <v>11</v>
      </c>
      <c r="C10" s="6">
        <v>4.76</v>
      </c>
      <c r="D10" s="6">
        <v>2.1850000000000001</v>
      </c>
      <c r="E10" s="6">
        <v>877.85699999999997</v>
      </c>
      <c r="F10" s="6"/>
      <c r="G10" s="6"/>
      <c r="H10" s="6"/>
      <c r="I10" s="6">
        <v>884.80200000000002</v>
      </c>
      <c r="K10" s="5">
        <v>2011</v>
      </c>
      <c r="L10" s="4" t="s">
        <v>11</v>
      </c>
      <c r="M10" s="6">
        <v>23.47</v>
      </c>
      <c r="N10" s="6"/>
      <c r="O10" s="6">
        <v>16631.609000000008</v>
      </c>
      <c r="P10" s="6"/>
      <c r="Q10" s="6">
        <v>211.994</v>
      </c>
      <c r="R10" s="6">
        <v>38.884999999999998</v>
      </c>
      <c r="S10" s="6">
        <v>16905.958000000006</v>
      </c>
      <c r="U10" s="5">
        <v>2011</v>
      </c>
      <c r="V10" s="4" t="s">
        <v>11</v>
      </c>
      <c r="W10" s="6"/>
      <c r="X10" s="6">
        <v>142.24699999999999</v>
      </c>
      <c r="Y10" s="6"/>
      <c r="Z10" s="6"/>
      <c r="AA10" s="6">
        <v>227.53400000000002</v>
      </c>
      <c r="AB10" s="6"/>
      <c r="AC10" s="6">
        <v>369.78100000000001</v>
      </c>
    </row>
    <row r="11" spans="1:29" x14ac:dyDescent="0.25">
      <c r="A11" s="5">
        <v>2011</v>
      </c>
      <c r="B11" s="4" t="s">
        <v>12</v>
      </c>
      <c r="C11" s="6">
        <v>85.32</v>
      </c>
      <c r="D11" s="6"/>
      <c r="E11" s="6">
        <v>1941.6169999999997</v>
      </c>
      <c r="F11" s="6"/>
      <c r="G11" s="6"/>
      <c r="H11" s="6">
        <v>0.03</v>
      </c>
      <c r="I11" s="6">
        <v>2026.9669999999996</v>
      </c>
      <c r="K11" s="5">
        <v>2011</v>
      </c>
      <c r="L11" s="4" t="s">
        <v>12</v>
      </c>
      <c r="M11" s="6"/>
      <c r="N11" s="6"/>
      <c r="O11" s="6">
        <v>835.08</v>
      </c>
      <c r="P11" s="6"/>
      <c r="Q11" s="6"/>
      <c r="R11" s="6">
        <v>3.0700000000000003</v>
      </c>
      <c r="S11" s="6">
        <v>838.15000000000009</v>
      </c>
      <c r="U11" s="5">
        <v>2011</v>
      </c>
      <c r="V11" s="4" t="s">
        <v>12</v>
      </c>
      <c r="W11" s="6"/>
      <c r="X11" s="6">
        <v>8.61</v>
      </c>
      <c r="Y11" s="6"/>
      <c r="Z11" s="6"/>
      <c r="AA11" s="6">
        <v>20.634999999999998</v>
      </c>
      <c r="AB11" s="6"/>
      <c r="AC11" s="6">
        <v>29.244999999999997</v>
      </c>
    </row>
    <row r="12" spans="1:29" x14ac:dyDescent="0.25">
      <c r="A12" s="5">
        <v>2011</v>
      </c>
      <c r="B12" s="4" t="s">
        <v>13</v>
      </c>
      <c r="C12" s="6">
        <v>14.5</v>
      </c>
      <c r="D12" s="6"/>
      <c r="E12" s="6">
        <v>16.171999999999997</v>
      </c>
      <c r="F12" s="6"/>
      <c r="G12" s="6"/>
      <c r="H12" s="6"/>
      <c r="I12" s="6">
        <v>30.671999999999997</v>
      </c>
      <c r="K12" s="5">
        <v>2011</v>
      </c>
      <c r="L12" s="4" t="s">
        <v>13</v>
      </c>
      <c r="M12" s="6">
        <v>114.72</v>
      </c>
      <c r="N12" s="6"/>
      <c r="O12" s="6">
        <v>36493.037000000062</v>
      </c>
      <c r="P12" s="6">
        <v>0.75</v>
      </c>
      <c r="Q12" s="6">
        <v>2110.2080000000001</v>
      </c>
      <c r="R12" s="6">
        <v>2.8</v>
      </c>
      <c r="S12" s="6">
        <v>38721.515000000065</v>
      </c>
      <c r="U12" s="5">
        <v>2011</v>
      </c>
      <c r="V12" s="4" t="s">
        <v>13</v>
      </c>
      <c r="W12" s="6"/>
      <c r="X12" s="6">
        <v>2957.7400000000007</v>
      </c>
      <c r="Y12" s="6">
        <v>0.7</v>
      </c>
      <c r="Z12" s="6"/>
      <c r="AA12" s="6">
        <v>1.47</v>
      </c>
      <c r="AB12" s="6"/>
      <c r="AC12" s="6">
        <v>2959.9100000000003</v>
      </c>
    </row>
    <row r="13" spans="1:29" x14ac:dyDescent="0.25">
      <c r="A13" s="5">
        <v>2011</v>
      </c>
      <c r="B13" s="4" t="s">
        <v>14</v>
      </c>
      <c r="C13" s="6">
        <v>16.5</v>
      </c>
      <c r="D13" s="6">
        <v>0.52900000000000003</v>
      </c>
      <c r="E13" s="6">
        <v>0.97299999999999998</v>
      </c>
      <c r="F13" s="6"/>
      <c r="G13" s="6"/>
      <c r="H13" s="6"/>
      <c r="I13" s="6">
        <v>18.001999999999999</v>
      </c>
      <c r="K13" s="5">
        <v>2011</v>
      </c>
      <c r="L13" s="4" t="s">
        <v>14</v>
      </c>
      <c r="M13" s="6">
        <v>1439.4450000000002</v>
      </c>
      <c r="N13" s="6"/>
      <c r="O13" s="6">
        <v>41879.769999999888</v>
      </c>
      <c r="P13" s="6">
        <v>0.85</v>
      </c>
      <c r="Q13" s="6">
        <v>12913.214</v>
      </c>
      <c r="R13" s="6">
        <v>79.956999999999979</v>
      </c>
      <c r="S13" s="6">
        <v>56313.235999999888</v>
      </c>
      <c r="U13" s="5">
        <v>2011</v>
      </c>
      <c r="V13" s="4" t="s">
        <v>14</v>
      </c>
      <c r="W13" s="6"/>
      <c r="X13" s="6">
        <v>2642.9930000000004</v>
      </c>
      <c r="Y13" s="6">
        <v>0.9</v>
      </c>
      <c r="Z13" s="6">
        <v>10.443999999999999</v>
      </c>
      <c r="AA13" s="6">
        <v>10.786</v>
      </c>
      <c r="AB13" s="6"/>
      <c r="AC13" s="6">
        <v>2665.1230000000005</v>
      </c>
    </row>
    <row r="14" spans="1:29" x14ac:dyDescent="0.25">
      <c r="A14" s="5">
        <v>2011</v>
      </c>
      <c r="B14" s="4" t="s">
        <v>15</v>
      </c>
      <c r="C14" s="6">
        <v>22.515000000000001</v>
      </c>
      <c r="D14" s="6">
        <v>8.7750000000000004</v>
      </c>
      <c r="E14" s="6">
        <v>30.42</v>
      </c>
      <c r="F14" s="6"/>
      <c r="G14" s="6"/>
      <c r="H14" s="6">
        <v>2.0699999999999998</v>
      </c>
      <c r="I14" s="6">
        <v>63.78</v>
      </c>
      <c r="K14" s="5">
        <v>2011</v>
      </c>
      <c r="L14" s="4" t="s">
        <v>15</v>
      </c>
      <c r="M14" s="6">
        <v>487.64499999999998</v>
      </c>
      <c r="N14" s="6">
        <v>4.0000000000000001E-3</v>
      </c>
      <c r="O14" s="6">
        <v>7875.0159999999969</v>
      </c>
      <c r="P14" s="6"/>
      <c r="Q14" s="6">
        <v>5210.2799999999979</v>
      </c>
      <c r="R14" s="6">
        <v>1539.415</v>
      </c>
      <c r="S14" s="6">
        <v>15112.359999999997</v>
      </c>
      <c r="U14" s="5">
        <v>2011</v>
      </c>
      <c r="V14" s="4" t="s">
        <v>15</v>
      </c>
      <c r="W14" s="6"/>
      <c r="X14" s="6">
        <v>907.12199999999996</v>
      </c>
      <c r="Y14" s="6"/>
      <c r="Z14" s="6">
        <v>47.5</v>
      </c>
      <c r="AA14" s="6">
        <v>4</v>
      </c>
      <c r="AB14" s="6"/>
      <c r="AC14" s="6">
        <v>958.62199999999996</v>
      </c>
    </row>
    <row r="15" spans="1:29" x14ac:dyDescent="0.25">
      <c r="A15" s="5">
        <v>2012</v>
      </c>
      <c r="B15" s="4" t="s">
        <v>4</v>
      </c>
      <c r="C15" s="6">
        <v>8.8000000000000007</v>
      </c>
      <c r="D15" s="6"/>
      <c r="E15" s="6">
        <v>251.75</v>
      </c>
      <c r="F15" s="6"/>
      <c r="G15" s="6"/>
      <c r="H15" s="6">
        <v>214.98899999999998</v>
      </c>
      <c r="I15" s="6">
        <v>475.53899999999999</v>
      </c>
      <c r="K15" s="5">
        <v>2012</v>
      </c>
      <c r="L15" s="4" t="s">
        <v>4</v>
      </c>
      <c r="M15" s="6"/>
      <c r="N15" s="6"/>
      <c r="O15" s="6">
        <v>0.3</v>
      </c>
      <c r="P15" s="6"/>
      <c r="Q15" s="6"/>
      <c r="R15" s="6"/>
      <c r="S15" s="6">
        <v>0.3</v>
      </c>
      <c r="U15" s="5">
        <v>2012</v>
      </c>
      <c r="V15" s="4" t="s">
        <v>4</v>
      </c>
      <c r="W15" s="6"/>
      <c r="X15" s="6"/>
      <c r="Y15" s="6"/>
      <c r="Z15" s="6"/>
      <c r="AA15" s="6">
        <v>3.8</v>
      </c>
      <c r="AB15" s="6"/>
      <c r="AC15" s="6">
        <v>3.8</v>
      </c>
    </row>
    <row r="16" spans="1:29" x14ac:dyDescent="0.25">
      <c r="A16" s="5">
        <v>2012</v>
      </c>
      <c r="B16" s="4" t="s">
        <v>5</v>
      </c>
      <c r="C16" s="6">
        <v>2.5</v>
      </c>
      <c r="D16" s="6"/>
      <c r="E16" s="6"/>
      <c r="F16" s="6"/>
      <c r="G16" s="6"/>
      <c r="H16" s="6">
        <v>389.62999999999988</v>
      </c>
      <c r="I16" s="6">
        <v>392.12999999999988</v>
      </c>
      <c r="K16" s="5">
        <v>2012</v>
      </c>
      <c r="L16" s="4" t="s">
        <v>5</v>
      </c>
      <c r="M16" s="6"/>
      <c r="N16" s="6"/>
      <c r="O16" s="6"/>
      <c r="P16" s="6"/>
      <c r="Q16" s="6">
        <v>13114.677999999994</v>
      </c>
      <c r="R16" s="6">
        <v>3102.2620000000002</v>
      </c>
      <c r="S16" s="6">
        <v>16216.939999999995</v>
      </c>
      <c r="U16" s="5">
        <v>2012</v>
      </c>
      <c r="V16" s="4" t="s">
        <v>5</v>
      </c>
      <c r="W16" s="6"/>
      <c r="X16" s="6"/>
      <c r="Y16" s="6"/>
      <c r="Z16" s="6"/>
      <c r="AA16" s="6">
        <v>1.9460000000000002</v>
      </c>
      <c r="AB16" s="6"/>
      <c r="AC16" s="6">
        <v>1.9460000000000002</v>
      </c>
    </row>
    <row r="17" spans="1:29" x14ac:dyDescent="0.25">
      <c r="A17" s="5">
        <v>2012</v>
      </c>
      <c r="B17" s="4" t="s">
        <v>6</v>
      </c>
      <c r="C17" s="6">
        <v>251.77499999999998</v>
      </c>
      <c r="D17" s="6"/>
      <c r="E17" s="6">
        <v>30.305000000000003</v>
      </c>
      <c r="F17" s="6"/>
      <c r="G17" s="6"/>
      <c r="H17" s="6"/>
      <c r="I17" s="6">
        <v>282.08</v>
      </c>
      <c r="K17" s="5">
        <v>2012</v>
      </c>
      <c r="L17" s="4" t="s">
        <v>6</v>
      </c>
      <c r="M17" s="6">
        <v>71.45</v>
      </c>
      <c r="N17" s="6"/>
      <c r="O17" s="6">
        <v>191189.53399999975</v>
      </c>
      <c r="P17" s="6">
        <v>5.37</v>
      </c>
      <c r="Q17" s="6">
        <v>23251.531999999967</v>
      </c>
      <c r="R17" s="6">
        <v>6881.1089999999976</v>
      </c>
      <c r="S17" s="6">
        <v>221398.99499999973</v>
      </c>
      <c r="U17" s="5">
        <v>2012</v>
      </c>
      <c r="V17" s="4" t="s">
        <v>6</v>
      </c>
      <c r="W17" s="6">
        <v>19.824999999999999</v>
      </c>
      <c r="X17" s="6">
        <v>5220.472999999999</v>
      </c>
      <c r="Y17" s="6">
        <v>2.38</v>
      </c>
      <c r="Z17" s="6">
        <v>340.55500000000001</v>
      </c>
      <c r="AA17" s="6">
        <v>11.512999999999998</v>
      </c>
      <c r="AB17" s="6"/>
      <c r="AC17" s="6">
        <v>5594.7459999999992</v>
      </c>
    </row>
    <row r="18" spans="1:29" x14ac:dyDescent="0.25">
      <c r="A18" s="5">
        <v>2012</v>
      </c>
      <c r="B18" s="4" t="s">
        <v>7</v>
      </c>
      <c r="C18" s="6">
        <v>63.370000000000005</v>
      </c>
      <c r="D18" s="6"/>
      <c r="E18" s="6">
        <v>94.872</v>
      </c>
      <c r="F18" s="6"/>
      <c r="G18" s="6"/>
      <c r="H18" s="6"/>
      <c r="I18" s="6">
        <v>158.24200000000002</v>
      </c>
      <c r="K18" s="5">
        <v>2012</v>
      </c>
      <c r="L18" s="4" t="s">
        <v>7</v>
      </c>
      <c r="M18" s="6">
        <v>3068.6849999999999</v>
      </c>
      <c r="N18" s="6"/>
      <c r="O18" s="6">
        <v>139241.0070000001</v>
      </c>
      <c r="P18" s="6">
        <v>1</v>
      </c>
      <c r="Q18" s="6">
        <v>17010.01100000001</v>
      </c>
      <c r="R18" s="6">
        <v>6099.8360000000057</v>
      </c>
      <c r="S18" s="6">
        <v>165420.53900000011</v>
      </c>
      <c r="U18" s="5">
        <v>2012</v>
      </c>
      <c r="V18" s="4" t="s">
        <v>7</v>
      </c>
      <c r="W18" s="6">
        <v>763.06099999999981</v>
      </c>
      <c r="X18" s="6">
        <v>27617.207999999988</v>
      </c>
      <c r="Y18" s="6">
        <v>0.02</v>
      </c>
      <c r="Z18" s="6">
        <v>15.657</v>
      </c>
      <c r="AA18" s="6">
        <v>53.686999999999998</v>
      </c>
      <c r="AB18" s="6"/>
      <c r="AC18" s="6">
        <v>28449.632999999991</v>
      </c>
    </row>
    <row r="19" spans="1:29" x14ac:dyDescent="0.25">
      <c r="A19" s="5">
        <v>2012</v>
      </c>
      <c r="B19" s="4" t="s">
        <v>8</v>
      </c>
      <c r="C19" s="6">
        <v>39.46</v>
      </c>
      <c r="D19" s="6">
        <v>2.4300000000000002</v>
      </c>
      <c r="E19" s="6">
        <v>119.33599999999998</v>
      </c>
      <c r="F19" s="6"/>
      <c r="G19" s="6"/>
      <c r="H19" s="6"/>
      <c r="I19" s="6">
        <v>161.226</v>
      </c>
      <c r="K19" s="5">
        <v>2012</v>
      </c>
      <c r="L19" s="4" t="s">
        <v>8</v>
      </c>
      <c r="M19" s="6">
        <v>2446.4850000000006</v>
      </c>
      <c r="N19" s="6"/>
      <c r="O19" s="6">
        <v>26351.084000000017</v>
      </c>
      <c r="P19" s="6">
        <v>0.4</v>
      </c>
      <c r="Q19" s="6">
        <v>12764.364000000007</v>
      </c>
      <c r="R19" s="6">
        <v>900.68100000000004</v>
      </c>
      <c r="S19" s="6">
        <v>42463.014000000025</v>
      </c>
      <c r="U19" s="5">
        <v>2012</v>
      </c>
      <c r="V19" s="4" t="s">
        <v>8</v>
      </c>
      <c r="W19" s="6">
        <v>588.58999999999992</v>
      </c>
      <c r="X19" s="6">
        <v>9345.4349999999977</v>
      </c>
      <c r="Y19" s="6">
        <v>0.37</v>
      </c>
      <c r="Z19" s="6">
        <v>186.78800000000001</v>
      </c>
      <c r="AA19" s="6">
        <v>3.75</v>
      </c>
      <c r="AB19" s="6"/>
      <c r="AC19" s="6">
        <v>10124.932999999999</v>
      </c>
    </row>
    <row r="20" spans="1:29" x14ac:dyDescent="0.25">
      <c r="A20" s="5">
        <v>2012</v>
      </c>
      <c r="B20" s="4" t="s">
        <v>9</v>
      </c>
      <c r="C20" s="6"/>
      <c r="D20" s="6"/>
      <c r="E20" s="6">
        <v>6.5</v>
      </c>
      <c r="F20" s="6"/>
      <c r="G20" s="6"/>
      <c r="H20" s="6"/>
      <c r="I20" s="6">
        <v>6.5</v>
      </c>
      <c r="K20" s="5">
        <v>2012</v>
      </c>
      <c r="L20" s="4" t="s">
        <v>9</v>
      </c>
      <c r="M20" s="6">
        <v>909.94100000000003</v>
      </c>
      <c r="N20" s="6"/>
      <c r="O20" s="6">
        <v>9244.3829999999962</v>
      </c>
      <c r="P20" s="6">
        <v>2.1</v>
      </c>
      <c r="Q20" s="6">
        <v>2231.2249999999995</v>
      </c>
      <c r="R20" s="6">
        <v>700.70000000000016</v>
      </c>
      <c r="S20" s="6">
        <v>13088.348999999998</v>
      </c>
      <c r="U20" s="5">
        <v>2012</v>
      </c>
      <c r="V20" s="4" t="s">
        <v>9</v>
      </c>
      <c r="W20" s="6">
        <v>191.14</v>
      </c>
      <c r="X20" s="6">
        <v>1983.9309999999998</v>
      </c>
      <c r="Y20" s="6">
        <v>0.3</v>
      </c>
      <c r="Z20" s="6">
        <v>37.980000000000004</v>
      </c>
      <c r="AA20" s="6">
        <v>23.150999999999996</v>
      </c>
      <c r="AB20" s="6"/>
      <c r="AC20" s="6">
        <v>2236.502</v>
      </c>
    </row>
    <row r="21" spans="1:29" x14ac:dyDescent="0.25">
      <c r="A21" s="5">
        <v>2012</v>
      </c>
      <c r="B21" s="4" t="s">
        <v>10</v>
      </c>
      <c r="C21" s="6"/>
      <c r="D21" s="6"/>
      <c r="E21" s="6">
        <v>37.826000000000001</v>
      </c>
      <c r="F21" s="6"/>
      <c r="G21" s="6"/>
      <c r="H21" s="6"/>
      <c r="I21" s="6">
        <v>37.826000000000001</v>
      </c>
      <c r="K21" s="5">
        <v>2012</v>
      </c>
      <c r="L21" s="4" t="s">
        <v>10</v>
      </c>
      <c r="M21" s="6">
        <v>589.97000000000014</v>
      </c>
      <c r="N21" s="6"/>
      <c r="O21" s="6">
        <v>31790.216000000033</v>
      </c>
      <c r="P21" s="6">
        <v>17</v>
      </c>
      <c r="Q21" s="6">
        <v>2475.183</v>
      </c>
      <c r="R21" s="6">
        <v>171.47199999999998</v>
      </c>
      <c r="S21" s="6">
        <v>35043.841000000037</v>
      </c>
      <c r="U21" s="5">
        <v>2012</v>
      </c>
      <c r="V21" s="4" t="s">
        <v>10</v>
      </c>
      <c r="W21" s="6">
        <v>103.71</v>
      </c>
      <c r="X21" s="6">
        <v>1496.1950000000011</v>
      </c>
      <c r="Y21" s="6"/>
      <c r="Z21" s="6">
        <v>76.983000000000004</v>
      </c>
      <c r="AA21" s="6"/>
      <c r="AB21" s="6"/>
      <c r="AC21" s="6">
        <v>1676.8880000000011</v>
      </c>
    </row>
    <row r="22" spans="1:29" x14ac:dyDescent="0.25">
      <c r="A22" s="5">
        <v>2012</v>
      </c>
      <c r="B22" s="4" t="s">
        <v>11</v>
      </c>
      <c r="C22" s="6"/>
      <c r="D22" s="6"/>
      <c r="E22" s="6">
        <v>413.35600000000005</v>
      </c>
      <c r="F22" s="6"/>
      <c r="G22" s="6"/>
      <c r="H22" s="6"/>
      <c r="I22" s="6">
        <v>413.35600000000005</v>
      </c>
      <c r="K22" s="5">
        <v>2012</v>
      </c>
      <c r="L22" s="4" t="s">
        <v>11</v>
      </c>
      <c r="M22" s="6">
        <v>3.9350000000000001</v>
      </c>
      <c r="N22" s="6"/>
      <c r="O22" s="6">
        <v>4387.8419999999996</v>
      </c>
      <c r="P22" s="6"/>
      <c r="Q22" s="6">
        <v>5730.8739999999998</v>
      </c>
      <c r="R22" s="6">
        <v>0.3</v>
      </c>
      <c r="S22" s="6">
        <v>10122.950999999999</v>
      </c>
      <c r="U22" s="5">
        <v>2012</v>
      </c>
      <c r="V22" s="4" t="s">
        <v>11</v>
      </c>
      <c r="W22" s="6"/>
      <c r="X22" s="6">
        <v>58.112000000000002</v>
      </c>
      <c r="Y22" s="6"/>
      <c r="Z22" s="6">
        <v>4.3079999999999998</v>
      </c>
      <c r="AA22" s="6">
        <v>1.2</v>
      </c>
      <c r="AB22" s="6"/>
      <c r="AC22" s="6">
        <v>63.620000000000005</v>
      </c>
    </row>
    <row r="23" spans="1:29" x14ac:dyDescent="0.25">
      <c r="A23" s="5">
        <v>2012</v>
      </c>
      <c r="B23" s="4" t="s">
        <v>12</v>
      </c>
      <c r="C23" s="6"/>
      <c r="D23" s="6"/>
      <c r="E23" s="6">
        <v>1209.9589999999998</v>
      </c>
      <c r="F23" s="6"/>
      <c r="G23" s="6"/>
      <c r="H23" s="6"/>
      <c r="I23" s="6">
        <v>1209.9589999999998</v>
      </c>
      <c r="K23" s="5">
        <v>2012</v>
      </c>
      <c r="L23" s="4" t="s">
        <v>12</v>
      </c>
      <c r="M23" s="6"/>
      <c r="N23" s="6"/>
      <c r="O23" s="6">
        <v>197.26800000000003</v>
      </c>
      <c r="P23" s="6"/>
      <c r="Q23" s="6">
        <v>892.9000000000002</v>
      </c>
      <c r="R23" s="6"/>
      <c r="S23" s="6">
        <v>1090.1680000000001</v>
      </c>
      <c r="U23" s="5">
        <v>2012</v>
      </c>
      <c r="V23" s="4" t="s">
        <v>12</v>
      </c>
      <c r="W23" s="6"/>
      <c r="X23" s="6">
        <v>34.171999999999997</v>
      </c>
      <c r="Y23" s="6"/>
      <c r="Z23" s="6">
        <v>0.01</v>
      </c>
      <c r="AA23" s="6"/>
      <c r="AB23" s="6"/>
      <c r="AC23" s="6">
        <v>34.181999999999995</v>
      </c>
    </row>
    <row r="24" spans="1:29" x14ac:dyDescent="0.25">
      <c r="A24" s="5">
        <v>2012</v>
      </c>
      <c r="B24" s="4" t="s">
        <v>13</v>
      </c>
      <c r="C24" s="6"/>
      <c r="D24" s="6"/>
      <c r="E24" s="6">
        <v>58.199999999999996</v>
      </c>
      <c r="F24" s="6"/>
      <c r="G24" s="6"/>
      <c r="H24" s="6"/>
      <c r="I24" s="6">
        <v>58.199999999999996</v>
      </c>
      <c r="K24" s="5">
        <v>2012</v>
      </c>
      <c r="L24" s="4" t="s">
        <v>13</v>
      </c>
      <c r="M24" s="6">
        <v>1346.8449999999996</v>
      </c>
      <c r="N24" s="6"/>
      <c r="O24" s="6">
        <v>23364.60299999997</v>
      </c>
      <c r="P24" s="6">
        <v>1.2110000000000001</v>
      </c>
      <c r="Q24" s="6">
        <v>10575.268000000004</v>
      </c>
      <c r="R24" s="6"/>
      <c r="S24" s="6">
        <v>35287.926999999974</v>
      </c>
      <c r="U24" s="5">
        <v>2012</v>
      </c>
      <c r="V24" s="4" t="s">
        <v>13</v>
      </c>
      <c r="W24" s="6">
        <v>364.13000000000005</v>
      </c>
      <c r="X24" s="6">
        <v>6461.7729999999929</v>
      </c>
      <c r="Y24" s="6"/>
      <c r="Z24" s="6">
        <v>67.094999999999999</v>
      </c>
      <c r="AA24" s="6"/>
      <c r="AB24" s="6"/>
      <c r="AC24" s="6">
        <v>6892.9979999999932</v>
      </c>
    </row>
    <row r="25" spans="1:29" x14ac:dyDescent="0.25">
      <c r="A25" s="5">
        <v>2012</v>
      </c>
      <c r="B25" s="4" t="s">
        <v>14</v>
      </c>
      <c r="C25" s="6"/>
      <c r="D25" s="6"/>
      <c r="E25" s="6">
        <v>35.954999999999998</v>
      </c>
      <c r="F25" s="6"/>
      <c r="G25" s="6"/>
      <c r="H25" s="6"/>
      <c r="I25" s="6">
        <v>35.954999999999998</v>
      </c>
      <c r="K25" s="5">
        <v>2012</v>
      </c>
      <c r="L25" s="4" t="s">
        <v>14</v>
      </c>
      <c r="M25" s="6">
        <v>1394.1799999999998</v>
      </c>
      <c r="N25" s="6"/>
      <c r="O25" s="6">
        <v>25181.842000000004</v>
      </c>
      <c r="P25" s="6">
        <v>0.6</v>
      </c>
      <c r="Q25" s="6">
        <v>19769.08600000001</v>
      </c>
      <c r="R25" s="6">
        <v>5</v>
      </c>
      <c r="S25" s="6">
        <v>46350.708000000013</v>
      </c>
      <c r="U25" s="5">
        <v>2012</v>
      </c>
      <c r="V25" s="4" t="s">
        <v>14</v>
      </c>
      <c r="W25" s="6">
        <v>463.08</v>
      </c>
      <c r="X25" s="6">
        <v>2790.748000000001</v>
      </c>
      <c r="Y25" s="6">
        <v>0.87</v>
      </c>
      <c r="Z25" s="6">
        <v>228.542</v>
      </c>
      <c r="AA25" s="6"/>
      <c r="AB25" s="6"/>
      <c r="AC25" s="6">
        <v>3483.2400000000007</v>
      </c>
    </row>
    <row r="26" spans="1:29" x14ac:dyDescent="0.25">
      <c r="A26" s="5">
        <v>2012</v>
      </c>
      <c r="B26" s="4" t="s">
        <v>15</v>
      </c>
      <c r="C26" s="6"/>
      <c r="D26" s="6"/>
      <c r="E26" s="6">
        <v>53.378999999999998</v>
      </c>
      <c r="F26" s="6"/>
      <c r="G26" s="6"/>
      <c r="H26" s="6">
        <v>201.65</v>
      </c>
      <c r="I26" s="6">
        <v>255.029</v>
      </c>
      <c r="K26" s="5">
        <v>2012</v>
      </c>
      <c r="L26" s="4" t="s">
        <v>15</v>
      </c>
      <c r="M26" s="6">
        <v>54.550000000000004</v>
      </c>
      <c r="N26" s="6"/>
      <c r="O26" s="6">
        <v>25260.387000000013</v>
      </c>
      <c r="P26" s="6"/>
      <c r="Q26" s="6">
        <v>16767.302</v>
      </c>
      <c r="R26" s="6">
        <v>1239.1659999999999</v>
      </c>
      <c r="S26" s="6">
        <v>43321.405000000013</v>
      </c>
      <c r="U26" s="5">
        <v>2012</v>
      </c>
      <c r="V26" s="4" t="s">
        <v>15</v>
      </c>
      <c r="W26" s="6"/>
      <c r="X26" s="6">
        <v>692.89399999999955</v>
      </c>
      <c r="Y26" s="6"/>
      <c r="Z26" s="6">
        <v>124.67599999999999</v>
      </c>
      <c r="AA26" s="6">
        <v>117.5</v>
      </c>
      <c r="AB26" s="6"/>
      <c r="AC26" s="6">
        <v>935.06999999999948</v>
      </c>
    </row>
    <row r="27" spans="1:29" x14ac:dyDescent="0.25">
      <c r="A27" s="5">
        <v>2013</v>
      </c>
      <c r="B27" s="4" t="s">
        <v>4</v>
      </c>
      <c r="C27" s="6"/>
      <c r="D27" s="6"/>
      <c r="E27" s="6">
        <v>1707.8819999999998</v>
      </c>
      <c r="F27" s="6"/>
      <c r="G27" s="6"/>
      <c r="H27" s="6"/>
      <c r="I27" s="6">
        <v>1707.8819999999998</v>
      </c>
      <c r="K27" s="5">
        <v>2013</v>
      </c>
      <c r="L27" s="4" t="s">
        <v>4</v>
      </c>
      <c r="M27" s="6">
        <v>7</v>
      </c>
      <c r="N27" s="6"/>
      <c r="O27" s="6"/>
      <c r="P27" s="6"/>
      <c r="Q27" s="6"/>
      <c r="R27" s="6">
        <v>361.99</v>
      </c>
      <c r="S27" s="6">
        <v>368.99</v>
      </c>
      <c r="U27" s="5">
        <v>2013</v>
      </c>
      <c r="V27" s="4" t="s">
        <v>5</v>
      </c>
      <c r="W27" s="6"/>
      <c r="X27" s="6"/>
      <c r="Y27" s="6"/>
      <c r="Z27" s="6">
        <v>171.68800000000005</v>
      </c>
      <c r="AA27" s="6">
        <v>9.9420000000000002</v>
      </c>
      <c r="AB27" s="6"/>
      <c r="AC27" s="6">
        <v>181.63000000000005</v>
      </c>
    </row>
    <row r="28" spans="1:29" x14ac:dyDescent="0.25">
      <c r="A28" s="5">
        <v>2013</v>
      </c>
      <c r="B28" s="4" t="s">
        <v>5</v>
      </c>
      <c r="C28" s="6"/>
      <c r="D28" s="6"/>
      <c r="E28" s="6">
        <v>3740.6100000000006</v>
      </c>
      <c r="F28" s="6"/>
      <c r="G28" s="6"/>
      <c r="H28" s="6">
        <v>27.957999999999998</v>
      </c>
      <c r="I28" s="6">
        <v>3768.5680000000007</v>
      </c>
      <c r="K28" s="5">
        <v>2013</v>
      </c>
      <c r="L28" s="4" t="s">
        <v>5</v>
      </c>
      <c r="M28" s="6"/>
      <c r="N28" s="6"/>
      <c r="O28" s="6"/>
      <c r="P28" s="6"/>
      <c r="Q28" s="6">
        <v>9127.4260000000049</v>
      </c>
      <c r="R28" s="6">
        <v>1887.7860000000001</v>
      </c>
      <c r="S28" s="6">
        <v>11015.212000000005</v>
      </c>
      <c r="U28" s="5">
        <v>2013</v>
      </c>
      <c r="V28" s="4" t="s">
        <v>6</v>
      </c>
      <c r="W28" s="6">
        <v>2470.9109999999996</v>
      </c>
      <c r="X28" s="6">
        <v>18043.53</v>
      </c>
      <c r="Y28" s="6">
        <v>7.8E-2</v>
      </c>
      <c r="Z28" s="6">
        <v>320.50300000000004</v>
      </c>
      <c r="AA28" s="6">
        <v>3.1890000000000001</v>
      </c>
      <c r="AB28" s="6"/>
      <c r="AC28" s="6">
        <v>20838.210999999999</v>
      </c>
    </row>
    <row r="29" spans="1:29" x14ac:dyDescent="0.25">
      <c r="A29" s="5">
        <v>2013</v>
      </c>
      <c r="B29" s="4" t="s">
        <v>6</v>
      </c>
      <c r="C29" s="6"/>
      <c r="D29" s="6"/>
      <c r="E29" s="6">
        <v>51.705999999999996</v>
      </c>
      <c r="F29" s="6"/>
      <c r="G29" s="6"/>
      <c r="H29" s="6">
        <v>88.32</v>
      </c>
      <c r="I29" s="6">
        <v>140.02599999999998</v>
      </c>
      <c r="K29" s="5">
        <v>2013</v>
      </c>
      <c r="L29" s="4" t="s">
        <v>6</v>
      </c>
      <c r="M29" s="6">
        <v>2534.9399999999996</v>
      </c>
      <c r="N29" s="6"/>
      <c r="O29" s="6">
        <v>43083.519</v>
      </c>
      <c r="P29" s="6">
        <v>0.05</v>
      </c>
      <c r="Q29" s="6">
        <v>12559.499999999996</v>
      </c>
      <c r="R29" s="6">
        <v>684.11299999999994</v>
      </c>
      <c r="S29" s="6">
        <v>58862.122000000003</v>
      </c>
      <c r="U29" s="5">
        <v>2013</v>
      </c>
      <c r="V29" s="4" t="s">
        <v>7</v>
      </c>
      <c r="W29" s="6">
        <v>1708.7930000000001</v>
      </c>
      <c r="X29" s="6">
        <v>5154.9039999999959</v>
      </c>
      <c r="Y29" s="6"/>
      <c r="Z29" s="6">
        <v>465.38699999999989</v>
      </c>
      <c r="AA29" s="6"/>
      <c r="AB29" s="6"/>
      <c r="AC29" s="6">
        <v>7329.0839999999962</v>
      </c>
    </row>
    <row r="30" spans="1:29" x14ac:dyDescent="0.25">
      <c r="A30" s="5">
        <v>2013</v>
      </c>
      <c r="B30" s="4" t="s">
        <v>7</v>
      </c>
      <c r="C30" s="6"/>
      <c r="D30" s="6"/>
      <c r="E30" s="6">
        <v>0.185</v>
      </c>
      <c r="F30" s="6"/>
      <c r="G30" s="6">
        <v>15.382000000000001</v>
      </c>
      <c r="H30" s="6"/>
      <c r="I30" s="6">
        <v>15.567000000000002</v>
      </c>
      <c r="K30" s="5">
        <v>2013</v>
      </c>
      <c r="L30" s="4" t="s">
        <v>7</v>
      </c>
      <c r="M30" s="6">
        <v>2099.5920000000001</v>
      </c>
      <c r="N30" s="6"/>
      <c r="O30" s="6">
        <v>11785.490999999991</v>
      </c>
      <c r="P30" s="6"/>
      <c r="Q30" s="6">
        <v>8409.4709999999995</v>
      </c>
      <c r="R30" s="6">
        <v>30.451000000000001</v>
      </c>
      <c r="S30" s="6">
        <v>22325.00499999999</v>
      </c>
      <c r="U30" s="5">
        <v>2013</v>
      </c>
      <c r="V30" s="4" t="s">
        <v>8</v>
      </c>
      <c r="W30" s="6">
        <v>321.37199999999996</v>
      </c>
      <c r="X30" s="6">
        <v>1601.1420000000005</v>
      </c>
      <c r="Y30" s="6"/>
      <c r="Z30" s="6">
        <v>467.77500000000003</v>
      </c>
      <c r="AA30" s="6">
        <v>84.778999999999996</v>
      </c>
      <c r="AB30" s="6"/>
      <c r="AC30" s="6">
        <v>2475.0680000000007</v>
      </c>
    </row>
    <row r="31" spans="1:29" x14ac:dyDescent="0.25">
      <c r="A31" s="5">
        <v>2013</v>
      </c>
      <c r="B31" s="4" t="s">
        <v>14</v>
      </c>
      <c r="C31" s="6"/>
      <c r="D31" s="6"/>
      <c r="E31" s="6"/>
      <c r="F31" s="6"/>
      <c r="G31" s="6">
        <v>2.8000000000000001E-2</v>
      </c>
      <c r="H31" s="6"/>
      <c r="I31" s="6">
        <v>2.8000000000000001E-2</v>
      </c>
      <c r="K31" s="5">
        <v>2013</v>
      </c>
      <c r="L31" s="4" t="s">
        <v>8</v>
      </c>
      <c r="M31" s="6">
        <v>560.11300000000006</v>
      </c>
      <c r="N31" s="6"/>
      <c r="O31" s="6">
        <v>6536.9560000000019</v>
      </c>
      <c r="P31" s="6"/>
      <c r="Q31" s="6">
        <v>6300.6799999999985</v>
      </c>
      <c r="R31" s="6">
        <v>19.702999999999999</v>
      </c>
      <c r="S31" s="6">
        <v>13417.451999999999</v>
      </c>
      <c r="U31" s="5">
        <v>2013</v>
      </c>
      <c r="V31" s="4" t="s">
        <v>9</v>
      </c>
      <c r="W31" s="6"/>
      <c r="X31" s="6">
        <v>1610.0350000000005</v>
      </c>
      <c r="Y31" s="6"/>
      <c r="Z31" s="6">
        <v>864.22600000000023</v>
      </c>
      <c r="AA31" s="6">
        <v>4.7859999999999996</v>
      </c>
      <c r="AB31" s="6"/>
      <c r="AC31" s="6">
        <v>2479.0470000000009</v>
      </c>
    </row>
    <row r="32" spans="1:29" x14ac:dyDescent="0.25">
      <c r="A32" s="5">
        <v>2013</v>
      </c>
      <c r="B32" s="4" t="s">
        <v>15</v>
      </c>
      <c r="C32" s="6"/>
      <c r="D32" s="6"/>
      <c r="E32" s="6"/>
      <c r="F32" s="6"/>
      <c r="G32" s="6">
        <v>1.6E-2</v>
      </c>
      <c r="H32" s="6">
        <v>232.74700000000001</v>
      </c>
      <c r="I32" s="6">
        <v>232.76300000000001</v>
      </c>
      <c r="K32" s="5">
        <v>2013</v>
      </c>
      <c r="L32" s="4" t="s">
        <v>9</v>
      </c>
      <c r="M32" s="6">
        <v>2.0049999999999999</v>
      </c>
      <c r="N32" s="6"/>
      <c r="O32" s="6">
        <v>4047.0289999999995</v>
      </c>
      <c r="P32" s="6"/>
      <c r="Q32" s="6">
        <v>2634.5229999999988</v>
      </c>
      <c r="R32" s="6">
        <v>36.067999999999998</v>
      </c>
      <c r="S32" s="6">
        <v>6719.6249999999991</v>
      </c>
      <c r="U32" s="5">
        <v>2013</v>
      </c>
      <c r="V32" s="4" t="s">
        <v>10</v>
      </c>
      <c r="W32" s="6"/>
      <c r="X32" s="6">
        <v>388.68799999999999</v>
      </c>
      <c r="Y32" s="6"/>
      <c r="Z32" s="6">
        <v>149.47200000000001</v>
      </c>
      <c r="AA32" s="6"/>
      <c r="AB32" s="6"/>
      <c r="AC32" s="6">
        <v>538.16</v>
      </c>
    </row>
    <row r="33" spans="1:29" x14ac:dyDescent="0.25">
      <c r="A33" s="5">
        <v>2014</v>
      </c>
      <c r="B33" s="4" t="s">
        <v>4</v>
      </c>
      <c r="C33" s="6"/>
      <c r="D33" s="6"/>
      <c r="E33" s="6">
        <v>1789.7820000000004</v>
      </c>
      <c r="F33" s="6"/>
      <c r="G33" s="6"/>
      <c r="H33" s="6"/>
      <c r="I33" s="6">
        <v>1789.7820000000004</v>
      </c>
      <c r="K33" s="5">
        <v>2013</v>
      </c>
      <c r="L33" s="4" t="s">
        <v>10</v>
      </c>
      <c r="M33" s="6"/>
      <c r="N33" s="6"/>
      <c r="O33" s="6">
        <v>26905.9</v>
      </c>
      <c r="P33" s="6"/>
      <c r="Q33" s="6">
        <v>2824.6890000000012</v>
      </c>
      <c r="R33" s="6">
        <v>7.8E-2</v>
      </c>
      <c r="S33" s="6">
        <v>29730.667000000005</v>
      </c>
      <c r="U33" s="5">
        <v>2013</v>
      </c>
      <c r="V33" s="4" t="s">
        <v>11</v>
      </c>
      <c r="W33" s="6"/>
      <c r="X33" s="6"/>
      <c r="Y33" s="6"/>
      <c r="Z33" s="6"/>
      <c r="AA33" s="6">
        <v>0.3</v>
      </c>
      <c r="AB33" s="6"/>
      <c r="AC33" s="6">
        <v>0.3</v>
      </c>
    </row>
    <row r="34" spans="1:29" x14ac:dyDescent="0.25">
      <c r="A34" s="5">
        <v>2014</v>
      </c>
      <c r="B34" s="4" t="s">
        <v>5</v>
      </c>
      <c r="C34" s="6"/>
      <c r="D34" s="6"/>
      <c r="E34" s="6">
        <v>3333.5269999999996</v>
      </c>
      <c r="F34" s="6"/>
      <c r="G34" s="6">
        <v>1.4999999999999999E-2</v>
      </c>
      <c r="H34" s="6">
        <v>3.0590000000000002</v>
      </c>
      <c r="I34" s="6">
        <v>3336.6009999999997</v>
      </c>
      <c r="K34" s="5">
        <v>2013</v>
      </c>
      <c r="L34" s="4" t="s">
        <v>11</v>
      </c>
      <c r="M34" s="6"/>
      <c r="N34" s="6"/>
      <c r="O34" s="6"/>
      <c r="P34" s="6"/>
      <c r="Q34" s="6"/>
      <c r="R34" s="6">
        <v>5.5920000000000005</v>
      </c>
      <c r="S34" s="6">
        <v>5.5920000000000005</v>
      </c>
      <c r="U34" s="5">
        <v>2013</v>
      </c>
      <c r="V34" s="4" t="s">
        <v>12</v>
      </c>
      <c r="W34" s="6"/>
      <c r="X34" s="6"/>
      <c r="Y34" s="6"/>
      <c r="Z34" s="6"/>
      <c r="AA34" s="6">
        <v>1.9540000000000002</v>
      </c>
      <c r="AB34" s="6"/>
      <c r="AC34" s="6">
        <v>1.9540000000000002</v>
      </c>
    </row>
    <row r="35" spans="1:29" x14ac:dyDescent="0.25">
      <c r="A35" s="5">
        <v>2014</v>
      </c>
      <c r="B35" s="4" t="s">
        <v>6</v>
      </c>
      <c r="C35" s="6"/>
      <c r="D35" s="6">
        <v>21.29</v>
      </c>
      <c r="E35" s="6">
        <v>0.217</v>
      </c>
      <c r="F35" s="6"/>
      <c r="G35" s="6"/>
      <c r="H35" s="6"/>
      <c r="I35" s="6">
        <v>21.506999999999998</v>
      </c>
      <c r="K35" s="5">
        <v>2013</v>
      </c>
      <c r="L35" s="4" t="s">
        <v>12</v>
      </c>
      <c r="M35" s="6"/>
      <c r="N35" s="6">
        <v>2.79</v>
      </c>
      <c r="O35" s="6">
        <v>3.0550000000000002</v>
      </c>
      <c r="P35" s="6"/>
      <c r="Q35" s="6">
        <v>1.7999999999999999E-2</v>
      </c>
      <c r="R35" s="6">
        <v>101.06699999999999</v>
      </c>
      <c r="S35" s="6">
        <v>106.92999999999999</v>
      </c>
      <c r="U35" s="5">
        <v>2013</v>
      </c>
      <c r="V35" s="4" t="s">
        <v>13</v>
      </c>
      <c r="W35" s="6"/>
      <c r="X35" s="6">
        <v>794.91700000000026</v>
      </c>
      <c r="Y35" s="6"/>
      <c r="Z35" s="6">
        <v>17.577999999999999</v>
      </c>
      <c r="AA35" s="6">
        <v>3.75</v>
      </c>
      <c r="AB35" s="6"/>
      <c r="AC35" s="6">
        <v>816.24500000000023</v>
      </c>
    </row>
    <row r="36" spans="1:29" x14ac:dyDescent="0.25">
      <c r="A36" s="5">
        <v>2014</v>
      </c>
      <c r="B36" s="4" t="s">
        <v>11</v>
      </c>
      <c r="C36" s="6"/>
      <c r="D36" s="6"/>
      <c r="E36" s="6">
        <v>19.806999999999999</v>
      </c>
      <c r="F36" s="6"/>
      <c r="G36" s="6"/>
      <c r="H36" s="6"/>
      <c r="I36" s="6">
        <v>19.806999999999999</v>
      </c>
      <c r="K36" s="5">
        <v>2013</v>
      </c>
      <c r="L36" s="4" t="s">
        <v>13</v>
      </c>
      <c r="M36" s="6"/>
      <c r="N36" s="6"/>
      <c r="O36" s="6">
        <v>6334.4479999999976</v>
      </c>
      <c r="P36" s="6"/>
      <c r="Q36" s="6">
        <v>697.91099999999994</v>
      </c>
      <c r="R36" s="6">
        <v>96.55</v>
      </c>
      <c r="S36" s="6">
        <v>7128.9089999999978</v>
      </c>
      <c r="U36" s="5">
        <v>2013</v>
      </c>
      <c r="V36" s="4" t="s">
        <v>14</v>
      </c>
      <c r="W36" s="6"/>
      <c r="X36" s="6">
        <v>696.89500000000021</v>
      </c>
      <c r="Y36" s="6">
        <v>0.18</v>
      </c>
      <c r="Z36" s="6">
        <v>318.87199999999996</v>
      </c>
      <c r="AA36" s="6">
        <v>74.852000000000004</v>
      </c>
      <c r="AB36" s="6"/>
      <c r="AC36" s="6">
        <v>1090.7990000000002</v>
      </c>
    </row>
    <row r="37" spans="1:29" x14ac:dyDescent="0.25">
      <c r="A37" s="5">
        <v>2014</v>
      </c>
      <c r="B37" s="4" t="s">
        <v>12</v>
      </c>
      <c r="C37" s="6"/>
      <c r="D37" s="6"/>
      <c r="E37" s="6">
        <v>120.34599999999999</v>
      </c>
      <c r="F37" s="6"/>
      <c r="G37" s="6"/>
      <c r="H37" s="6"/>
      <c r="I37" s="6">
        <v>120.34599999999999</v>
      </c>
      <c r="K37" s="5">
        <v>2013</v>
      </c>
      <c r="L37" s="4" t="s">
        <v>14</v>
      </c>
      <c r="M37" s="6"/>
      <c r="N37" s="6"/>
      <c r="O37" s="6">
        <v>13264.015000000005</v>
      </c>
      <c r="P37" s="6">
        <v>1.2</v>
      </c>
      <c r="Q37" s="6">
        <v>1899.0930000000003</v>
      </c>
      <c r="R37" s="6">
        <v>617.52699999999993</v>
      </c>
      <c r="S37" s="6">
        <v>15781.835000000006</v>
      </c>
      <c r="U37" s="5">
        <v>2013</v>
      </c>
      <c r="V37" s="4" t="s">
        <v>15</v>
      </c>
      <c r="W37" s="6"/>
      <c r="X37" s="6"/>
      <c r="Y37" s="6"/>
      <c r="Z37" s="6">
        <v>347.32</v>
      </c>
      <c r="AA37" s="6">
        <v>435.14599999999996</v>
      </c>
      <c r="AB37" s="6"/>
      <c r="AC37" s="6">
        <v>782.46599999999989</v>
      </c>
    </row>
    <row r="38" spans="1:29" x14ac:dyDescent="0.25">
      <c r="A38" s="5">
        <v>2014</v>
      </c>
      <c r="B38" s="4" t="s">
        <v>13</v>
      </c>
      <c r="C38" s="6"/>
      <c r="D38" s="6"/>
      <c r="E38" s="6">
        <v>277.83300000000003</v>
      </c>
      <c r="F38" s="6"/>
      <c r="G38" s="6"/>
      <c r="H38" s="6"/>
      <c r="I38" s="6">
        <v>277.83300000000003</v>
      </c>
      <c r="K38" s="5">
        <v>2013</v>
      </c>
      <c r="L38" s="4" t="s">
        <v>15</v>
      </c>
      <c r="M38" s="6"/>
      <c r="N38" s="6"/>
      <c r="O38" s="6"/>
      <c r="P38" s="6"/>
      <c r="Q38" s="6">
        <v>7823.1219999999985</v>
      </c>
      <c r="R38" s="6">
        <v>454.99600000000004</v>
      </c>
      <c r="S38" s="6">
        <v>8278.1179999999986</v>
      </c>
      <c r="U38" s="5">
        <v>2014</v>
      </c>
      <c r="V38" s="4" t="s">
        <v>4</v>
      </c>
      <c r="W38" s="6"/>
      <c r="X38" s="6"/>
      <c r="Y38" s="6"/>
      <c r="Z38" s="6"/>
      <c r="AA38" s="6">
        <v>2.6560000000000001</v>
      </c>
      <c r="AB38" s="6"/>
      <c r="AC38" s="6">
        <v>2.6560000000000001</v>
      </c>
    </row>
    <row r="39" spans="1:29" x14ac:dyDescent="0.25">
      <c r="A39" s="5">
        <v>2014</v>
      </c>
      <c r="B39" s="4" t="s">
        <v>15</v>
      </c>
      <c r="C39" s="6"/>
      <c r="D39" s="6"/>
      <c r="E39" s="6"/>
      <c r="F39" s="6"/>
      <c r="G39" s="6"/>
      <c r="H39" s="6">
        <v>40.853999999999999</v>
      </c>
      <c r="I39" s="6">
        <v>40.853999999999999</v>
      </c>
      <c r="K39" s="5">
        <v>2014</v>
      </c>
      <c r="L39" s="4" t="s">
        <v>4</v>
      </c>
      <c r="M39" s="6"/>
      <c r="N39" s="6"/>
      <c r="O39" s="6"/>
      <c r="P39" s="6"/>
      <c r="Q39" s="6"/>
      <c r="R39" s="6">
        <v>32.879000000000005</v>
      </c>
      <c r="S39" s="6">
        <v>32.879000000000005</v>
      </c>
      <c r="U39" s="5">
        <v>2014</v>
      </c>
      <c r="V39" s="4" t="s">
        <v>5</v>
      </c>
      <c r="W39" s="6"/>
      <c r="X39" s="6">
        <v>2.5000000000000001E-2</v>
      </c>
      <c r="Y39" s="6"/>
      <c r="Z39" s="6">
        <v>672.1819999999999</v>
      </c>
      <c r="AA39" s="6">
        <v>27.280999999999999</v>
      </c>
      <c r="AB39" s="6"/>
      <c r="AC39" s="6">
        <v>699.48799999999983</v>
      </c>
    </row>
    <row r="40" spans="1:29" x14ac:dyDescent="0.25">
      <c r="A40" s="5">
        <v>2015</v>
      </c>
      <c r="B40" s="4" t="s">
        <v>4</v>
      </c>
      <c r="C40" s="6"/>
      <c r="D40" s="6"/>
      <c r="E40" s="6">
        <v>111.435</v>
      </c>
      <c r="F40" s="6"/>
      <c r="G40" s="6"/>
      <c r="H40" s="6">
        <v>27.450000000000003</v>
      </c>
      <c r="I40" s="6">
        <v>138.88499999999999</v>
      </c>
      <c r="K40" s="5">
        <v>2014</v>
      </c>
      <c r="L40" s="4" t="s">
        <v>5</v>
      </c>
      <c r="M40" s="6"/>
      <c r="N40" s="6"/>
      <c r="O40" s="6">
        <v>5.1789999999999994</v>
      </c>
      <c r="P40" s="6"/>
      <c r="Q40" s="6">
        <v>15833.325000000008</v>
      </c>
      <c r="R40" s="6">
        <v>143.386</v>
      </c>
      <c r="S40" s="6">
        <v>15981.890000000009</v>
      </c>
      <c r="U40" s="5">
        <v>2014</v>
      </c>
      <c r="V40" s="4" t="s">
        <v>6</v>
      </c>
      <c r="W40" s="6">
        <v>1410.308</v>
      </c>
      <c r="X40" s="6">
        <v>8164.0709999999954</v>
      </c>
      <c r="Y40" s="6">
        <v>0.23</v>
      </c>
      <c r="Z40" s="6">
        <v>155.01599999999996</v>
      </c>
      <c r="AA40" s="6">
        <v>11.699</v>
      </c>
      <c r="AB40" s="6"/>
      <c r="AC40" s="6">
        <v>9741.3239999999951</v>
      </c>
    </row>
    <row r="41" spans="1:29" x14ac:dyDescent="0.25">
      <c r="A41" s="5">
        <v>2015</v>
      </c>
      <c r="B41" s="4" t="s">
        <v>5</v>
      </c>
      <c r="C41" s="6"/>
      <c r="D41" s="6">
        <v>12.622999999999999</v>
      </c>
      <c r="E41" s="6">
        <v>775.77199999999993</v>
      </c>
      <c r="F41" s="6"/>
      <c r="G41" s="6"/>
      <c r="H41" s="6"/>
      <c r="I41" s="6">
        <v>788.39499999999998</v>
      </c>
      <c r="K41" s="5">
        <v>2014</v>
      </c>
      <c r="L41" s="4" t="s">
        <v>6</v>
      </c>
      <c r="M41" s="6">
        <v>3294.2020000000002</v>
      </c>
      <c r="N41" s="6"/>
      <c r="O41" s="6">
        <v>148530.39899999963</v>
      </c>
      <c r="P41" s="6">
        <v>0.31500000000000006</v>
      </c>
      <c r="Q41" s="6">
        <v>25977.337999999982</v>
      </c>
      <c r="R41" s="6">
        <v>91.018000000000001</v>
      </c>
      <c r="S41" s="6">
        <v>177893.27199999962</v>
      </c>
      <c r="U41" s="5">
        <v>2014</v>
      </c>
      <c r="V41" s="4" t="s">
        <v>7</v>
      </c>
      <c r="W41" s="6">
        <v>1046.0130000000004</v>
      </c>
      <c r="X41" s="6">
        <v>26041.351000000042</v>
      </c>
      <c r="Y41" s="6"/>
      <c r="Z41" s="6">
        <v>167.45399999999998</v>
      </c>
      <c r="AA41" s="6">
        <v>0.72399999999999998</v>
      </c>
      <c r="AB41" s="6"/>
      <c r="AC41" s="6">
        <v>27255.542000000041</v>
      </c>
    </row>
    <row r="42" spans="1:29" x14ac:dyDescent="0.25">
      <c r="A42" s="5">
        <v>2015</v>
      </c>
      <c r="B42" s="4" t="s">
        <v>6</v>
      </c>
      <c r="C42" s="6">
        <v>77.88</v>
      </c>
      <c r="D42" s="6"/>
      <c r="E42" s="6">
        <v>585.83000000000004</v>
      </c>
      <c r="F42" s="6"/>
      <c r="G42" s="6"/>
      <c r="H42" s="6"/>
      <c r="I42" s="6">
        <v>663.71</v>
      </c>
      <c r="K42" s="5">
        <v>2014</v>
      </c>
      <c r="L42" s="4" t="s">
        <v>7</v>
      </c>
      <c r="M42" s="6">
        <v>3774.9539999999993</v>
      </c>
      <c r="N42" s="6"/>
      <c r="O42" s="6">
        <v>84486.927999999971</v>
      </c>
      <c r="P42" s="6"/>
      <c r="Q42" s="6">
        <v>19291.46</v>
      </c>
      <c r="R42" s="6">
        <v>70.055000000000007</v>
      </c>
      <c r="S42" s="6">
        <v>107623.39699999997</v>
      </c>
      <c r="U42" s="5">
        <v>2014</v>
      </c>
      <c r="V42" s="4" t="s">
        <v>8</v>
      </c>
      <c r="W42" s="6">
        <v>931.94799999999975</v>
      </c>
      <c r="X42" s="6">
        <v>7159.8480000000009</v>
      </c>
      <c r="Y42" s="6">
        <v>0.2</v>
      </c>
      <c r="Z42" s="6">
        <v>86.264999999999986</v>
      </c>
      <c r="AA42" s="6">
        <v>48.811</v>
      </c>
      <c r="AB42" s="6"/>
      <c r="AC42" s="6">
        <v>8227.0720000000001</v>
      </c>
    </row>
    <row r="43" spans="1:29" x14ac:dyDescent="0.25">
      <c r="A43" s="5">
        <v>2015</v>
      </c>
      <c r="B43" s="4" t="s">
        <v>7</v>
      </c>
      <c r="C43" s="6">
        <v>211.51599999999999</v>
      </c>
      <c r="D43" s="6"/>
      <c r="E43" s="6">
        <v>0.18</v>
      </c>
      <c r="F43" s="6"/>
      <c r="G43" s="6"/>
      <c r="H43" s="6"/>
      <c r="I43" s="6">
        <v>211.696</v>
      </c>
      <c r="K43" s="5">
        <v>2014</v>
      </c>
      <c r="L43" s="4" t="s">
        <v>8</v>
      </c>
      <c r="M43" s="6">
        <v>1567.0120000000002</v>
      </c>
      <c r="N43" s="6"/>
      <c r="O43" s="6">
        <v>19166.872000000021</v>
      </c>
      <c r="P43" s="6">
        <v>0.42</v>
      </c>
      <c r="Q43" s="6">
        <v>8270.0130000000045</v>
      </c>
      <c r="R43" s="6">
        <v>378.10100000000006</v>
      </c>
      <c r="S43" s="6">
        <v>29382.418000000023</v>
      </c>
      <c r="U43" s="5">
        <v>2014</v>
      </c>
      <c r="V43" s="4" t="s">
        <v>9</v>
      </c>
      <c r="W43" s="6">
        <v>30.109000000000002</v>
      </c>
      <c r="X43" s="6">
        <v>1069.4600000000009</v>
      </c>
      <c r="Y43" s="6"/>
      <c r="Z43" s="6">
        <v>81.658000000000001</v>
      </c>
      <c r="AA43" s="6">
        <v>13.402999999999999</v>
      </c>
      <c r="AB43" s="6"/>
      <c r="AC43" s="6">
        <v>1194.6300000000008</v>
      </c>
    </row>
    <row r="44" spans="1:29" x14ac:dyDescent="0.25">
      <c r="A44" s="5">
        <v>2015</v>
      </c>
      <c r="B44" s="4" t="s">
        <v>8</v>
      </c>
      <c r="C44" s="6">
        <v>74.477999999999994</v>
      </c>
      <c r="D44" s="6"/>
      <c r="E44" s="6">
        <v>1158.3229999999996</v>
      </c>
      <c r="F44" s="6"/>
      <c r="G44" s="6"/>
      <c r="H44" s="6"/>
      <c r="I44" s="6">
        <v>1232.8009999999997</v>
      </c>
      <c r="K44" s="5">
        <v>2014</v>
      </c>
      <c r="L44" s="4" t="s">
        <v>9</v>
      </c>
      <c r="M44" s="6">
        <v>38.956000000000003</v>
      </c>
      <c r="N44" s="6"/>
      <c r="O44" s="6">
        <v>17317.271000000022</v>
      </c>
      <c r="P44" s="6"/>
      <c r="Q44" s="6">
        <v>7600.8620000000001</v>
      </c>
      <c r="R44" s="6">
        <v>72.259999999999991</v>
      </c>
      <c r="S44" s="6">
        <v>25029.34900000002</v>
      </c>
      <c r="U44" s="5">
        <v>2014</v>
      </c>
      <c r="V44" s="4" t="s">
        <v>10</v>
      </c>
      <c r="W44" s="6"/>
      <c r="X44" s="6">
        <v>760.07500000000061</v>
      </c>
      <c r="Y44" s="6"/>
      <c r="Z44" s="6">
        <v>13.554</v>
      </c>
      <c r="AA44" s="6">
        <v>9.4150000000000009</v>
      </c>
      <c r="AB44" s="6"/>
      <c r="AC44" s="6">
        <v>783.04400000000055</v>
      </c>
    </row>
    <row r="45" spans="1:29" x14ac:dyDescent="0.25">
      <c r="A45" s="5">
        <v>2015</v>
      </c>
      <c r="B45" s="4" t="s">
        <v>9</v>
      </c>
      <c r="C45" s="6"/>
      <c r="D45" s="6"/>
      <c r="E45" s="6">
        <v>303.50699999999995</v>
      </c>
      <c r="F45" s="6"/>
      <c r="G45" s="6"/>
      <c r="H45" s="6"/>
      <c r="I45" s="6">
        <v>303.50699999999995</v>
      </c>
      <c r="K45" s="5">
        <v>2014</v>
      </c>
      <c r="L45" s="4" t="s">
        <v>10</v>
      </c>
      <c r="M45" s="6"/>
      <c r="N45" s="6"/>
      <c r="O45" s="6">
        <v>24624.260999999991</v>
      </c>
      <c r="P45" s="6"/>
      <c r="Q45" s="6">
        <v>5084.5690000000004</v>
      </c>
      <c r="R45" s="6">
        <v>111.679</v>
      </c>
      <c r="S45" s="6">
        <v>29820.508999999991</v>
      </c>
      <c r="U45" s="5">
        <v>2014</v>
      </c>
      <c r="V45" s="4" t="s">
        <v>11</v>
      </c>
      <c r="W45" s="6"/>
      <c r="X45" s="6">
        <v>6.0999999999999999E-2</v>
      </c>
      <c r="Y45" s="6"/>
      <c r="Z45" s="6"/>
      <c r="AA45" s="6">
        <v>98.881</v>
      </c>
      <c r="AB45" s="6"/>
      <c r="AC45" s="6">
        <v>98.942000000000007</v>
      </c>
    </row>
    <row r="46" spans="1:29" x14ac:dyDescent="0.25">
      <c r="A46" s="5">
        <v>2015</v>
      </c>
      <c r="B46" s="4" t="s">
        <v>10</v>
      </c>
      <c r="C46" s="6"/>
      <c r="D46" s="6"/>
      <c r="E46" s="6">
        <v>35.357999999999997</v>
      </c>
      <c r="F46" s="6"/>
      <c r="G46" s="6"/>
      <c r="H46" s="6"/>
      <c r="I46" s="6">
        <v>35.357999999999997</v>
      </c>
      <c r="K46" s="5">
        <v>2014</v>
      </c>
      <c r="L46" s="4" t="s">
        <v>11</v>
      </c>
      <c r="M46" s="6"/>
      <c r="N46" s="6"/>
      <c r="O46" s="6">
        <v>0.47300000000000003</v>
      </c>
      <c r="P46" s="6"/>
      <c r="Q46" s="6">
        <v>0.22600000000000001</v>
      </c>
      <c r="R46" s="6">
        <v>36.909000000000006</v>
      </c>
      <c r="S46" s="6">
        <v>37.608000000000004</v>
      </c>
      <c r="U46" s="5">
        <v>2014</v>
      </c>
      <c r="V46" s="4" t="s">
        <v>12</v>
      </c>
      <c r="W46" s="6"/>
      <c r="X46" s="6">
        <v>2.3E-2</v>
      </c>
      <c r="Y46" s="6"/>
      <c r="Z46" s="6"/>
      <c r="AA46" s="6">
        <v>0.75</v>
      </c>
      <c r="AB46" s="6"/>
      <c r="AC46" s="6">
        <v>0.77300000000000002</v>
      </c>
    </row>
    <row r="47" spans="1:29" x14ac:dyDescent="0.25">
      <c r="A47" s="5">
        <v>2015</v>
      </c>
      <c r="B47" s="4" t="s">
        <v>11</v>
      </c>
      <c r="C47" s="6"/>
      <c r="D47" s="6"/>
      <c r="E47" s="6">
        <v>33.075000000000003</v>
      </c>
      <c r="F47" s="6"/>
      <c r="G47" s="6"/>
      <c r="H47" s="6"/>
      <c r="I47" s="6">
        <v>33.075000000000003</v>
      </c>
      <c r="K47" s="5">
        <v>2014</v>
      </c>
      <c r="L47" s="4" t="s">
        <v>12</v>
      </c>
      <c r="M47" s="6"/>
      <c r="N47" s="6"/>
      <c r="O47" s="6">
        <v>0.373</v>
      </c>
      <c r="P47" s="6"/>
      <c r="Q47" s="6">
        <v>0.11</v>
      </c>
      <c r="R47" s="6"/>
      <c r="S47" s="6">
        <v>0.48299999999999998</v>
      </c>
      <c r="U47" s="5">
        <v>2014</v>
      </c>
      <c r="V47" s="4" t="s">
        <v>13</v>
      </c>
      <c r="W47" s="6"/>
      <c r="X47" s="6">
        <v>2196.5969999999984</v>
      </c>
      <c r="Y47" s="6"/>
      <c r="Z47" s="6"/>
      <c r="AA47" s="6">
        <v>2.0999999999999996</v>
      </c>
      <c r="AB47" s="6"/>
      <c r="AC47" s="6">
        <v>2198.6969999999983</v>
      </c>
    </row>
    <row r="48" spans="1:29" x14ac:dyDescent="0.25">
      <c r="A48" s="5">
        <v>2015</v>
      </c>
      <c r="B48" s="4" t="s">
        <v>12</v>
      </c>
      <c r="C48" s="6"/>
      <c r="D48" s="6"/>
      <c r="E48" s="6">
        <v>184.46600000000001</v>
      </c>
      <c r="F48" s="6"/>
      <c r="G48" s="6"/>
      <c r="H48" s="6"/>
      <c r="I48" s="6">
        <v>184.46600000000001</v>
      </c>
      <c r="K48" s="5">
        <v>2014</v>
      </c>
      <c r="L48" s="4" t="s">
        <v>13</v>
      </c>
      <c r="M48" s="6"/>
      <c r="N48" s="6"/>
      <c r="O48" s="6">
        <v>25762.587000000025</v>
      </c>
      <c r="P48" s="6"/>
      <c r="Q48" s="6">
        <v>3989.1639999999989</v>
      </c>
      <c r="R48" s="6">
        <v>4.6459999999999999</v>
      </c>
      <c r="S48" s="6">
        <v>29756.397000000026</v>
      </c>
      <c r="U48" s="5">
        <v>2014</v>
      </c>
      <c r="V48" s="4" t="s">
        <v>14</v>
      </c>
      <c r="W48" s="6">
        <v>11.295</v>
      </c>
      <c r="X48" s="6">
        <v>1440.0799999999997</v>
      </c>
      <c r="Y48" s="6"/>
      <c r="Z48" s="6">
        <v>42.672000000000004</v>
      </c>
      <c r="AA48" s="6">
        <v>40.156999999999996</v>
      </c>
      <c r="AB48" s="6"/>
      <c r="AC48" s="6">
        <v>1534.2039999999997</v>
      </c>
    </row>
    <row r="49" spans="1:29" x14ac:dyDescent="0.25">
      <c r="A49" s="5">
        <v>2015</v>
      </c>
      <c r="B49" s="4" t="s">
        <v>13</v>
      </c>
      <c r="C49" s="6"/>
      <c r="D49" s="6"/>
      <c r="E49" s="6">
        <v>163.83600000000001</v>
      </c>
      <c r="F49" s="6"/>
      <c r="G49" s="6"/>
      <c r="H49" s="6"/>
      <c r="I49" s="6">
        <v>163.83600000000001</v>
      </c>
      <c r="K49" s="5">
        <v>2014</v>
      </c>
      <c r="L49" s="4" t="s">
        <v>14</v>
      </c>
      <c r="M49" s="6">
        <v>158.245</v>
      </c>
      <c r="N49" s="6"/>
      <c r="O49" s="6">
        <v>20985.190000000006</v>
      </c>
      <c r="P49" s="6"/>
      <c r="Q49" s="6">
        <v>15754.639999999979</v>
      </c>
      <c r="R49" s="6">
        <v>166.92200000000003</v>
      </c>
      <c r="S49" s="6">
        <v>37064.996999999981</v>
      </c>
      <c r="U49" s="5">
        <v>2014</v>
      </c>
      <c r="V49" s="4" t="s">
        <v>15</v>
      </c>
      <c r="W49" s="6">
        <v>10.779</v>
      </c>
      <c r="X49" s="6">
        <v>334.15800000000013</v>
      </c>
      <c r="Y49" s="6"/>
      <c r="Z49" s="6"/>
      <c r="AA49" s="6">
        <v>45.286000000000008</v>
      </c>
      <c r="AB49" s="6"/>
      <c r="AC49" s="6">
        <v>390.22300000000013</v>
      </c>
    </row>
    <row r="50" spans="1:29" x14ac:dyDescent="0.25">
      <c r="A50" s="5">
        <v>2015</v>
      </c>
      <c r="B50" s="4" t="s">
        <v>15</v>
      </c>
      <c r="C50" s="6"/>
      <c r="D50" s="6"/>
      <c r="E50" s="6">
        <v>2064.1330000000007</v>
      </c>
      <c r="F50" s="6"/>
      <c r="G50" s="6"/>
      <c r="H50" s="6"/>
      <c r="I50" s="6">
        <v>2064.1330000000007</v>
      </c>
      <c r="K50" s="5">
        <v>2014</v>
      </c>
      <c r="L50" s="4" t="s">
        <v>15</v>
      </c>
      <c r="M50" s="6">
        <v>113.241</v>
      </c>
      <c r="N50" s="6"/>
      <c r="O50" s="6">
        <v>1967.4080000000001</v>
      </c>
      <c r="P50" s="6"/>
      <c r="Q50" s="6">
        <v>3191.4349999999986</v>
      </c>
      <c r="R50" s="6">
        <v>188.51499999999999</v>
      </c>
      <c r="S50" s="6">
        <v>5460.5989999999993</v>
      </c>
      <c r="U50" s="5">
        <v>2015</v>
      </c>
      <c r="V50" s="4" t="s">
        <v>4</v>
      </c>
      <c r="W50" s="6"/>
      <c r="X50" s="6">
        <v>0.04</v>
      </c>
      <c r="Y50" s="6"/>
      <c r="Z50" s="6"/>
      <c r="AA50" s="6">
        <v>221.334</v>
      </c>
      <c r="AB50" s="6"/>
      <c r="AC50" s="6">
        <v>221.374</v>
      </c>
    </row>
    <row r="51" spans="1:29" x14ac:dyDescent="0.25">
      <c r="A51" s="5">
        <v>2016</v>
      </c>
      <c r="B51" s="4" t="s">
        <v>4</v>
      </c>
      <c r="C51" s="6"/>
      <c r="D51" s="6"/>
      <c r="E51" s="6">
        <v>11309.323</v>
      </c>
      <c r="F51" s="6"/>
      <c r="G51" s="6"/>
      <c r="H51" s="6">
        <v>221.93699999999998</v>
      </c>
      <c r="I51" s="6">
        <v>11531.26</v>
      </c>
      <c r="K51" s="5">
        <v>2015</v>
      </c>
      <c r="L51" s="4" t="s">
        <v>4</v>
      </c>
      <c r="M51" s="6"/>
      <c r="N51" s="6"/>
      <c r="O51" s="6">
        <v>6.3E-2</v>
      </c>
      <c r="P51" s="6"/>
      <c r="Q51" s="6"/>
      <c r="R51" s="6">
        <v>202.98399999999998</v>
      </c>
      <c r="S51" s="6">
        <v>203.04699999999997</v>
      </c>
      <c r="U51" s="5">
        <v>2015</v>
      </c>
      <c r="V51" s="4" t="s">
        <v>5</v>
      </c>
      <c r="W51" s="6">
        <v>1.2E-2</v>
      </c>
      <c r="X51" s="6">
        <v>4.0000000000000001E-3</v>
      </c>
      <c r="Y51" s="6"/>
      <c r="Z51" s="6">
        <v>67.448000000000008</v>
      </c>
      <c r="AA51" s="6">
        <v>54.49</v>
      </c>
      <c r="AB51" s="6"/>
      <c r="AC51" s="6">
        <v>121.95400000000001</v>
      </c>
    </row>
    <row r="52" spans="1:29" x14ac:dyDescent="0.25">
      <c r="A52" s="5">
        <v>2016</v>
      </c>
      <c r="B52" s="4" t="s">
        <v>5</v>
      </c>
      <c r="C52" s="6"/>
      <c r="D52" s="6"/>
      <c r="E52" s="6">
        <v>225.36199999999999</v>
      </c>
      <c r="F52" s="6"/>
      <c r="G52" s="6"/>
      <c r="H52" s="6"/>
      <c r="I52" s="6">
        <v>225.36199999999999</v>
      </c>
      <c r="K52" s="5">
        <v>2015</v>
      </c>
      <c r="L52" s="4" t="s">
        <v>5</v>
      </c>
      <c r="M52" s="6">
        <v>2.1999999999999999E-2</v>
      </c>
      <c r="N52" s="6"/>
      <c r="O52" s="6">
        <v>0.5119999999999999</v>
      </c>
      <c r="P52" s="6"/>
      <c r="Q52" s="6">
        <v>16752.824000000008</v>
      </c>
      <c r="R52" s="6">
        <v>110.93599999999999</v>
      </c>
      <c r="S52" s="6">
        <v>16864.294000000009</v>
      </c>
      <c r="U52" s="5">
        <v>2015</v>
      </c>
      <c r="V52" s="4" t="s">
        <v>6</v>
      </c>
      <c r="W52" s="6">
        <v>545.94199999999989</v>
      </c>
      <c r="X52" s="6">
        <v>440.42400000000026</v>
      </c>
      <c r="Y52" s="6"/>
      <c r="Z52" s="6">
        <v>55.072000000000003</v>
      </c>
      <c r="AA52" s="6">
        <v>68.186999999999998</v>
      </c>
      <c r="AB52" s="6"/>
      <c r="AC52" s="6">
        <v>1109.625</v>
      </c>
    </row>
    <row r="53" spans="1:29" x14ac:dyDescent="0.25">
      <c r="A53" s="5">
        <v>2016</v>
      </c>
      <c r="B53" s="4" t="s">
        <v>6</v>
      </c>
      <c r="C53" s="6">
        <v>22.492999999999999</v>
      </c>
      <c r="D53" s="6"/>
      <c r="E53" s="6">
        <v>123.92000000000002</v>
      </c>
      <c r="F53" s="6"/>
      <c r="G53" s="6"/>
      <c r="H53" s="6">
        <v>21.595000000000002</v>
      </c>
      <c r="I53" s="6">
        <v>168.00800000000001</v>
      </c>
      <c r="K53" s="5">
        <v>2015</v>
      </c>
      <c r="L53" s="4" t="s">
        <v>6</v>
      </c>
      <c r="M53" s="6">
        <v>71.290000000000006</v>
      </c>
      <c r="N53" s="6"/>
      <c r="O53" s="6">
        <v>22886.781000000014</v>
      </c>
      <c r="P53" s="6">
        <v>0.03</v>
      </c>
      <c r="Q53" s="6">
        <v>15155.082999999999</v>
      </c>
      <c r="R53" s="6">
        <v>78.867999999999995</v>
      </c>
      <c r="S53" s="6">
        <v>38192.052000000011</v>
      </c>
      <c r="U53" s="5">
        <v>2015</v>
      </c>
      <c r="V53" s="4" t="s">
        <v>7</v>
      </c>
      <c r="W53" s="6">
        <v>954.12799999999993</v>
      </c>
      <c r="X53" s="6">
        <v>26083.604000000007</v>
      </c>
      <c r="Y53" s="6"/>
      <c r="Z53" s="6">
        <v>67.849000000000004</v>
      </c>
      <c r="AA53" s="6"/>
      <c r="AB53" s="6"/>
      <c r="AC53" s="6">
        <v>27105.581000000006</v>
      </c>
    </row>
    <row r="54" spans="1:29" x14ac:dyDescent="0.25">
      <c r="A54" s="5">
        <v>2016</v>
      </c>
      <c r="B54" s="4" t="s">
        <v>7</v>
      </c>
      <c r="C54" s="6"/>
      <c r="D54" s="6"/>
      <c r="E54" s="6">
        <v>206.054</v>
      </c>
      <c r="F54" s="6"/>
      <c r="G54" s="6"/>
      <c r="H54" s="6"/>
      <c r="I54" s="6">
        <v>206.054</v>
      </c>
      <c r="K54" s="5">
        <v>2015</v>
      </c>
      <c r="L54" s="4" t="s">
        <v>7</v>
      </c>
      <c r="M54" s="6">
        <v>2073.4210000000003</v>
      </c>
      <c r="N54" s="6"/>
      <c r="O54" s="6">
        <v>91590.042000000074</v>
      </c>
      <c r="P54" s="6"/>
      <c r="Q54" s="6">
        <v>4687.6290000000008</v>
      </c>
      <c r="R54" s="6">
        <v>1.54</v>
      </c>
      <c r="S54" s="6">
        <v>98352.632000000071</v>
      </c>
      <c r="U54" s="5">
        <v>2015</v>
      </c>
      <c r="V54" s="4" t="s">
        <v>8</v>
      </c>
      <c r="W54" s="6">
        <v>79.522999999999996</v>
      </c>
      <c r="X54" s="6">
        <v>15431.433000000001</v>
      </c>
      <c r="Y54" s="6"/>
      <c r="Z54" s="6">
        <v>54.839000000000006</v>
      </c>
      <c r="AA54" s="6">
        <v>57.487999999999992</v>
      </c>
      <c r="AB54" s="6"/>
      <c r="AC54" s="6">
        <v>15623.282999999999</v>
      </c>
    </row>
    <row r="55" spans="1:29" x14ac:dyDescent="0.25">
      <c r="A55" s="5">
        <v>2016</v>
      </c>
      <c r="B55" s="4" t="s">
        <v>8</v>
      </c>
      <c r="C55" s="6"/>
      <c r="D55" s="6"/>
      <c r="E55" s="6">
        <v>85.121000000000009</v>
      </c>
      <c r="F55" s="6"/>
      <c r="G55" s="6"/>
      <c r="H55" s="6"/>
      <c r="I55" s="6">
        <v>85.121000000000009</v>
      </c>
      <c r="K55" s="5">
        <v>2015</v>
      </c>
      <c r="L55" s="4" t="s">
        <v>8</v>
      </c>
      <c r="M55" s="6">
        <v>2936.4010000000007</v>
      </c>
      <c r="N55" s="6"/>
      <c r="O55" s="6">
        <v>63219.278999999995</v>
      </c>
      <c r="P55" s="6">
        <v>0.3</v>
      </c>
      <c r="Q55" s="6">
        <v>3123.1699999999983</v>
      </c>
      <c r="R55" s="6">
        <v>22.662999999999997</v>
      </c>
      <c r="S55" s="6">
        <v>69301.812999999995</v>
      </c>
      <c r="U55" s="5">
        <v>2015</v>
      </c>
      <c r="V55" s="4" t="s">
        <v>9</v>
      </c>
      <c r="W55" s="6">
        <v>10.797000000000001</v>
      </c>
      <c r="X55" s="6">
        <v>1407.5389999999998</v>
      </c>
      <c r="Y55" s="6"/>
      <c r="Z55" s="6">
        <v>31.463999999999999</v>
      </c>
      <c r="AA55" s="6">
        <v>17.692</v>
      </c>
      <c r="AB55" s="6"/>
      <c r="AC55" s="6">
        <v>1467.4919999999997</v>
      </c>
    </row>
    <row r="56" spans="1:29" x14ac:dyDescent="0.25">
      <c r="A56" s="5">
        <v>2016</v>
      </c>
      <c r="B56" s="4" t="s">
        <v>9</v>
      </c>
      <c r="C56" s="6"/>
      <c r="D56" s="6"/>
      <c r="E56" s="6">
        <v>15.728</v>
      </c>
      <c r="F56" s="6"/>
      <c r="G56" s="6"/>
      <c r="H56" s="6"/>
      <c r="I56" s="6">
        <v>15.728</v>
      </c>
      <c r="K56" s="5">
        <v>2015</v>
      </c>
      <c r="L56" s="4" t="s">
        <v>9</v>
      </c>
      <c r="M56" s="6">
        <v>20.648</v>
      </c>
      <c r="N56" s="6"/>
      <c r="O56" s="6">
        <v>6482.5150000000012</v>
      </c>
      <c r="P56" s="6"/>
      <c r="Q56" s="6">
        <v>4026.2880000000005</v>
      </c>
      <c r="R56" s="6">
        <v>44.584999999999994</v>
      </c>
      <c r="S56" s="6">
        <v>10574.036</v>
      </c>
      <c r="U56" s="5">
        <v>2015</v>
      </c>
      <c r="V56" s="4" t="s">
        <v>10</v>
      </c>
      <c r="W56" s="6">
        <v>163.57300000000001</v>
      </c>
      <c r="X56" s="6">
        <v>770.37700000000052</v>
      </c>
      <c r="Y56" s="6"/>
      <c r="Z56" s="6">
        <v>3.7330000000000001</v>
      </c>
      <c r="AA56" s="6">
        <v>24.172999999999998</v>
      </c>
      <c r="AB56" s="6"/>
      <c r="AC56" s="6">
        <v>961.85600000000045</v>
      </c>
    </row>
    <row r="57" spans="1:29" x14ac:dyDescent="0.25">
      <c r="A57" s="5">
        <v>2016</v>
      </c>
      <c r="B57" s="4" t="s">
        <v>10</v>
      </c>
      <c r="C57" s="6"/>
      <c r="D57" s="6"/>
      <c r="E57" s="6">
        <v>47.128999999999998</v>
      </c>
      <c r="F57" s="6"/>
      <c r="G57" s="6"/>
      <c r="H57" s="6"/>
      <c r="I57" s="6">
        <v>47.128999999999998</v>
      </c>
      <c r="K57" s="5">
        <v>2015</v>
      </c>
      <c r="L57" s="4" t="s">
        <v>10</v>
      </c>
      <c r="M57" s="6">
        <v>388.49799999999993</v>
      </c>
      <c r="N57" s="6"/>
      <c r="O57" s="6">
        <v>7728.583000000006</v>
      </c>
      <c r="P57" s="6"/>
      <c r="Q57" s="6">
        <v>2889.6639999999989</v>
      </c>
      <c r="R57" s="6">
        <v>71.11099999999999</v>
      </c>
      <c r="S57" s="6">
        <v>11077.856000000005</v>
      </c>
      <c r="U57" s="5">
        <v>2015</v>
      </c>
      <c r="V57" s="4" t="s">
        <v>11</v>
      </c>
      <c r="W57" s="6"/>
      <c r="X57" s="6">
        <v>40.045999999999999</v>
      </c>
      <c r="Y57" s="6"/>
      <c r="Z57" s="6"/>
      <c r="AA57" s="6">
        <v>21.990000000000002</v>
      </c>
      <c r="AB57" s="6"/>
      <c r="AC57" s="6">
        <v>62.036000000000001</v>
      </c>
    </row>
    <row r="58" spans="1:29" x14ac:dyDescent="0.25">
      <c r="A58" s="5">
        <v>2016</v>
      </c>
      <c r="B58" s="4" t="s">
        <v>11</v>
      </c>
      <c r="C58" s="6"/>
      <c r="D58" s="6"/>
      <c r="E58" s="6">
        <v>145.126</v>
      </c>
      <c r="F58" s="6"/>
      <c r="G58" s="6"/>
      <c r="H58" s="6"/>
      <c r="I58" s="6">
        <v>145.126</v>
      </c>
      <c r="K58" s="5">
        <v>2015</v>
      </c>
      <c r="L58" s="4" t="s">
        <v>11</v>
      </c>
      <c r="M58" s="6"/>
      <c r="N58" s="6"/>
      <c r="O58" s="6">
        <v>2094.9950000000013</v>
      </c>
      <c r="P58" s="6"/>
      <c r="Q58" s="6">
        <v>1342.2000000000003</v>
      </c>
      <c r="R58" s="6">
        <v>12.690000000000001</v>
      </c>
      <c r="S58" s="6">
        <v>3449.8850000000016</v>
      </c>
      <c r="U58" s="5">
        <v>2015</v>
      </c>
      <c r="V58" s="4" t="s">
        <v>12</v>
      </c>
      <c r="W58" s="6"/>
      <c r="X58" s="6">
        <v>1.8000000000000002E-2</v>
      </c>
      <c r="Y58" s="6"/>
      <c r="Z58" s="6"/>
      <c r="AA58" s="6">
        <v>40.577999999999996</v>
      </c>
      <c r="AB58" s="6"/>
      <c r="AC58" s="6">
        <v>40.595999999999997</v>
      </c>
    </row>
    <row r="59" spans="1:29" x14ac:dyDescent="0.25">
      <c r="A59" s="5">
        <v>2016</v>
      </c>
      <c r="B59" s="4" t="s">
        <v>12</v>
      </c>
      <c r="C59" s="6"/>
      <c r="D59" s="6"/>
      <c r="E59" s="6">
        <v>25.617000000000001</v>
      </c>
      <c r="F59" s="6"/>
      <c r="G59" s="6"/>
      <c r="H59" s="6"/>
      <c r="I59" s="6">
        <v>25.617000000000001</v>
      </c>
      <c r="K59" s="5">
        <v>2015</v>
      </c>
      <c r="L59" s="4" t="s">
        <v>12</v>
      </c>
      <c r="M59" s="6"/>
      <c r="N59" s="6"/>
      <c r="O59" s="6">
        <v>7.5820000000000007</v>
      </c>
      <c r="P59" s="6"/>
      <c r="Q59" s="6">
        <v>7.0000000000000007E-2</v>
      </c>
      <c r="R59" s="6">
        <v>17.207999999999998</v>
      </c>
      <c r="S59" s="6">
        <v>24.86</v>
      </c>
      <c r="U59" s="5">
        <v>2015</v>
      </c>
      <c r="V59" s="4" t="s">
        <v>13</v>
      </c>
      <c r="W59" s="6"/>
      <c r="X59" s="6">
        <v>0.14599999999999999</v>
      </c>
      <c r="Y59" s="6"/>
      <c r="Z59" s="6">
        <v>5.4920000000000009</v>
      </c>
      <c r="AA59" s="6">
        <v>5.819</v>
      </c>
      <c r="AB59" s="6"/>
      <c r="AC59" s="6">
        <v>11.457000000000001</v>
      </c>
    </row>
    <row r="60" spans="1:29" x14ac:dyDescent="0.25">
      <c r="A60" s="5">
        <v>2016</v>
      </c>
      <c r="B60" s="4" t="s">
        <v>13</v>
      </c>
      <c r="C60" s="6"/>
      <c r="D60" s="6"/>
      <c r="E60" s="6">
        <v>151.06800000000001</v>
      </c>
      <c r="F60" s="6"/>
      <c r="G60" s="6"/>
      <c r="H60" s="6"/>
      <c r="I60" s="6">
        <v>151.06800000000001</v>
      </c>
      <c r="K60" s="5">
        <v>2015</v>
      </c>
      <c r="L60" s="4" t="s">
        <v>13</v>
      </c>
      <c r="M60" s="6"/>
      <c r="N60" s="6"/>
      <c r="O60" s="6">
        <v>0.64399999999999991</v>
      </c>
      <c r="P60" s="6"/>
      <c r="Q60" s="6">
        <v>9825.02</v>
      </c>
      <c r="R60" s="6">
        <v>5.4450000000000003</v>
      </c>
      <c r="S60" s="6">
        <v>9831.1090000000004</v>
      </c>
      <c r="U60" s="5">
        <v>2015</v>
      </c>
      <c r="V60" s="4" t="s">
        <v>14</v>
      </c>
      <c r="W60" s="6">
        <v>81.737999999999985</v>
      </c>
      <c r="X60" s="6">
        <v>9429.2180000000008</v>
      </c>
      <c r="Y60" s="6"/>
      <c r="Z60" s="6">
        <v>45.311999999999991</v>
      </c>
      <c r="AA60" s="6">
        <v>12.312999999999999</v>
      </c>
      <c r="AB60" s="6"/>
      <c r="AC60" s="6">
        <v>9568.5810000000001</v>
      </c>
    </row>
    <row r="61" spans="1:29" x14ac:dyDescent="0.25">
      <c r="A61" s="5">
        <v>2017</v>
      </c>
      <c r="B61" s="4" t="s">
        <v>4</v>
      </c>
      <c r="C61" s="6"/>
      <c r="D61" s="6"/>
      <c r="E61" s="6">
        <v>7818.9599999999982</v>
      </c>
      <c r="F61" s="6"/>
      <c r="G61" s="6"/>
      <c r="H61" s="6"/>
      <c r="I61" s="6">
        <v>7818.9599999999982</v>
      </c>
      <c r="K61" s="5">
        <v>2015</v>
      </c>
      <c r="L61" s="4" t="s">
        <v>14</v>
      </c>
      <c r="M61" s="6">
        <v>1062.1379999999999</v>
      </c>
      <c r="N61" s="6"/>
      <c r="O61" s="6">
        <v>64916.580000000198</v>
      </c>
      <c r="P61" s="6">
        <v>0.45</v>
      </c>
      <c r="Q61" s="6">
        <v>5693.3890000000001</v>
      </c>
      <c r="R61" s="6">
        <v>82.594999999999999</v>
      </c>
      <c r="S61" s="6">
        <v>71755.152000000191</v>
      </c>
      <c r="U61" s="5">
        <v>2015</v>
      </c>
      <c r="V61" s="4" t="s">
        <v>15</v>
      </c>
      <c r="W61" s="6">
        <v>429.52299999999997</v>
      </c>
      <c r="X61" s="6">
        <v>2721.7739999999994</v>
      </c>
      <c r="Y61" s="6"/>
      <c r="Z61" s="6">
        <v>254.85899999999995</v>
      </c>
      <c r="AA61" s="6">
        <v>118.67000000000003</v>
      </c>
      <c r="AB61" s="6"/>
      <c r="AC61" s="6">
        <v>3524.8259999999996</v>
      </c>
    </row>
    <row r="62" spans="1:29" x14ac:dyDescent="0.25">
      <c r="A62" s="5">
        <v>2017</v>
      </c>
      <c r="B62" s="4" t="s">
        <v>5</v>
      </c>
      <c r="C62" s="6"/>
      <c r="D62" s="6"/>
      <c r="E62" s="6"/>
      <c r="F62" s="6"/>
      <c r="G62" s="6">
        <v>36.003999999999998</v>
      </c>
      <c r="H62" s="6"/>
      <c r="I62" s="6">
        <v>36.003999999999998</v>
      </c>
      <c r="K62" s="5">
        <v>2015</v>
      </c>
      <c r="L62" s="4" t="s">
        <v>15</v>
      </c>
      <c r="M62" s="6">
        <v>665.25500000000011</v>
      </c>
      <c r="N62" s="6"/>
      <c r="O62" s="6">
        <v>15169.845999999992</v>
      </c>
      <c r="P62" s="6"/>
      <c r="Q62" s="6">
        <v>6631.5829999999996</v>
      </c>
      <c r="R62" s="6">
        <v>376.08900000000011</v>
      </c>
      <c r="S62" s="6">
        <v>22842.77299999999</v>
      </c>
      <c r="U62" s="5">
        <v>2016</v>
      </c>
      <c r="V62" s="4" t="s">
        <v>4</v>
      </c>
      <c r="W62" s="6"/>
      <c r="X62" s="6">
        <v>0.22200000000000003</v>
      </c>
      <c r="Y62" s="6"/>
      <c r="Z62" s="6"/>
      <c r="AA62" s="6">
        <v>114.417</v>
      </c>
      <c r="AB62" s="6"/>
      <c r="AC62" s="6">
        <v>114.639</v>
      </c>
    </row>
    <row r="63" spans="1:29" x14ac:dyDescent="0.25">
      <c r="A63" s="5">
        <v>2017</v>
      </c>
      <c r="B63" s="4" t="s">
        <v>6</v>
      </c>
      <c r="C63" s="6"/>
      <c r="D63" s="6"/>
      <c r="E63" s="6">
        <v>73.013999999999996</v>
      </c>
      <c r="F63" s="6"/>
      <c r="G63" s="6">
        <v>955.06000000000017</v>
      </c>
      <c r="H63" s="6"/>
      <c r="I63" s="6">
        <v>1028.0740000000001</v>
      </c>
      <c r="K63" s="5">
        <v>2016</v>
      </c>
      <c r="L63" s="4" t="s">
        <v>4</v>
      </c>
      <c r="M63" s="6"/>
      <c r="N63" s="6"/>
      <c r="O63" s="6">
        <v>8.6000000000000007E-2</v>
      </c>
      <c r="P63" s="6"/>
      <c r="Q63" s="6">
        <v>0.12</v>
      </c>
      <c r="R63" s="6">
        <v>239.66299999999998</v>
      </c>
      <c r="S63" s="6">
        <v>239.86899999999997</v>
      </c>
      <c r="U63" s="5">
        <v>2016</v>
      </c>
      <c r="V63" s="4" t="s">
        <v>5</v>
      </c>
      <c r="W63" s="6"/>
      <c r="X63" s="6">
        <v>0.16099999999999998</v>
      </c>
      <c r="Y63" s="6"/>
      <c r="Z63" s="6">
        <v>482.27099999999996</v>
      </c>
      <c r="AA63" s="6">
        <v>372.38099999999997</v>
      </c>
      <c r="AB63" s="6"/>
      <c r="AC63" s="6">
        <v>854.81299999999987</v>
      </c>
    </row>
    <row r="64" spans="1:29" x14ac:dyDescent="0.25">
      <c r="A64" s="5">
        <v>2017</v>
      </c>
      <c r="B64" s="4" t="s">
        <v>7</v>
      </c>
      <c r="C64" s="6"/>
      <c r="D64" s="6"/>
      <c r="E64" s="6">
        <v>62.635000000000005</v>
      </c>
      <c r="F64" s="6"/>
      <c r="G64" s="6"/>
      <c r="H64" s="6"/>
      <c r="I64" s="6">
        <v>62.635000000000005</v>
      </c>
      <c r="K64" s="5">
        <v>2016</v>
      </c>
      <c r="L64" s="4" t="s">
        <v>5</v>
      </c>
      <c r="M64" s="6"/>
      <c r="N64" s="6"/>
      <c r="O64" s="6">
        <v>0.17700000000000002</v>
      </c>
      <c r="P64" s="6"/>
      <c r="Q64" s="6">
        <v>14968.367000000004</v>
      </c>
      <c r="R64" s="6">
        <v>770.91800000000046</v>
      </c>
      <c r="S64" s="6">
        <v>15739.462000000003</v>
      </c>
      <c r="U64" s="5">
        <v>2016</v>
      </c>
      <c r="V64" s="4" t="s">
        <v>6</v>
      </c>
      <c r="W64" s="6">
        <v>7.6449999999999996</v>
      </c>
      <c r="X64" s="6">
        <v>29457.580000000042</v>
      </c>
      <c r="Y64" s="6"/>
      <c r="Z64" s="6">
        <v>305.14999999999986</v>
      </c>
      <c r="AA64" s="6">
        <v>20.742000000000001</v>
      </c>
      <c r="AB64" s="6"/>
      <c r="AC64" s="6">
        <v>29791.117000000042</v>
      </c>
    </row>
    <row r="65" spans="1:29" x14ac:dyDescent="0.25">
      <c r="A65" s="5">
        <v>2017</v>
      </c>
      <c r="B65" s="4" t="s">
        <v>8</v>
      </c>
      <c r="C65" s="6">
        <v>84.87700000000001</v>
      </c>
      <c r="D65" s="6"/>
      <c r="E65" s="6">
        <v>168.08500000000001</v>
      </c>
      <c r="F65" s="6"/>
      <c r="G65" s="6"/>
      <c r="H65" s="6"/>
      <c r="I65" s="6">
        <v>252.96200000000002</v>
      </c>
      <c r="K65" s="5">
        <v>2016</v>
      </c>
      <c r="L65" s="4" t="s">
        <v>6</v>
      </c>
      <c r="M65" s="6"/>
      <c r="N65" s="6"/>
      <c r="O65" s="6">
        <v>17716.720000000012</v>
      </c>
      <c r="P65" s="6"/>
      <c r="Q65" s="6">
        <v>7121.1779999999999</v>
      </c>
      <c r="R65" s="6">
        <v>75.942000000000007</v>
      </c>
      <c r="S65" s="6">
        <v>24913.840000000011</v>
      </c>
      <c r="U65" s="5">
        <v>2016</v>
      </c>
      <c r="V65" s="4" t="s">
        <v>7</v>
      </c>
      <c r="W65" s="6">
        <v>146.578</v>
      </c>
      <c r="X65" s="6">
        <v>7406.1900000000087</v>
      </c>
      <c r="Y65" s="6"/>
      <c r="Z65" s="6">
        <v>2205.5650000000005</v>
      </c>
      <c r="AA65" s="6">
        <v>157.86100000000002</v>
      </c>
      <c r="AB65" s="6"/>
      <c r="AC65" s="6">
        <v>9916.1940000000104</v>
      </c>
    </row>
    <row r="66" spans="1:29" x14ac:dyDescent="0.25">
      <c r="A66" s="5">
        <v>2017</v>
      </c>
      <c r="B66" s="4" t="s">
        <v>9</v>
      </c>
      <c r="C66" s="6"/>
      <c r="D66" s="6"/>
      <c r="E66" s="6">
        <v>143.75899999999999</v>
      </c>
      <c r="F66" s="6"/>
      <c r="G66" s="6"/>
      <c r="H66" s="6"/>
      <c r="I66" s="6">
        <v>143.75899999999999</v>
      </c>
      <c r="K66" s="5">
        <v>2016</v>
      </c>
      <c r="L66" s="4" t="s">
        <v>7</v>
      </c>
      <c r="M66" s="6">
        <v>1282.0269999999998</v>
      </c>
      <c r="N66" s="6"/>
      <c r="O66" s="6">
        <v>9037.2360000000062</v>
      </c>
      <c r="P66" s="6"/>
      <c r="Q66" s="6">
        <v>5751.4180000000015</v>
      </c>
      <c r="R66" s="6">
        <v>234.26599999999996</v>
      </c>
      <c r="S66" s="6">
        <v>16304.947000000007</v>
      </c>
      <c r="U66" s="5">
        <v>2016</v>
      </c>
      <c r="V66" s="4" t="s">
        <v>8</v>
      </c>
      <c r="W66" s="6">
        <v>902.00199999999995</v>
      </c>
      <c r="X66" s="6">
        <v>6217.5899999999983</v>
      </c>
      <c r="Y66" s="6"/>
      <c r="Z66" s="6">
        <v>937.24200000000019</v>
      </c>
      <c r="AA66" s="6">
        <v>35.808</v>
      </c>
      <c r="AB66" s="6"/>
      <c r="AC66" s="6">
        <v>8092.6419999999989</v>
      </c>
    </row>
    <row r="67" spans="1:29" x14ac:dyDescent="0.25">
      <c r="A67" s="5">
        <v>2017</v>
      </c>
      <c r="B67" s="4" t="s">
        <v>10</v>
      </c>
      <c r="C67" s="6"/>
      <c r="D67" s="6"/>
      <c r="E67" s="6">
        <v>199.63800000000003</v>
      </c>
      <c r="F67" s="6"/>
      <c r="G67" s="6"/>
      <c r="H67" s="6"/>
      <c r="I67" s="6">
        <v>199.63800000000003</v>
      </c>
      <c r="K67" s="5">
        <v>2016</v>
      </c>
      <c r="L67" s="4" t="s">
        <v>8</v>
      </c>
      <c r="M67" s="6">
        <v>2671.3969999999999</v>
      </c>
      <c r="N67" s="6"/>
      <c r="O67" s="6">
        <v>6985.8140000000039</v>
      </c>
      <c r="P67" s="6">
        <v>0.2</v>
      </c>
      <c r="Q67" s="6">
        <v>13536.824000000008</v>
      </c>
      <c r="R67" s="6">
        <v>306.31900000000002</v>
      </c>
      <c r="S67" s="6">
        <v>23500.554000000011</v>
      </c>
      <c r="U67" s="5">
        <v>2016</v>
      </c>
      <c r="V67" s="4" t="s">
        <v>9</v>
      </c>
      <c r="W67" s="6">
        <v>263.46700000000004</v>
      </c>
      <c r="X67" s="6">
        <v>3318.1660000000006</v>
      </c>
      <c r="Y67" s="6"/>
      <c r="Z67" s="6">
        <v>325.43799999999993</v>
      </c>
      <c r="AA67" s="6">
        <v>518.22399999999993</v>
      </c>
      <c r="AB67" s="6"/>
      <c r="AC67" s="6">
        <v>4425.295000000001</v>
      </c>
    </row>
    <row r="68" spans="1:29" x14ac:dyDescent="0.25">
      <c r="A68" s="5">
        <v>2017</v>
      </c>
      <c r="B68" s="4" t="s">
        <v>11</v>
      </c>
      <c r="C68" s="6"/>
      <c r="D68" s="6"/>
      <c r="E68" s="6">
        <v>105.29999999999998</v>
      </c>
      <c r="F68" s="6"/>
      <c r="G68" s="6"/>
      <c r="H68" s="6"/>
      <c r="I68" s="6">
        <v>105.29999999999998</v>
      </c>
      <c r="K68" s="5">
        <v>2016</v>
      </c>
      <c r="L68" s="4" t="s">
        <v>9</v>
      </c>
      <c r="M68" s="6">
        <v>377.96199999999999</v>
      </c>
      <c r="N68" s="6"/>
      <c r="O68" s="6">
        <v>6646.7789999999995</v>
      </c>
      <c r="P68" s="6"/>
      <c r="Q68" s="6">
        <v>7219.1420000000007</v>
      </c>
      <c r="R68" s="6">
        <v>527.77499999999998</v>
      </c>
      <c r="S68" s="6">
        <v>14771.658000000001</v>
      </c>
      <c r="U68" s="5">
        <v>2016</v>
      </c>
      <c r="V68" s="4" t="s">
        <v>10</v>
      </c>
      <c r="W68" s="6">
        <v>319.47300000000001</v>
      </c>
      <c r="X68" s="6">
        <v>2156.8719999999998</v>
      </c>
      <c r="Y68" s="6"/>
      <c r="Z68" s="6">
        <v>141.904</v>
      </c>
      <c r="AA68" s="6">
        <v>148.58400000000003</v>
      </c>
      <c r="AB68" s="6"/>
      <c r="AC68" s="6">
        <v>2766.8329999999996</v>
      </c>
    </row>
    <row r="69" spans="1:29" x14ac:dyDescent="0.25">
      <c r="A69" s="5">
        <v>2017</v>
      </c>
      <c r="B69" s="4" t="s">
        <v>12</v>
      </c>
      <c r="C69" s="6">
        <v>101.94099999999999</v>
      </c>
      <c r="D69" s="6"/>
      <c r="E69" s="6">
        <v>3</v>
      </c>
      <c r="F69" s="6"/>
      <c r="G69" s="6"/>
      <c r="H69" s="6">
        <v>1.22</v>
      </c>
      <c r="I69" s="6">
        <v>106.16099999999999</v>
      </c>
      <c r="K69" s="5">
        <v>2016</v>
      </c>
      <c r="L69" s="4" t="s">
        <v>10</v>
      </c>
      <c r="M69" s="6">
        <v>541.31900000000007</v>
      </c>
      <c r="N69" s="6"/>
      <c r="O69" s="6">
        <v>5071.998999999998</v>
      </c>
      <c r="P69" s="6"/>
      <c r="Q69" s="6">
        <v>4724.3059999999996</v>
      </c>
      <c r="R69" s="6">
        <v>444.38299999999998</v>
      </c>
      <c r="S69" s="6">
        <v>10782.006999999998</v>
      </c>
      <c r="U69" s="5">
        <v>2016</v>
      </c>
      <c r="V69" s="4" t="s">
        <v>11</v>
      </c>
      <c r="W69" s="6"/>
      <c r="X69" s="6">
        <v>7.0000000000000007E-2</v>
      </c>
      <c r="Y69" s="6"/>
      <c r="Z69" s="6"/>
      <c r="AA69" s="6">
        <v>26.169999999999998</v>
      </c>
      <c r="AB69" s="6"/>
      <c r="AC69" s="6">
        <v>26.24</v>
      </c>
    </row>
    <row r="70" spans="1:29" x14ac:dyDescent="0.25">
      <c r="A70" s="5">
        <v>2017</v>
      </c>
      <c r="B70" s="4" t="s">
        <v>14</v>
      </c>
      <c r="C70" s="6">
        <v>3.8</v>
      </c>
      <c r="D70" s="6"/>
      <c r="E70" s="6"/>
      <c r="F70" s="6"/>
      <c r="G70" s="6"/>
      <c r="H70" s="6"/>
      <c r="I70" s="6">
        <v>3.8</v>
      </c>
      <c r="K70" s="5">
        <v>2016</v>
      </c>
      <c r="L70" s="4" t="s">
        <v>11</v>
      </c>
      <c r="M70" s="6"/>
      <c r="N70" s="6"/>
      <c r="O70" s="6"/>
      <c r="P70" s="6"/>
      <c r="Q70" s="6"/>
      <c r="R70" s="6">
        <v>69.987000000000023</v>
      </c>
      <c r="S70" s="6">
        <v>69.987000000000023</v>
      </c>
      <c r="U70" s="5">
        <v>2016</v>
      </c>
      <c r="V70" s="4" t="s">
        <v>12</v>
      </c>
      <c r="W70" s="6"/>
      <c r="X70" s="6">
        <v>9.5000000000000001E-2</v>
      </c>
      <c r="Y70" s="6"/>
      <c r="Z70" s="6"/>
      <c r="AA70" s="6">
        <v>13.004999999999999</v>
      </c>
      <c r="AB70" s="6"/>
      <c r="AC70" s="6">
        <v>13.1</v>
      </c>
    </row>
    <row r="71" spans="1:29" x14ac:dyDescent="0.25">
      <c r="A71" s="5">
        <v>2017</v>
      </c>
      <c r="B71" s="4" t="s">
        <v>15</v>
      </c>
      <c r="C71" s="6">
        <v>3.2</v>
      </c>
      <c r="D71" s="6"/>
      <c r="E71" s="6">
        <v>46.043999999999997</v>
      </c>
      <c r="F71" s="6"/>
      <c r="G71" s="6"/>
      <c r="H71" s="6">
        <v>15.573</v>
      </c>
      <c r="I71" s="6">
        <v>64.817000000000007</v>
      </c>
      <c r="K71" s="5">
        <v>2016</v>
      </c>
      <c r="L71" s="4" t="s">
        <v>12</v>
      </c>
      <c r="M71" s="6"/>
      <c r="N71" s="6"/>
      <c r="O71" s="6">
        <v>134.51900000000001</v>
      </c>
      <c r="P71" s="6"/>
      <c r="Q71" s="6">
        <v>33.283000000000001</v>
      </c>
      <c r="R71" s="6">
        <v>25.502000000000002</v>
      </c>
      <c r="S71" s="6">
        <v>193.30400000000003</v>
      </c>
      <c r="U71" s="5">
        <v>2016</v>
      </c>
      <c r="V71" s="4" t="s">
        <v>13</v>
      </c>
      <c r="W71" s="6"/>
      <c r="X71" s="6">
        <v>3.6559999999999997</v>
      </c>
      <c r="Y71" s="6"/>
      <c r="Z71" s="6">
        <v>126.88300000000002</v>
      </c>
      <c r="AA71" s="6">
        <v>6.9510000000000005</v>
      </c>
      <c r="AB71" s="6"/>
      <c r="AC71" s="6">
        <v>137.49</v>
      </c>
    </row>
    <row r="72" spans="1:29" x14ac:dyDescent="0.25">
      <c r="A72" s="5">
        <v>2018</v>
      </c>
      <c r="B72" s="4" t="s">
        <v>4</v>
      </c>
      <c r="C72" s="6"/>
      <c r="D72" s="6"/>
      <c r="E72" s="6">
        <v>7457.0219999999999</v>
      </c>
      <c r="F72" s="6"/>
      <c r="G72" s="6"/>
      <c r="H72" s="6">
        <v>32.93</v>
      </c>
      <c r="I72" s="6">
        <v>7489.9520000000002</v>
      </c>
      <c r="K72" s="5">
        <v>2016</v>
      </c>
      <c r="L72" s="4" t="s">
        <v>13</v>
      </c>
      <c r="M72" s="6"/>
      <c r="N72" s="6"/>
      <c r="O72" s="6">
        <v>8.7479999999999976</v>
      </c>
      <c r="P72" s="6">
        <v>0.3</v>
      </c>
      <c r="Q72" s="6">
        <v>11045.192000000005</v>
      </c>
      <c r="R72" s="6">
        <v>12.251000000000001</v>
      </c>
      <c r="S72" s="6">
        <v>11066.491000000005</v>
      </c>
      <c r="U72" s="5">
        <v>2016</v>
      </c>
      <c r="V72" s="4" t="s">
        <v>14</v>
      </c>
      <c r="W72" s="6"/>
      <c r="X72" s="6">
        <v>11347.310000000003</v>
      </c>
      <c r="Y72" s="6"/>
      <c r="Z72" s="6">
        <v>301.39900000000006</v>
      </c>
      <c r="AA72" s="6">
        <v>2.5239999999999996</v>
      </c>
      <c r="AB72" s="6"/>
      <c r="AC72" s="6">
        <v>11651.233000000002</v>
      </c>
    </row>
    <row r="73" spans="1:29" x14ac:dyDescent="0.25">
      <c r="A73" s="5">
        <v>2018</v>
      </c>
      <c r="B73" s="4" t="s">
        <v>5</v>
      </c>
      <c r="C73" s="6">
        <v>27.15</v>
      </c>
      <c r="D73" s="6"/>
      <c r="E73" s="6">
        <v>1398.3600000000001</v>
      </c>
      <c r="F73" s="6"/>
      <c r="G73" s="6"/>
      <c r="H73" s="6">
        <v>12.5</v>
      </c>
      <c r="I73" s="6">
        <v>1438.0100000000002</v>
      </c>
      <c r="K73" s="5">
        <v>2016</v>
      </c>
      <c r="L73" s="4" t="s">
        <v>14</v>
      </c>
      <c r="M73" s="6"/>
      <c r="N73" s="6"/>
      <c r="O73" s="6">
        <v>45220.541000000034</v>
      </c>
      <c r="P73" s="6"/>
      <c r="Q73" s="6">
        <v>8954.148000000001</v>
      </c>
      <c r="R73" s="6">
        <v>2.4249999999999998</v>
      </c>
      <c r="S73" s="6">
        <v>54177.114000000038</v>
      </c>
      <c r="U73" s="5">
        <v>2016</v>
      </c>
      <c r="V73" s="4" t="s">
        <v>15</v>
      </c>
      <c r="W73" s="6"/>
      <c r="X73" s="6">
        <v>129.035</v>
      </c>
      <c r="Y73" s="6"/>
      <c r="Z73" s="6">
        <v>225.43299999999999</v>
      </c>
      <c r="AA73" s="6">
        <v>241.52500000000001</v>
      </c>
      <c r="AB73" s="6"/>
      <c r="AC73" s="6">
        <v>595.99299999999994</v>
      </c>
    </row>
    <row r="74" spans="1:29" x14ac:dyDescent="0.25">
      <c r="A74" s="5">
        <v>2018</v>
      </c>
      <c r="B74" s="4" t="s">
        <v>6</v>
      </c>
      <c r="C74" s="6"/>
      <c r="D74" s="6"/>
      <c r="E74" s="6"/>
      <c r="F74" s="6"/>
      <c r="G74" s="6">
        <v>427.2</v>
      </c>
      <c r="H74" s="6"/>
      <c r="I74" s="6">
        <v>427.2</v>
      </c>
      <c r="K74" s="5">
        <v>2016</v>
      </c>
      <c r="L74" s="4" t="s">
        <v>15</v>
      </c>
      <c r="M74" s="6"/>
      <c r="N74" s="6"/>
      <c r="O74" s="6">
        <v>11742.929000000004</v>
      </c>
      <c r="P74" s="6"/>
      <c r="Q74" s="6">
        <v>10943.232999999997</v>
      </c>
      <c r="R74" s="6">
        <v>122.59400000000002</v>
      </c>
      <c r="S74" s="6">
        <v>22808.756000000001</v>
      </c>
      <c r="U74" s="5">
        <v>2017</v>
      </c>
      <c r="V74" s="4" t="s">
        <v>4</v>
      </c>
      <c r="W74" s="6"/>
      <c r="X74" s="6">
        <v>1.0999999999999999E-2</v>
      </c>
      <c r="Y74" s="6"/>
      <c r="Z74" s="6"/>
      <c r="AA74" s="6">
        <v>46.96</v>
      </c>
      <c r="AB74" s="6"/>
      <c r="AC74" s="6">
        <v>46.971000000000004</v>
      </c>
    </row>
    <row r="75" spans="1:29" x14ac:dyDescent="0.25">
      <c r="A75" s="5">
        <v>2018</v>
      </c>
      <c r="B75" s="4" t="s">
        <v>7</v>
      </c>
      <c r="C75" s="6"/>
      <c r="D75" s="6"/>
      <c r="E75" s="6">
        <v>225.32000000000002</v>
      </c>
      <c r="F75" s="6"/>
      <c r="G75" s="6">
        <v>182.095</v>
      </c>
      <c r="H75" s="6"/>
      <c r="I75" s="6">
        <v>407.41500000000002</v>
      </c>
      <c r="K75" s="5">
        <v>2017</v>
      </c>
      <c r="L75" s="4" t="s">
        <v>4</v>
      </c>
      <c r="M75" s="6"/>
      <c r="N75" s="6"/>
      <c r="O75" s="6">
        <v>0.10300000000000001</v>
      </c>
      <c r="P75" s="6"/>
      <c r="Q75" s="6">
        <v>0.161</v>
      </c>
      <c r="R75" s="6">
        <v>180.93799999999999</v>
      </c>
      <c r="S75" s="6">
        <v>181.202</v>
      </c>
      <c r="U75" s="5">
        <v>2017</v>
      </c>
      <c r="V75" s="4" t="s">
        <v>5</v>
      </c>
      <c r="W75" s="6"/>
      <c r="X75" s="6">
        <v>0.114</v>
      </c>
      <c r="Y75" s="6">
        <v>0.05</v>
      </c>
      <c r="Z75" s="6">
        <v>425.78499999999991</v>
      </c>
      <c r="AA75" s="6">
        <v>311.27900000000005</v>
      </c>
      <c r="AB75" s="6"/>
      <c r="AC75" s="6">
        <v>737.22799999999995</v>
      </c>
    </row>
    <row r="76" spans="1:29" x14ac:dyDescent="0.25">
      <c r="A76" s="5">
        <v>2018</v>
      </c>
      <c r="B76" s="4" t="s">
        <v>8</v>
      </c>
      <c r="C76" s="6"/>
      <c r="D76" s="6"/>
      <c r="E76" s="6">
        <v>149.15199999999999</v>
      </c>
      <c r="F76" s="6"/>
      <c r="G76" s="6"/>
      <c r="H76" s="6"/>
      <c r="I76" s="6">
        <v>149.15199999999999</v>
      </c>
      <c r="K76" s="5">
        <v>2017</v>
      </c>
      <c r="L76" s="4" t="s">
        <v>5</v>
      </c>
      <c r="M76" s="6"/>
      <c r="N76" s="6"/>
      <c r="O76" s="6">
        <v>0.16900000000000004</v>
      </c>
      <c r="P76" s="6">
        <v>0.2</v>
      </c>
      <c r="Q76" s="6">
        <v>10241.215</v>
      </c>
      <c r="R76" s="6">
        <v>2251.518</v>
      </c>
      <c r="S76" s="6">
        <v>12493.102000000001</v>
      </c>
      <c r="U76" s="5">
        <v>2017</v>
      </c>
      <c r="V76" s="4" t="s">
        <v>6</v>
      </c>
      <c r="W76" s="6">
        <v>68.843999999999994</v>
      </c>
      <c r="X76" s="6">
        <v>12809.120000000004</v>
      </c>
      <c r="Y76" s="6">
        <v>8.0000000000000002E-3</v>
      </c>
      <c r="Z76" s="6">
        <v>672.01</v>
      </c>
      <c r="AA76" s="6">
        <v>127.94200000000001</v>
      </c>
      <c r="AB76" s="6"/>
      <c r="AC76" s="6">
        <v>13677.924000000003</v>
      </c>
    </row>
    <row r="77" spans="1:29" x14ac:dyDescent="0.25">
      <c r="A77" s="5">
        <v>2018</v>
      </c>
      <c r="B77" s="4" t="s">
        <v>9</v>
      </c>
      <c r="C77" s="6"/>
      <c r="D77" s="6"/>
      <c r="E77" s="6">
        <v>1318.0639999999999</v>
      </c>
      <c r="F77" s="6"/>
      <c r="G77" s="6"/>
      <c r="H77" s="6">
        <v>5.2</v>
      </c>
      <c r="I77" s="6">
        <v>1323.2639999999999</v>
      </c>
      <c r="K77" s="5">
        <v>2017</v>
      </c>
      <c r="L77" s="4" t="s">
        <v>6</v>
      </c>
      <c r="M77" s="6">
        <v>439.68099999999998</v>
      </c>
      <c r="N77" s="6"/>
      <c r="O77" s="6">
        <v>155239.98799999969</v>
      </c>
      <c r="P77" s="6">
        <v>2.5999999999999999E-2</v>
      </c>
      <c r="Q77" s="6">
        <v>8804.4540000000015</v>
      </c>
      <c r="R77" s="6">
        <v>1174.9659999999999</v>
      </c>
      <c r="S77" s="6">
        <v>165659.1149999997</v>
      </c>
      <c r="U77" s="5">
        <v>2017</v>
      </c>
      <c r="V77" s="4" t="s">
        <v>7</v>
      </c>
      <c r="W77" s="6">
        <v>522.12900000000002</v>
      </c>
      <c r="X77" s="6">
        <v>5337.4189999999999</v>
      </c>
      <c r="Y77" s="6"/>
      <c r="Z77" s="6">
        <v>310.67499999999995</v>
      </c>
      <c r="AA77" s="6">
        <v>5.1400000000000006</v>
      </c>
      <c r="AB77" s="6"/>
      <c r="AC77" s="6">
        <v>6175.3630000000003</v>
      </c>
    </row>
    <row r="78" spans="1:29" x14ac:dyDescent="0.25">
      <c r="A78" s="5">
        <v>2018</v>
      </c>
      <c r="B78" s="4" t="s">
        <v>10</v>
      </c>
      <c r="C78" s="6"/>
      <c r="D78" s="6"/>
      <c r="E78" s="6">
        <v>1630.3729999999998</v>
      </c>
      <c r="F78" s="6"/>
      <c r="G78" s="6"/>
      <c r="H78" s="6"/>
      <c r="I78" s="6">
        <v>1630.3729999999998</v>
      </c>
      <c r="K78" s="5">
        <v>2017</v>
      </c>
      <c r="L78" s="4" t="s">
        <v>7</v>
      </c>
      <c r="M78" s="6">
        <v>1004.5939999999999</v>
      </c>
      <c r="N78" s="6"/>
      <c r="O78" s="6">
        <v>26752.988999999983</v>
      </c>
      <c r="P78" s="6"/>
      <c r="Q78" s="6">
        <v>6213.9540000000006</v>
      </c>
      <c r="R78" s="6">
        <v>2</v>
      </c>
      <c r="S78" s="6">
        <v>33973.536999999982</v>
      </c>
      <c r="U78" s="5">
        <v>2017</v>
      </c>
      <c r="V78" s="4" t="s">
        <v>8</v>
      </c>
      <c r="W78" s="6">
        <v>2543.2900000000009</v>
      </c>
      <c r="X78" s="6">
        <v>5451.753999999999</v>
      </c>
      <c r="Y78" s="6">
        <v>0.05</v>
      </c>
      <c r="Z78" s="6">
        <v>267.25199999999995</v>
      </c>
      <c r="AA78" s="6">
        <v>149.33199999999999</v>
      </c>
      <c r="AB78" s="6"/>
      <c r="AC78" s="6">
        <v>8411.6779999999999</v>
      </c>
    </row>
    <row r="79" spans="1:29" x14ac:dyDescent="0.25">
      <c r="A79" s="5">
        <v>2018</v>
      </c>
      <c r="B79" s="4" t="s">
        <v>11</v>
      </c>
      <c r="C79" s="6"/>
      <c r="D79" s="6"/>
      <c r="E79" s="6">
        <v>225.30699999999999</v>
      </c>
      <c r="F79" s="6"/>
      <c r="G79" s="6"/>
      <c r="H79" s="6"/>
      <c r="I79" s="6">
        <v>225.30699999999999</v>
      </c>
      <c r="K79" s="5">
        <v>2017</v>
      </c>
      <c r="L79" s="4" t="s">
        <v>8</v>
      </c>
      <c r="M79" s="6">
        <v>1081.9380000000003</v>
      </c>
      <c r="N79" s="6"/>
      <c r="O79" s="6">
        <v>19001.623000000032</v>
      </c>
      <c r="P79" s="6">
        <v>0.06</v>
      </c>
      <c r="Q79" s="6">
        <v>9355.1439999999966</v>
      </c>
      <c r="R79" s="6">
        <v>1336.7259999999999</v>
      </c>
      <c r="S79" s="6">
        <v>30775.491000000031</v>
      </c>
      <c r="U79" s="5">
        <v>2017</v>
      </c>
      <c r="V79" s="4" t="s">
        <v>9</v>
      </c>
      <c r="W79" s="6">
        <v>460.27799999999996</v>
      </c>
      <c r="X79" s="6">
        <v>1219.4680000000001</v>
      </c>
      <c r="Y79" s="6"/>
      <c r="Z79" s="6">
        <v>152.76599999999999</v>
      </c>
      <c r="AA79" s="6">
        <v>242.80400000000006</v>
      </c>
      <c r="AB79" s="6"/>
      <c r="AC79" s="6">
        <v>2075.3160000000003</v>
      </c>
    </row>
    <row r="80" spans="1:29" x14ac:dyDescent="0.25">
      <c r="A80" s="5">
        <v>2018</v>
      </c>
      <c r="B80" s="4" t="s">
        <v>13</v>
      </c>
      <c r="C80" s="6">
        <v>8.8650000000000002</v>
      </c>
      <c r="D80" s="6"/>
      <c r="E80" s="6">
        <v>21.729999999999997</v>
      </c>
      <c r="F80" s="6"/>
      <c r="G80" s="6"/>
      <c r="H80" s="6"/>
      <c r="I80" s="6">
        <v>30.594999999999999</v>
      </c>
      <c r="K80" s="5">
        <v>2017</v>
      </c>
      <c r="L80" s="4" t="s">
        <v>9</v>
      </c>
      <c r="M80" s="6">
        <v>483.83499999999998</v>
      </c>
      <c r="N80" s="6"/>
      <c r="O80" s="6">
        <v>8594.1570000000011</v>
      </c>
      <c r="P80" s="6"/>
      <c r="Q80" s="6">
        <v>3446.7250000000008</v>
      </c>
      <c r="R80" s="6">
        <v>440.61500000000001</v>
      </c>
      <c r="S80" s="6">
        <v>12965.332</v>
      </c>
      <c r="U80" s="5">
        <v>2017</v>
      </c>
      <c r="V80" s="4" t="s">
        <v>10</v>
      </c>
      <c r="W80" s="6"/>
      <c r="X80" s="6">
        <v>1268.2199999999998</v>
      </c>
      <c r="Y80" s="6"/>
      <c r="Z80" s="6">
        <v>201.12299999999999</v>
      </c>
      <c r="AA80" s="6">
        <v>230.48499999999999</v>
      </c>
      <c r="AB80" s="6"/>
      <c r="AC80" s="6">
        <v>1699.8279999999997</v>
      </c>
    </row>
    <row r="81" spans="1:29" x14ac:dyDescent="0.25">
      <c r="A81" s="5">
        <v>2018</v>
      </c>
      <c r="B81" s="4" t="s">
        <v>14</v>
      </c>
      <c r="C81" s="6"/>
      <c r="D81" s="6"/>
      <c r="E81" s="6">
        <v>12.635</v>
      </c>
      <c r="F81" s="6"/>
      <c r="G81" s="6"/>
      <c r="H81" s="6"/>
      <c r="I81" s="6">
        <v>12.635</v>
      </c>
      <c r="K81" s="5">
        <v>2017</v>
      </c>
      <c r="L81" s="4" t="s">
        <v>10</v>
      </c>
      <c r="M81" s="6"/>
      <c r="N81" s="6"/>
      <c r="O81" s="6">
        <v>10473.953999999998</v>
      </c>
      <c r="P81" s="6"/>
      <c r="Q81" s="6">
        <v>2161.7119999999995</v>
      </c>
      <c r="R81" s="6">
        <v>239.61000000000007</v>
      </c>
      <c r="S81" s="6">
        <v>12875.275999999998</v>
      </c>
      <c r="U81" s="5">
        <v>2017</v>
      </c>
      <c r="V81" s="4" t="s">
        <v>11</v>
      </c>
      <c r="W81" s="6"/>
      <c r="X81" s="6"/>
      <c r="Y81" s="6"/>
      <c r="Z81" s="6"/>
      <c r="AA81" s="6">
        <v>93.337999999999994</v>
      </c>
      <c r="AB81" s="6"/>
      <c r="AC81" s="6">
        <v>93.337999999999994</v>
      </c>
    </row>
    <row r="82" spans="1:29" x14ac:dyDescent="0.25">
      <c r="A82" s="5">
        <v>2018</v>
      </c>
      <c r="B82" s="4" t="s">
        <v>15</v>
      </c>
      <c r="C82" s="6">
        <v>0.5</v>
      </c>
      <c r="D82" s="6"/>
      <c r="E82" s="6">
        <v>1013.4180000000002</v>
      </c>
      <c r="F82" s="6"/>
      <c r="G82" s="6"/>
      <c r="H82" s="6">
        <v>31.596999999999998</v>
      </c>
      <c r="I82" s="6">
        <v>1045.5150000000003</v>
      </c>
      <c r="K82" s="5">
        <v>2017</v>
      </c>
      <c r="L82" s="4" t="s">
        <v>11</v>
      </c>
      <c r="M82" s="6"/>
      <c r="N82" s="6"/>
      <c r="O82" s="6"/>
      <c r="P82" s="6"/>
      <c r="Q82" s="6"/>
      <c r="R82" s="6">
        <v>88.891999999999967</v>
      </c>
      <c r="S82" s="6">
        <v>88.891999999999967</v>
      </c>
      <c r="U82" s="5">
        <v>2017</v>
      </c>
      <c r="V82" s="4" t="s">
        <v>12</v>
      </c>
      <c r="W82" s="6"/>
      <c r="X82" s="6">
        <v>0.19800000000000001</v>
      </c>
      <c r="Y82" s="6"/>
      <c r="Z82" s="6">
        <v>0.13600000000000001</v>
      </c>
      <c r="AA82" s="6">
        <v>17.71</v>
      </c>
      <c r="AB82" s="6"/>
      <c r="AC82" s="6">
        <v>18.044</v>
      </c>
    </row>
    <row r="83" spans="1:29" x14ac:dyDescent="0.25">
      <c r="A83" s="5">
        <v>2019</v>
      </c>
      <c r="B83" s="4" t="s">
        <v>4</v>
      </c>
      <c r="C83" s="6">
        <v>71.592999999999989</v>
      </c>
      <c r="D83" s="6"/>
      <c r="E83" s="6">
        <v>9484.8909999999996</v>
      </c>
      <c r="F83" s="6"/>
      <c r="G83" s="6"/>
      <c r="H83" s="6">
        <v>83.827999999999989</v>
      </c>
      <c r="I83" s="6">
        <v>9640.3119999999999</v>
      </c>
      <c r="K83" s="5">
        <v>2017</v>
      </c>
      <c r="L83" s="4" t="s">
        <v>12</v>
      </c>
      <c r="M83" s="6"/>
      <c r="N83" s="6"/>
      <c r="O83" s="6">
        <v>0.61500000000000021</v>
      </c>
      <c r="P83" s="6"/>
      <c r="Q83" s="6">
        <v>0.37999999999999995</v>
      </c>
      <c r="R83" s="6">
        <v>11.52</v>
      </c>
      <c r="S83" s="6">
        <v>12.515000000000001</v>
      </c>
      <c r="U83" s="5">
        <v>2017</v>
      </c>
      <c r="V83" s="4" t="s">
        <v>13</v>
      </c>
      <c r="W83" s="6"/>
      <c r="X83" s="6">
        <v>1840.4929999999999</v>
      </c>
      <c r="Y83" s="6"/>
      <c r="Z83" s="6">
        <v>168.19</v>
      </c>
      <c r="AA83" s="6">
        <v>4.4260000000000002</v>
      </c>
      <c r="AB83" s="6"/>
      <c r="AC83" s="6">
        <v>2013.1089999999999</v>
      </c>
    </row>
    <row r="84" spans="1:29" x14ac:dyDescent="0.25">
      <c r="A84" s="5">
        <v>2019</v>
      </c>
      <c r="B84" s="4" t="s">
        <v>5</v>
      </c>
      <c r="C84" s="6">
        <v>20.794</v>
      </c>
      <c r="D84" s="6"/>
      <c r="E84" s="6">
        <v>2154.3740000000007</v>
      </c>
      <c r="F84" s="6"/>
      <c r="G84" s="6">
        <v>340.21700000000004</v>
      </c>
      <c r="H84" s="6">
        <v>37.03</v>
      </c>
      <c r="I84" s="6">
        <v>2552.4150000000009</v>
      </c>
      <c r="K84" s="5">
        <v>2017</v>
      </c>
      <c r="L84" s="4" t="s">
        <v>13</v>
      </c>
      <c r="M84" s="6"/>
      <c r="N84" s="6"/>
      <c r="O84" s="6">
        <v>3762.8879999999999</v>
      </c>
      <c r="P84" s="6"/>
      <c r="Q84" s="6">
        <v>5693.7699999999995</v>
      </c>
      <c r="R84" s="6">
        <v>35.463999999999999</v>
      </c>
      <c r="S84" s="6">
        <v>9492.1219999999994</v>
      </c>
      <c r="U84" s="5">
        <v>2017</v>
      </c>
      <c r="V84" s="4" t="s">
        <v>14</v>
      </c>
      <c r="W84" s="6">
        <v>85.795000000000002</v>
      </c>
      <c r="X84" s="6">
        <v>14006.958000000006</v>
      </c>
      <c r="Y84" s="6"/>
      <c r="Z84" s="6">
        <v>250.71799999999996</v>
      </c>
      <c r="AA84" s="6">
        <v>2.2000000000000002</v>
      </c>
      <c r="AB84" s="6"/>
      <c r="AC84" s="6">
        <v>14345.671000000008</v>
      </c>
    </row>
    <row r="85" spans="1:29" x14ac:dyDescent="0.25">
      <c r="A85" s="5">
        <v>2019</v>
      </c>
      <c r="B85" s="4" t="s">
        <v>6</v>
      </c>
      <c r="C85" s="6">
        <v>17.728999999999999</v>
      </c>
      <c r="D85" s="6"/>
      <c r="E85" s="6">
        <v>153.12200000000001</v>
      </c>
      <c r="F85" s="6"/>
      <c r="G85" s="6">
        <v>355.85199999999998</v>
      </c>
      <c r="H85" s="6">
        <v>1.0389999999999999</v>
      </c>
      <c r="I85" s="6">
        <v>527.74199999999996</v>
      </c>
      <c r="K85" s="5">
        <v>2017</v>
      </c>
      <c r="L85" s="4" t="s">
        <v>14</v>
      </c>
      <c r="M85" s="6">
        <v>167.80100000000004</v>
      </c>
      <c r="N85" s="6"/>
      <c r="O85" s="6">
        <v>18470.853000000028</v>
      </c>
      <c r="P85" s="6"/>
      <c r="Q85" s="6">
        <v>6977.8370000000041</v>
      </c>
      <c r="R85" s="6">
        <v>18.344000000000001</v>
      </c>
      <c r="S85" s="6">
        <v>25634.835000000032</v>
      </c>
      <c r="U85" s="5">
        <v>2017</v>
      </c>
      <c r="V85" s="4" t="s">
        <v>15</v>
      </c>
      <c r="W85" s="6"/>
      <c r="X85" s="6">
        <v>4299.402000000001</v>
      </c>
      <c r="Y85" s="6"/>
      <c r="Z85" s="6">
        <v>75.663999999999987</v>
      </c>
      <c r="AA85" s="6">
        <v>243.285</v>
      </c>
      <c r="AB85" s="6"/>
      <c r="AC85" s="6">
        <v>4618.3510000000006</v>
      </c>
    </row>
    <row r="86" spans="1:29" x14ac:dyDescent="0.25">
      <c r="A86" s="5">
        <v>2019</v>
      </c>
      <c r="B86" s="4" t="s">
        <v>7</v>
      </c>
      <c r="C86" s="6">
        <v>20.819000000000003</v>
      </c>
      <c r="D86" s="6"/>
      <c r="E86" s="6">
        <v>91.531000000000006</v>
      </c>
      <c r="F86" s="6"/>
      <c r="G86" s="6">
        <v>158.505</v>
      </c>
      <c r="H86" s="6"/>
      <c r="I86" s="6">
        <v>270.85500000000002</v>
      </c>
      <c r="K86" s="5">
        <v>2017</v>
      </c>
      <c r="L86" s="4" t="s">
        <v>15</v>
      </c>
      <c r="M86" s="6"/>
      <c r="N86" s="6"/>
      <c r="O86" s="6">
        <v>6877.0440000000071</v>
      </c>
      <c r="P86" s="6"/>
      <c r="Q86" s="6">
        <v>6751.1610000000001</v>
      </c>
      <c r="R86" s="6">
        <v>232.22700000000003</v>
      </c>
      <c r="S86" s="6">
        <v>13860.432000000008</v>
      </c>
      <c r="U86" s="5">
        <v>2018</v>
      </c>
      <c r="V86" s="4" t="s">
        <v>4</v>
      </c>
      <c r="W86" s="6"/>
      <c r="X86" s="6">
        <v>1.4E-2</v>
      </c>
      <c r="Y86" s="6"/>
      <c r="Z86" s="6"/>
      <c r="AA86" s="6">
        <v>9.24</v>
      </c>
      <c r="AB86" s="6"/>
      <c r="AC86" s="6">
        <v>9.2539999999999996</v>
      </c>
    </row>
    <row r="87" spans="1:29" x14ac:dyDescent="0.25">
      <c r="A87" s="5">
        <v>2019</v>
      </c>
      <c r="B87" s="4" t="s">
        <v>8</v>
      </c>
      <c r="C87" s="6">
        <v>2.883</v>
      </c>
      <c r="D87" s="6"/>
      <c r="E87" s="6"/>
      <c r="F87" s="6"/>
      <c r="G87" s="6"/>
      <c r="H87" s="6"/>
      <c r="I87" s="6">
        <v>2.883</v>
      </c>
      <c r="K87" s="5">
        <v>2018</v>
      </c>
      <c r="L87" s="4" t="s">
        <v>4</v>
      </c>
      <c r="M87" s="6"/>
      <c r="N87" s="6"/>
      <c r="O87" s="6">
        <v>4.2999999999999997E-2</v>
      </c>
      <c r="P87" s="6">
        <v>4.0000000000000001E-3</v>
      </c>
      <c r="Q87" s="6">
        <v>0.17999999999999997</v>
      </c>
      <c r="R87" s="6">
        <v>1.7</v>
      </c>
      <c r="S87" s="6">
        <v>1.927</v>
      </c>
      <c r="U87" s="5">
        <v>2018</v>
      </c>
      <c r="V87" s="4" t="s">
        <v>5</v>
      </c>
      <c r="W87" s="6"/>
      <c r="X87" s="6">
        <v>0.17100000000000004</v>
      </c>
      <c r="Y87" s="6"/>
      <c r="Z87" s="6">
        <v>1750.1180000000006</v>
      </c>
      <c r="AA87" s="6">
        <v>11.2</v>
      </c>
      <c r="AB87" s="6"/>
      <c r="AC87" s="6">
        <v>1761.4890000000007</v>
      </c>
    </row>
    <row r="88" spans="1:29" x14ac:dyDescent="0.25">
      <c r="A88" s="5">
        <v>2019</v>
      </c>
      <c r="B88" s="4" t="s">
        <v>9</v>
      </c>
      <c r="C88" s="6">
        <v>0.5</v>
      </c>
      <c r="D88" s="6"/>
      <c r="E88" s="6">
        <v>638.94399999999996</v>
      </c>
      <c r="F88" s="6"/>
      <c r="G88" s="6"/>
      <c r="H88" s="6"/>
      <c r="I88" s="6">
        <v>639.44399999999996</v>
      </c>
      <c r="K88" s="5">
        <v>2018</v>
      </c>
      <c r="L88" s="4" t="s">
        <v>5</v>
      </c>
      <c r="M88" s="6"/>
      <c r="N88" s="6"/>
      <c r="O88" s="6">
        <v>0.43200000000000005</v>
      </c>
      <c r="P88" s="6">
        <v>0.04</v>
      </c>
      <c r="Q88" s="6">
        <v>8505.2439999999988</v>
      </c>
      <c r="R88" s="6">
        <v>33.085999999999999</v>
      </c>
      <c r="S88" s="6">
        <v>8538.8019999999979</v>
      </c>
      <c r="U88" s="5">
        <v>2018</v>
      </c>
      <c r="V88" s="4" t="s">
        <v>6</v>
      </c>
      <c r="W88" s="6">
        <v>837.25500000000022</v>
      </c>
      <c r="X88" s="6">
        <v>12517.028000000004</v>
      </c>
      <c r="Y88" s="6"/>
      <c r="Z88" s="6">
        <v>1500.2709999999995</v>
      </c>
      <c r="AA88" s="6">
        <v>10.375</v>
      </c>
      <c r="AB88" s="6"/>
      <c r="AC88" s="6">
        <v>14864.929000000004</v>
      </c>
    </row>
    <row r="89" spans="1:29" x14ac:dyDescent="0.25">
      <c r="A89" s="5">
        <v>2019</v>
      </c>
      <c r="B89" s="4" t="s">
        <v>10</v>
      </c>
      <c r="C89" s="6"/>
      <c r="D89" s="6"/>
      <c r="E89" s="6">
        <v>12.19</v>
      </c>
      <c r="F89" s="6"/>
      <c r="G89" s="6"/>
      <c r="H89" s="6"/>
      <c r="I89" s="6">
        <v>12.19</v>
      </c>
      <c r="K89" s="5">
        <v>2018</v>
      </c>
      <c r="L89" s="4" t="s">
        <v>6</v>
      </c>
      <c r="M89" s="6">
        <v>1778.6760000000004</v>
      </c>
      <c r="N89" s="6"/>
      <c r="O89" s="6">
        <v>116479.46100000007</v>
      </c>
      <c r="P89" s="6"/>
      <c r="Q89" s="6">
        <v>7943.1130000000003</v>
      </c>
      <c r="R89" s="6">
        <v>0.53</v>
      </c>
      <c r="S89" s="6">
        <v>126201.78000000007</v>
      </c>
      <c r="U89" s="5">
        <v>2018</v>
      </c>
      <c r="V89" s="4" t="s">
        <v>7</v>
      </c>
      <c r="W89" s="6">
        <v>379.51300000000003</v>
      </c>
      <c r="X89" s="6">
        <v>10070.452999999998</v>
      </c>
      <c r="Y89" s="6"/>
      <c r="Z89" s="6">
        <v>1443.8240000000005</v>
      </c>
      <c r="AA89" s="6">
        <v>1.5</v>
      </c>
      <c r="AB89" s="6"/>
      <c r="AC89" s="6">
        <v>11895.289999999999</v>
      </c>
    </row>
    <row r="90" spans="1:29" x14ac:dyDescent="0.25">
      <c r="A90" s="5">
        <v>2019</v>
      </c>
      <c r="B90" s="4" t="s">
        <v>12</v>
      </c>
      <c r="C90" s="6"/>
      <c r="D90" s="6"/>
      <c r="E90" s="6">
        <v>60.073000000000008</v>
      </c>
      <c r="F90" s="6"/>
      <c r="G90" s="6"/>
      <c r="H90" s="6"/>
      <c r="I90" s="6">
        <v>60.073000000000008</v>
      </c>
      <c r="K90" s="5">
        <v>2018</v>
      </c>
      <c r="L90" s="4" t="s">
        <v>7</v>
      </c>
      <c r="M90" s="6">
        <v>1871.9370000000001</v>
      </c>
      <c r="N90" s="6"/>
      <c r="O90" s="6">
        <v>68473.515000000014</v>
      </c>
      <c r="P90" s="6"/>
      <c r="Q90" s="6">
        <v>5054.7440000000006</v>
      </c>
      <c r="R90" s="6">
        <v>4</v>
      </c>
      <c r="S90" s="6">
        <v>75404.196000000025</v>
      </c>
      <c r="U90" s="5">
        <v>2018</v>
      </c>
      <c r="V90" s="4" t="s">
        <v>8</v>
      </c>
      <c r="W90" s="6">
        <v>595.03499999999997</v>
      </c>
      <c r="X90" s="6">
        <v>6173.6090000000004</v>
      </c>
      <c r="Y90" s="6"/>
      <c r="Z90" s="6">
        <v>722.69699999999989</v>
      </c>
      <c r="AA90" s="6">
        <v>17.108000000000001</v>
      </c>
      <c r="AB90" s="6"/>
      <c r="AC90" s="6">
        <v>7508.4490000000005</v>
      </c>
    </row>
    <row r="91" spans="1:29" x14ac:dyDescent="0.25">
      <c r="A91" s="5">
        <v>2019</v>
      </c>
      <c r="B91" s="4" t="s">
        <v>13</v>
      </c>
      <c r="C91" s="6"/>
      <c r="D91" s="6"/>
      <c r="E91" s="6">
        <v>22.408000000000001</v>
      </c>
      <c r="F91" s="6"/>
      <c r="G91" s="6"/>
      <c r="H91" s="6"/>
      <c r="I91" s="6">
        <v>22.408000000000001</v>
      </c>
      <c r="K91" s="5">
        <v>2018</v>
      </c>
      <c r="L91" s="4" t="s">
        <v>8</v>
      </c>
      <c r="M91" s="6"/>
      <c r="N91" s="6"/>
      <c r="O91" s="6">
        <v>25749.916999999972</v>
      </c>
      <c r="P91" s="6"/>
      <c r="Q91" s="6">
        <v>5382.9519999999993</v>
      </c>
      <c r="R91" s="6">
        <v>38.369</v>
      </c>
      <c r="S91" s="6">
        <v>31171.237999999968</v>
      </c>
      <c r="U91" s="5">
        <v>2018</v>
      </c>
      <c r="V91" s="4" t="s">
        <v>9</v>
      </c>
      <c r="W91" s="6"/>
      <c r="X91" s="6">
        <v>5209.9659999999994</v>
      </c>
      <c r="Y91" s="6"/>
      <c r="Z91" s="6">
        <v>365.81600000000003</v>
      </c>
      <c r="AA91" s="6">
        <v>9.6760000000000002</v>
      </c>
      <c r="AB91" s="6"/>
      <c r="AC91" s="6">
        <v>5585.4579999999996</v>
      </c>
    </row>
    <row r="92" spans="1:29" x14ac:dyDescent="0.25">
      <c r="A92" s="5">
        <v>2019</v>
      </c>
      <c r="B92" s="4" t="s">
        <v>14</v>
      </c>
      <c r="C92" s="6"/>
      <c r="D92" s="6"/>
      <c r="E92" s="6">
        <v>573.56399999999996</v>
      </c>
      <c r="F92" s="6"/>
      <c r="G92" s="6"/>
      <c r="H92" s="6"/>
      <c r="I92" s="6">
        <v>573.56399999999996</v>
      </c>
      <c r="K92" s="5">
        <v>2018</v>
      </c>
      <c r="L92" s="4" t="s">
        <v>9</v>
      </c>
      <c r="M92" s="6"/>
      <c r="N92" s="6"/>
      <c r="O92" s="6">
        <v>18939.464000000004</v>
      </c>
      <c r="P92" s="6"/>
      <c r="Q92" s="6">
        <v>4254.1469999999999</v>
      </c>
      <c r="R92" s="6">
        <v>230.19799999999998</v>
      </c>
      <c r="S92" s="6">
        <v>23423.809000000005</v>
      </c>
      <c r="U92" s="5">
        <v>2018</v>
      </c>
      <c r="V92" s="4" t="s">
        <v>10</v>
      </c>
      <c r="W92" s="6">
        <v>13.099</v>
      </c>
      <c r="X92" s="6"/>
      <c r="Y92" s="6"/>
      <c r="Z92" s="6"/>
      <c r="AA92" s="6">
        <v>2.952</v>
      </c>
      <c r="AB92" s="6"/>
      <c r="AC92" s="6">
        <v>16.051000000000002</v>
      </c>
    </row>
    <row r="93" spans="1:29" x14ac:dyDescent="0.25">
      <c r="A93" s="5">
        <v>2019</v>
      </c>
      <c r="B93" s="4" t="s">
        <v>15</v>
      </c>
      <c r="C93" s="6"/>
      <c r="D93" s="6"/>
      <c r="E93" s="6">
        <v>502.31599999999997</v>
      </c>
      <c r="F93" s="6"/>
      <c r="G93" s="6"/>
      <c r="H93" s="6"/>
      <c r="I93" s="6">
        <v>502.31599999999997</v>
      </c>
      <c r="K93" s="5">
        <v>2018</v>
      </c>
      <c r="L93" s="4" t="s">
        <v>10</v>
      </c>
      <c r="M93" s="6">
        <v>14.236000000000001</v>
      </c>
      <c r="N93" s="6"/>
      <c r="O93" s="6">
        <v>69.040000000000006</v>
      </c>
      <c r="P93" s="6"/>
      <c r="Q93" s="6">
        <v>1120.2820000000002</v>
      </c>
      <c r="R93" s="6">
        <v>139.92099999999999</v>
      </c>
      <c r="S93" s="6">
        <v>1343.4790000000003</v>
      </c>
      <c r="U93" s="5">
        <v>2018</v>
      </c>
      <c r="V93" s="4" t="s">
        <v>11</v>
      </c>
      <c r="W93" s="6"/>
      <c r="X93" s="6">
        <v>0.21000000000000002</v>
      </c>
      <c r="Y93" s="6"/>
      <c r="Z93" s="6">
        <v>6.0000000000000005E-2</v>
      </c>
      <c r="AA93" s="6">
        <v>0.44500000000000001</v>
      </c>
      <c r="AB93" s="6"/>
      <c r="AC93" s="6">
        <v>0.71500000000000008</v>
      </c>
    </row>
    <row r="94" spans="1:29" x14ac:dyDescent="0.25">
      <c r="A94" s="5">
        <v>2020</v>
      </c>
      <c r="B94" s="4" t="s">
        <v>4</v>
      </c>
      <c r="C94" s="6"/>
      <c r="D94" s="6"/>
      <c r="E94" s="6">
        <v>10525.548000000001</v>
      </c>
      <c r="F94" s="6"/>
      <c r="G94" s="6"/>
      <c r="H94" s="6"/>
      <c r="I94" s="6">
        <v>10525.548000000001</v>
      </c>
      <c r="K94" s="5">
        <v>2018</v>
      </c>
      <c r="L94" s="4" t="s">
        <v>11</v>
      </c>
      <c r="M94" s="6"/>
      <c r="N94" s="6"/>
      <c r="O94" s="6">
        <v>7.0239999999999991</v>
      </c>
      <c r="P94" s="6"/>
      <c r="Q94" s="6">
        <v>0.14000000000000001</v>
      </c>
      <c r="R94" s="6">
        <v>42.102000000000004</v>
      </c>
      <c r="S94" s="6">
        <v>49.266000000000005</v>
      </c>
      <c r="U94" s="5">
        <v>2018</v>
      </c>
      <c r="V94" s="4" t="s">
        <v>12</v>
      </c>
      <c r="W94" s="6"/>
      <c r="X94" s="6">
        <v>4.8000000000000001E-2</v>
      </c>
      <c r="Y94" s="6"/>
      <c r="Z94" s="6"/>
      <c r="AA94" s="6">
        <v>98.436000000000007</v>
      </c>
      <c r="AB94" s="6"/>
      <c r="AC94" s="6">
        <v>98.484000000000009</v>
      </c>
    </row>
    <row r="95" spans="1:29" x14ac:dyDescent="0.25">
      <c r="A95" s="5">
        <v>2020</v>
      </c>
      <c r="B95" s="4" t="s">
        <v>5</v>
      </c>
      <c r="C95" s="6">
        <v>135.23400000000001</v>
      </c>
      <c r="D95" s="6"/>
      <c r="E95" s="6">
        <v>1518.2550000000001</v>
      </c>
      <c r="F95" s="6"/>
      <c r="G95" s="6">
        <v>1084.4620000000002</v>
      </c>
      <c r="H95" s="6"/>
      <c r="I95" s="6">
        <v>2737.951</v>
      </c>
      <c r="K95" s="5">
        <v>2018</v>
      </c>
      <c r="L95" s="4" t="s">
        <v>12</v>
      </c>
      <c r="M95" s="6"/>
      <c r="N95" s="6"/>
      <c r="O95" s="6">
        <v>2.9539999999999997</v>
      </c>
      <c r="P95" s="6"/>
      <c r="Q95" s="6">
        <v>0.13</v>
      </c>
      <c r="R95" s="6">
        <v>158.53200000000001</v>
      </c>
      <c r="S95" s="6">
        <v>161.61600000000001</v>
      </c>
      <c r="U95" s="5">
        <v>2018</v>
      </c>
      <c r="V95" s="4" t="s">
        <v>13</v>
      </c>
      <c r="W95" s="6"/>
      <c r="X95" s="6">
        <v>1045.6580000000001</v>
      </c>
      <c r="Y95" s="6"/>
      <c r="Z95" s="6">
        <v>134.36500000000001</v>
      </c>
      <c r="AA95" s="6">
        <v>1.2130000000000001</v>
      </c>
      <c r="AB95" s="6"/>
      <c r="AC95" s="6">
        <v>1181.2360000000001</v>
      </c>
    </row>
    <row r="96" spans="1:29" x14ac:dyDescent="0.25">
      <c r="A96" s="5">
        <v>2020</v>
      </c>
      <c r="B96" s="4" t="s">
        <v>6</v>
      </c>
      <c r="C96" s="6">
        <v>114.849</v>
      </c>
      <c r="D96" s="6"/>
      <c r="E96" s="6">
        <v>2009.1739999999995</v>
      </c>
      <c r="F96" s="6"/>
      <c r="G96" s="6"/>
      <c r="H96" s="6"/>
      <c r="I96" s="6">
        <v>2124.0229999999997</v>
      </c>
      <c r="K96" s="5">
        <v>2018</v>
      </c>
      <c r="L96" s="4" t="s">
        <v>13</v>
      </c>
      <c r="M96" s="6"/>
      <c r="N96" s="6"/>
      <c r="O96" s="6">
        <v>3659.9050000000007</v>
      </c>
      <c r="P96" s="6"/>
      <c r="Q96" s="6">
        <v>6809.9229999999961</v>
      </c>
      <c r="R96" s="6">
        <v>4.0000000000000001E-3</v>
      </c>
      <c r="S96" s="6">
        <v>10469.831999999999</v>
      </c>
      <c r="U96" s="5">
        <v>2018</v>
      </c>
      <c r="V96" s="4" t="s">
        <v>14</v>
      </c>
      <c r="W96" s="6">
        <v>51.048999999999999</v>
      </c>
      <c r="X96" s="6">
        <v>15663.304000000031</v>
      </c>
      <c r="Y96" s="6"/>
      <c r="Z96" s="6">
        <v>122.245</v>
      </c>
      <c r="AA96" s="6">
        <v>3.294</v>
      </c>
      <c r="AB96" s="6"/>
      <c r="AC96" s="6">
        <v>15839.892000000033</v>
      </c>
    </row>
    <row r="97" spans="1:29" x14ac:dyDescent="0.25">
      <c r="A97" s="5">
        <v>2020</v>
      </c>
      <c r="B97" s="4" t="s">
        <v>7</v>
      </c>
      <c r="C97" s="6"/>
      <c r="D97" s="6"/>
      <c r="E97" s="6">
        <v>8.3030000000000008</v>
      </c>
      <c r="F97" s="6"/>
      <c r="G97" s="6"/>
      <c r="H97" s="6"/>
      <c r="I97" s="6">
        <v>8.3030000000000008</v>
      </c>
      <c r="K97" s="5">
        <v>2018</v>
      </c>
      <c r="L97" s="4" t="s">
        <v>14</v>
      </c>
      <c r="M97" s="6">
        <v>987.15399999999977</v>
      </c>
      <c r="N97" s="6"/>
      <c r="O97" s="6">
        <v>36996.391000000069</v>
      </c>
      <c r="P97" s="6"/>
      <c r="Q97" s="6">
        <v>8861.9350000000013</v>
      </c>
      <c r="R97" s="6"/>
      <c r="S97" s="6">
        <v>46845.480000000069</v>
      </c>
      <c r="U97" s="5">
        <v>2018</v>
      </c>
      <c r="V97" s="4" t="s">
        <v>15</v>
      </c>
      <c r="W97" s="6">
        <v>13.301</v>
      </c>
      <c r="X97" s="6">
        <v>1134.8770000000002</v>
      </c>
      <c r="Y97" s="6"/>
      <c r="Z97" s="6">
        <v>35.738999999999997</v>
      </c>
      <c r="AA97" s="6">
        <v>230.12199999999999</v>
      </c>
      <c r="AB97" s="6"/>
      <c r="AC97" s="6">
        <v>1414.0390000000002</v>
      </c>
    </row>
    <row r="98" spans="1:29" x14ac:dyDescent="0.25">
      <c r="A98" s="5">
        <v>2020</v>
      </c>
      <c r="B98" s="4" t="s">
        <v>8</v>
      </c>
      <c r="C98" s="6"/>
      <c r="D98" s="6"/>
      <c r="E98" s="6">
        <v>0.31</v>
      </c>
      <c r="F98" s="6"/>
      <c r="G98" s="6"/>
      <c r="H98" s="6"/>
      <c r="I98" s="6">
        <v>0.31</v>
      </c>
      <c r="K98" s="5">
        <v>2018</v>
      </c>
      <c r="L98" s="4" t="s">
        <v>15</v>
      </c>
      <c r="M98" s="6">
        <v>51.437999999999995</v>
      </c>
      <c r="N98" s="6"/>
      <c r="O98" s="6">
        <v>5772.0000000000018</v>
      </c>
      <c r="P98" s="6"/>
      <c r="Q98" s="6">
        <v>1919.2160000000001</v>
      </c>
      <c r="R98" s="6">
        <v>20.876000000000001</v>
      </c>
      <c r="S98" s="6">
        <v>7763.5300000000025</v>
      </c>
      <c r="U98" s="5">
        <v>2019</v>
      </c>
      <c r="V98" s="4" t="s">
        <v>4</v>
      </c>
      <c r="W98" s="6"/>
      <c r="X98" s="6"/>
      <c r="Y98" s="6"/>
      <c r="Z98" s="6"/>
      <c r="AA98" s="6">
        <v>199.34</v>
      </c>
      <c r="AB98" s="6"/>
      <c r="AC98" s="6">
        <v>199.34</v>
      </c>
    </row>
    <row r="99" spans="1:29" x14ac:dyDescent="0.25">
      <c r="A99" s="5">
        <v>2020</v>
      </c>
      <c r="B99" s="4" t="s">
        <v>11</v>
      </c>
      <c r="C99" s="6"/>
      <c r="D99" s="6"/>
      <c r="E99" s="6">
        <v>201.43799999999999</v>
      </c>
      <c r="F99" s="6"/>
      <c r="G99" s="6"/>
      <c r="H99" s="6"/>
      <c r="I99" s="6">
        <v>201.43799999999999</v>
      </c>
      <c r="K99" s="5">
        <v>2019</v>
      </c>
      <c r="L99" s="4" t="s">
        <v>4</v>
      </c>
      <c r="M99" s="6"/>
      <c r="N99" s="6"/>
      <c r="O99" s="6">
        <v>1.1000000000000001</v>
      </c>
      <c r="P99" s="6"/>
      <c r="Q99" s="6"/>
      <c r="R99" s="6">
        <v>52.02</v>
      </c>
      <c r="S99" s="6">
        <v>53.120000000000005</v>
      </c>
      <c r="U99" s="5">
        <v>2019</v>
      </c>
      <c r="V99" s="4" t="s">
        <v>5</v>
      </c>
      <c r="W99" s="6"/>
      <c r="X99" s="6">
        <v>8.6000000000000007E-2</v>
      </c>
      <c r="Y99" s="6">
        <v>7.0000000000000007E-2</v>
      </c>
      <c r="Z99" s="6">
        <v>12.495999999999999</v>
      </c>
      <c r="AA99" s="6">
        <v>77.968999999999994</v>
      </c>
      <c r="AB99" s="6"/>
      <c r="AC99" s="6">
        <v>90.620999999999995</v>
      </c>
    </row>
    <row r="100" spans="1:29" x14ac:dyDescent="0.25">
      <c r="A100" s="5">
        <v>2020</v>
      </c>
      <c r="B100" s="4" t="s">
        <v>12</v>
      </c>
      <c r="C100" s="6"/>
      <c r="D100" s="6"/>
      <c r="E100" s="6">
        <v>5.9249999999999998</v>
      </c>
      <c r="F100" s="6"/>
      <c r="G100" s="6"/>
      <c r="H100" s="6"/>
      <c r="I100" s="6">
        <v>5.9249999999999998</v>
      </c>
      <c r="K100" s="5">
        <v>2019</v>
      </c>
      <c r="L100" s="4" t="s">
        <v>5</v>
      </c>
      <c r="M100" s="6"/>
      <c r="N100" s="6"/>
      <c r="O100" s="6">
        <v>3.2179999999999995</v>
      </c>
      <c r="P100" s="6">
        <v>0.24000000000000002</v>
      </c>
      <c r="Q100" s="6">
        <v>12826.72</v>
      </c>
      <c r="R100" s="6">
        <v>111.83099999999999</v>
      </c>
      <c r="S100" s="6">
        <v>12942.009</v>
      </c>
      <c r="U100" s="5">
        <v>2019</v>
      </c>
      <c r="V100" s="4" t="s">
        <v>6</v>
      </c>
      <c r="W100" s="6"/>
      <c r="X100" s="6">
        <v>31517.91100000004</v>
      </c>
      <c r="Y100" s="6"/>
      <c r="Z100" s="6">
        <v>126.485</v>
      </c>
      <c r="AA100" s="6">
        <v>18.25</v>
      </c>
      <c r="AB100" s="6"/>
      <c r="AC100" s="6">
        <v>31662.646000000041</v>
      </c>
    </row>
    <row r="101" spans="1:29" x14ac:dyDescent="0.25">
      <c r="A101" s="5">
        <v>2020</v>
      </c>
      <c r="B101" s="4" t="s">
        <v>14</v>
      </c>
      <c r="C101" s="6"/>
      <c r="D101" s="6"/>
      <c r="E101" s="6">
        <v>211.59500000000003</v>
      </c>
      <c r="F101" s="6"/>
      <c r="G101" s="6"/>
      <c r="H101" s="6"/>
      <c r="I101" s="6">
        <v>211.59500000000003</v>
      </c>
      <c r="K101" s="5">
        <v>2019</v>
      </c>
      <c r="L101" s="4" t="s">
        <v>6</v>
      </c>
      <c r="M101" s="6"/>
      <c r="N101" s="6"/>
      <c r="O101" s="6">
        <v>93822.829000000303</v>
      </c>
      <c r="P101" s="6"/>
      <c r="Q101" s="6">
        <v>13317.113999999998</v>
      </c>
      <c r="R101" s="6">
        <v>101.383</v>
      </c>
      <c r="S101" s="6">
        <v>107241.32600000031</v>
      </c>
      <c r="U101" s="5">
        <v>2019</v>
      </c>
      <c r="V101" s="4" t="s">
        <v>7</v>
      </c>
      <c r="W101" s="6">
        <v>1809.9069999999999</v>
      </c>
      <c r="X101" s="6">
        <v>42750.593000000008</v>
      </c>
      <c r="Y101" s="6"/>
      <c r="Z101" s="6">
        <v>112.14099999999999</v>
      </c>
      <c r="AA101" s="6">
        <v>0.05</v>
      </c>
      <c r="AB101" s="6"/>
      <c r="AC101" s="6">
        <v>44672.691000000013</v>
      </c>
    </row>
    <row r="102" spans="1:29" x14ac:dyDescent="0.25">
      <c r="A102" s="5">
        <v>2020</v>
      </c>
      <c r="B102" s="4" t="s">
        <v>15</v>
      </c>
      <c r="C102" s="6"/>
      <c r="D102" s="6"/>
      <c r="E102" s="6">
        <v>211.16</v>
      </c>
      <c r="F102" s="6"/>
      <c r="G102" s="6"/>
      <c r="H102" s="6">
        <v>2.5</v>
      </c>
      <c r="I102" s="6">
        <v>213.66</v>
      </c>
      <c r="K102" s="5">
        <v>2019</v>
      </c>
      <c r="L102" s="4" t="s">
        <v>7</v>
      </c>
      <c r="M102" s="6">
        <v>235.608</v>
      </c>
      <c r="N102" s="6"/>
      <c r="O102" s="6">
        <v>53243.647999999965</v>
      </c>
      <c r="P102" s="6"/>
      <c r="Q102" s="6">
        <v>12122.059999999996</v>
      </c>
      <c r="R102" s="6">
        <v>16</v>
      </c>
      <c r="S102" s="6">
        <v>65617.315999999963</v>
      </c>
      <c r="U102" s="5">
        <v>2019</v>
      </c>
      <c r="V102" s="4" t="s">
        <v>8</v>
      </c>
      <c r="W102" s="6">
        <v>1150.481</v>
      </c>
      <c r="X102" s="6">
        <v>24578.353999999999</v>
      </c>
      <c r="Y102" s="6"/>
      <c r="Z102" s="6">
        <v>1034.3039999999999</v>
      </c>
      <c r="AA102" s="6">
        <v>96.952999999999989</v>
      </c>
      <c r="AB102" s="6"/>
      <c r="AC102" s="6">
        <v>26860.092000000001</v>
      </c>
    </row>
    <row r="103" spans="1:29" x14ac:dyDescent="0.25">
      <c r="A103" s="5">
        <v>2021</v>
      </c>
      <c r="B103" s="4" t="s">
        <v>4</v>
      </c>
      <c r="C103" s="6">
        <v>3.3519999999999999</v>
      </c>
      <c r="D103" s="6"/>
      <c r="E103" s="6">
        <v>13569.384999999995</v>
      </c>
      <c r="F103" s="6"/>
      <c r="G103" s="6"/>
      <c r="H103" s="6"/>
      <c r="I103" s="6">
        <v>13572.736999999996</v>
      </c>
      <c r="K103" s="5">
        <v>2019</v>
      </c>
      <c r="L103" s="4" t="s">
        <v>8</v>
      </c>
      <c r="M103" s="6">
        <v>621.745</v>
      </c>
      <c r="N103" s="6"/>
      <c r="O103" s="6">
        <v>27061.703000000016</v>
      </c>
      <c r="P103" s="6"/>
      <c r="Q103" s="6">
        <v>4515.277</v>
      </c>
      <c r="R103" s="6">
        <v>44.132999999999996</v>
      </c>
      <c r="S103" s="6">
        <v>32242.858000000015</v>
      </c>
      <c r="U103" s="5">
        <v>2019</v>
      </c>
      <c r="V103" s="4" t="s">
        <v>9</v>
      </c>
      <c r="W103" s="6">
        <v>101.898</v>
      </c>
      <c r="X103" s="6">
        <v>10208.127999999997</v>
      </c>
      <c r="Y103" s="6"/>
      <c r="Z103" s="6">
        <v>2486.1230000000014</v>
      </c>
      <c r="AA103" s="6">
        <v>312.49100000000004</v>
      </c>
      <c r="AB103" s="6"/>
      <c r="AC103" s="6">
        <v>13108.639999999998</v>
      </c>
    </row>
    <row r="104" spans="1:29" x14ac:dyDescent="0.25">
      <c r="A104" s="5">
        <v>2021</v>
      </c>
      <c r="B104" s="4" t="s">
        <v>5</v>
      </c>
      <c r="C104" s="6"/>
      <c r="D104" s="6"/>
      <c r="E104" s="6">
        <v>2410.5260000000003</v>
      </c>
      <c r="F104" s="6"/>
      <c r="G104" s="6">
        <v>1434.07</v>
      </c>
      <c r="H104" s="6"/>
      <c r="I104" s="6">
        <v>3844.5960000000005</v>
      </c>
      <c r="K104" s="5">
        <v>2019</v>
      </c>
      <c r="L104" s="4" t="s">
        <v>9</v>
      </c>
      <c r="M104" s="6">
        <v>295.07899999999995</v>
      </c>
      <c r="N104" s="6"/>
      <c r="O104" s="6">
        <v>11263.937000000009</v>
      </c>
      <c r="P104" s="6"/>
      <c r="Q104" s="6">
        <v>2390.5260000000007</v>
      </c>
      <c r="R104" s="6">
        <v>93.47999999999999</v>
      </c>
      <c r="S104" s="6">
        <v>14043.022000000008</v>
      </c>
      <c r="U104" s="5">
        <v>2019</v>
      </c>
      <c r="V104" s="4" t="s">
        <v>10</v>
      </c>
      <c r="W104" s="6">
        <v>4.7469999999999999</v>
      </c>
      <c r="X104" s="6">
        <v>3852.1880000000015</v>
      </c>
      <c r="Y104" s="6"/>
      <c r="Z104" s="6">
        <v>96.703999999999994</v>
      </c>
      <c r="AA104" s="6">
        <v>320.38100000000003</v>
      </c>
      <c r="AB104" s="6"/>
      <c r="AC104" s="6">
        <v>4274.0200000000013</v>
      </c>
    </row>
    <row r="105" spans="1:29" x14ac:dyDescent="0.25">
      <c r="A105" s="5">
        <v>2021</v>
      </c>
      <c r="B105" s="4" t="s">
        <v>7</v>
      </c>
      <c r="C105" s="6">
        <v>7.2770000000000001</v>
      </c>
      <c r="D105" s="6"/>
      <c r="E105" s="6"/>
      <c r="F105" s="6"/>
      <c r="G105" s="6">
        <v>12.942</v>
      </c>
      <c r="H105" s="6"/>
      <c r="I105" s="6">
        <v>20.219000000000001</v>
      </c>
      <c r="K105" s="5">
        <v>2019</v>
      </c>
      <c r="L105" s="4" t="s">
        <v>10</v>
      </c>
      <c r="M105" s="6">
        <v>0.73</v>
      </c>
      <c r="N105" s="6"/>
      <c r="O105" s="6">
        <v>6445.6849999999959</v>
      </c>
      <c r="P105" s="6"/>
      <c r="Q105" s="6">
        <v>209.73099999999999</v>
      </c>
      <c r="R105" s="6">
        <v>107.14400000000001</v>
      </c>
      <c r="S105" s="6">
        <v>6763.2899999999954</v>
      </c>
      <c r="U105" s="5">
        <v>2019</v>
      </c>
      <c r="V105" s="4" t="s">
        <v>11</v>
      </c>
      <c r="W105" s="6"/>
      <c r="X105" s="6">
        <v>0.35199999999999998</v>
      </c>
      <c r="Y105" s="6"/>
      <c r="Z105" s="6">
        <v>1.8000000000000002E-2</v>
      </c>
      <c r="AA105" s="6">
        <v>106.22499999999999</v>
      </c>
      <c r="AB105" s="6"/>
      <c r="AC105" s="6">
        <v>106.595</v>
      </c>
    </row>
    <row r="106" spans="1:29" x14ac:dyDescent="0.25">
      <c r="A106" s="5">
        <v>2021</v>
      </c>
      <c r="B106" s="4" t="s">
        <v>9</v>
      </c>
      <c r="C106" s="6">
        <v>2.2480000000000002</v>
      </c>
      <c r="D106" s="6"/>
      <c r="E106" s="6"/>
      <c r="F106" s="6"/>
      <c r="G106" s="6"/>
      <c r="H106" s="6"/>
      <c r="I106" s="6">
        <v>2.2480000000000002</v>
      </c>
      <c r="K106" s="5">
        <v>2019</v>
      </c>
      <c r="L106" s="4" t="s">
        <v>11</v>
      </c>
      <c r="M106" s="6"/>
      <c r="N106" s="6"/>
      <c r="O106" s="6">
        <v>1.8729999999999998</v>
      </c>
      <c r="P106" s="6"/>
      <c r="Q106" s="6">
        <v>7.0000000000000007E-2</v>
      </c>
      <c r="R106" s="6">
        <v>8.1969999999999992</v>
      </c>
      <c r="S106" s="6">
        <v>10.139999999999999</v>
      </c>
      <c r="U106" s="5">
        <v>2019</v>
      </c>
      <c r="V106" s="4" t="s">
        <v>12</v>
      </c>
      <c r="W106" s="6"/>
      <c r="X106" s="6">
        <v>0.92500000000000004</v>
      </c>
      <c r="Y106" s="6"/>
      <c r="Z106" s="6">
        <v>1.0000000000000002E-2</v>
      </c>
      <c r="AA106" s="6">
        <v>79.784000000000006</v>
      </c>
      <c r="AB106" s="6"/>
      <c r="AC106" s="6">
        <v>80.719000000000008</v>
      </c>
    </row>
    <row r="107" spans="1:29" x14ac:dyDescent="0.25">
      <c r="A107" s="5">
        <v>2021</v>
      </c>
      <c r="B107" s="4" t="s">
        <v>11</v>
      </c>
      <c r="C107" s="6"/>
      <c r="D107" s="6"/>
      <c r="E107" s="6">
        <v>4.9950000000000001</v>
      </c>
      <c r="F107" s="6"/>
      <c r="G107" s="6"/>
      <c r="H107" s="6"/>
      <c r="I107" s="6">
        <v>4.9950000000000001</v>
      </c>
      <c r="K107" s="5">
        <v>2019</v>
      </c>
      <c r="L107" s="4" t="s">
        <v>12</v>
      </c>
      <c r="M107" s="6"/>
      <c r="N107" s="6"/>
      <c r="O107" s="6">
        <v>8.3999999999999991E-2</v>
      </c>
      <c r="P107" s="6"/>
      <c r="Q107" s="6">
        <v>3.9E-2</v>
      </c>
      <c r="R107" s="6">
        <v>14.067999999999998</v>
      </c>
      <c r="S107" s="6">
        <v>14.190999999999997</v>
      </c>
      <c r="U107" s="5">
        <v>2019</v>
      </c>
      <c r="V107" s="4" t="s">
        <v>13</v>
      </c>
      <c r="W107" s="6"/>
      <c r="X107" s="6">
        <v>0.24900000000000003</v>
      </c>
      <c r="Y107" s="6"/>
      <c r="Z107" s="6">
        <v>4.0000000000000001E-3</v>
      </c>
      <c r="AA107" s="6">
        <v>2.4750000000000001</v>
      </c>
      <c r="AB107" s="6"/>
      <c r="AC107" s="6">
        <v>2.7280000000000002</v>
      </c>
    </row>
    <row r="108" spans="1:29" x14ac:dyDescent="0.25">
      <c r="A108" s="5">
        <v>2021</v>
      </c>
      <c r="B108" s="4" t="s">
        <v>12</v>
      </c>
      <c r="C108" s="6"/>
      <c r="D108" s="6"/>
      <c r="E108" s="6">
        <v>51.138000000000005</v>
      </c>
      <c r="F108" s="6"/>
      <c r="G108" s="6"/>
      <c r="H108" s="6"/>
      <c r="I108" s="6">
        <v>51.138000000000005</v>
      </c>
      <c r="K108" s="5">
        <v>2019</v>
      </c>
      <c r="L108" s="4" t="s">
        <v>13</v>
      </c>
      <c r="M108" s="6"/>
      <c r="N108" s="6"/>
      <c r="O108" s="6">
        <v>0.10100000000000002</v>
      </c>
      <c r="P108" s="6">
        <v>0.03</v>
      </c>
      <c r="Q108" s="6">
        <v>0.105</v>
      </c>
      <c r="R108" s="6">
        <v>4.5330000000000004</v>
      </c>
      <c r="S108" s="6">
        <v>4.7690000000000001</v>
      </c>
      <c r="U108" s="5">
        <v>2019</v>
      </c>
      <c r="V108" s="4" t="s">
        <v>14</v>
      </c>
      <c r="W108" s="6"/>
      <c r="X108" s="6">
        <v>26317.577000000005</v>
      </c>
      <c r="Y108" s="6"/>
      <c r="Z108" s="6">
        <v>1476.1660000000002</v>
      </c>
      <c r="AA108" s="6">
        <v>24.689</v>
      </c>
      <c r="AB108" s="6"/>
      <c r="AC108" s="6">
        <v>27818.432000000004</v>
      </c>
    </row>
    <row r="109" spans="1:29" x14ac:dyDescent="0.25">
      <c r="A109" s="5">
        <v>2021</v>
      </c>
      <c r="B109" s="4" t="s">
        <v>14</v>
      </c>
      <c r="C109" s="6"/>
      <c r="D109" s="6"/>
      <c r="E109" s="6">
        <v>62.012</v>
      </c>
      <c r="F109" s="6"/>
      <c r="G109" s="6"/>
      <c r="H109" s="6"/>
      <c r="I109" s="6">
        <v>62.012</v>
      </c>
      <c r="K109" s="5">
        <v>2019</v>
      </c>
      <c r="L109" s="4" t="s">
        <v>14</v>
      </c>
      <c r="M109" s="6">
        <v>3.33</v>
      </c>
      <c r="N109" s="6"/>
      <c r="O109" s="6">
        <v>37203.082000000017</v>
      </c>
      <c r="P109" s="6"/>
      <c r="Q109" s="6">
        <v>8192.7210000000014</v>
      </c>
      <c r="R109" s="6">
        <v>24.591999999999999</v>
      </c>
      <c r="S109" s="6">
        <v>45423.725000000013</v>
      </c>
      <c r="U109" s="5">
        <v>2019</v>
      </c>
      <c r="V109" s="4" t="s">
        <v>15</v>
      </c>
      <c r="W109" s="6"/>
      <c r="X109" s="6">
        <v>7484.7739999999967</v>
      </c>
      <c r="Y109" s="6"/>
      <c r="Z109" s="6">
        <v>779.62400000000002</v>
      </c>
      <c r="AA109" s="6">
        <v>8.6440000000000001</v>
      </c>
      <c r="AB109" s="6"/>
      <c r="AC109" s="6">
        <v>8273.0419999999976</v>
      </c>
    </row>
    <row r="110" spans="1:29" x14ac:dyDescent="0.25">
      <c r="A110" s="5">
        <v>2021</v>
      </c>
      <c r="B110" s="4" t="s">
        <v>15</v>
      </c>
      <c r="C110" s="6"/>
      <c r="D110" s="6"/>
      <c r="E110" s="6">
        <v>102.53</v>
      </c>
      <c r="F110" s="6"/>
      <c r="G110" s="6"/>
      <c r="H110" s="6"/>
      <c r="I110" s="6">
        <v>102.53</v>
      </c>
      <c r="K110" s="5">
        <v>2019</v>
      </c>
      <c r="L110" s="4" t="s">
        <v>15</v>
      </c>
      <c r="M110" s="6">
        <v>125.97900000000001</v>
      </c>
      <c r="N110" s="6"/>
      <c r="O110" s="6">
        <v>21503.30799999999</v>
      </c>
      <c r="P110" s="6"/>
      <c r="Q110" s="6">
        <v>8680.4120000000039</v>
      </c>
      <c r="R110" s="6">
        <v>3.2</v>
      </c>
      <c r="S110" s="6">
        <v>30312.898999999994</v>
      </c>
      <c r="U110" s="5">
        <v>2020</v>
      </c>
      <c r="V110" s="4" t="s">
        <v>4</v>
      </c>
      <c r="W110" s="6"/>
      <c r="X110" s="6">
        <v>0.81500000000000006</v>
      </c>
      <c r="Y110" s="6"/>
      <c r="Z110" s="6"/>
      <c r="AA110" s="6">
        <v>34.910000000000004</v>
      </c>
      <c r="AB110" s="6"/>
      <c r="AC110" s="6">
        <v>35.725000000000001</v>
      </c>
    </row>
    <row r="111" spans="1:29" x14ac:dyDescent="0.25">
      <c r="A111" s="5">
        <v>2022</v>
      </c>
      <c r="B111" s="4" t="s">
        <v>4</v>
      </c>
      <c r="C111" s="6"/>
      <c r="D111" s="6"/>
      <c r="E111" s="6">
        <v>17523.297000000002</v>
      </c>
      <c r="F111" s="6"/>
      <c r="G111" s="6">
        <v>995.77499999999986</v>
      </c>
      <c r="H111" s="6"/>
      <c r="I111" s="6">
        <v>18519.072000000004</v>
      </c>
      <c r="K111" s="5">
        <v>2020</v>
      </c>
      <c r="L111" s="4" t="s">
        <v>4</v>
      </c>
      <c r="M111" s="6"/>
      <c r="N111" s="6"/>
      <c r="O111" s="6">
        <v>1.6E-2</v>
      </c>
      <c r="P111" s="6"/>
      <c r="Q111" s="6"/>
      <c r="R111" s="6">
        <v>76.376999999999995</v>
      </c>
      <c r="S111" s="6">
        <v>76.393000000000001</v>
      </c>
      <c r="U111" s="5">
        <v>2020</v>
      </c>
      <c r="V111" s="4" t="s">
        <v>5</v>
      </c>
      <c r="W111" s="6">
        <v>2.1999999999999999E-2</v>
      </c>
      <c r="X111" s="6">
        <v>0.31000000000000005</v>
      </c>
      <c r="Y111" s="6">
        <v>0.121</v>
      </c>
      <c r="Z111" s="6">
        <v>1714.9960000000003</v>
      </c>
      <c r="AA111" s="6">
        <v>876.17000000000007</v>
      </c>
      <c r="AB111" s="6"/>
      <c r="AC111" s="6">
        <v>2591.6190000000006</v>
      </c>
    </row>
    <row r="112" spans="1:29" x14ac:dyDescent="0.25">
      <c r="A112" s="5">
        <v>2022</v>
      </c>
      <c r="B112" s="4" t="s">
        <v>5</v>
      </c>
      <c r="C112" s="6"/>
      <c r="D112" s="6"/>
      <c r="E112" s="6">
        <v>4816.17</v>
      </c>
      <c r="F112" s="6"/>
      <c r="G112" s="6">
        <v>162.14000000000001</v>
      </c>
      <c r="H112" s="6"/>
      <c r="I112" s="6">
        <v>4978.3100000000004</v>
      </c>
      <c r="K112" s="5">
        <v>2020</v>
      </c>
      <c r="L112" s="4" t="s">
        <v>5</v>
      </c>
      <c r="M112" s="6">
        <v>1E-3</v>
      </c>
      <c r="N112" s="6"/>
      <c r="O112" s="6">
        <v>1.0230000000000001</v>
      </c>
      <c r="P112" s="6">
        <v>0.22800000000000001</v>
      </c>
      <c r="Q112" s="6">
        <v>5300.4619999999995</v>
      </c>
      <c r="R112" s="6">
        <v>868.35099999999989</v>
      </c>
      <c r="S112" s="6">
        <v>6170.0649999999996</v>
      </c>
      <c r="U112" s="5">
        <v>2020</v>
      </c>
      <c r="V112" s="4" t="s">
        <v>6</v>
      </c>
      <c r="W112" s="6">
        <v>77.954999999999998</v>
      </c>
      <c r="X112" s="6">
        <v>6104.5229999999983</v>
      </c>
      <c r="Y112" s="6"/>
      <c r="Z112" s="6">
        <v>1142.56</v>
      </c>
      <c r="AA112" s="6">
        <v>283.63199999999995</v>
      </c>
      <c r="AB112" s="6"/>
      <c r="AC112" s="6">
        <v>7608.6699999999983</v>
      </c>
    </row>
    <row r="113" spans="1:30" x14ac:dyDescent="0.25">
      <c r="A113" s="5">
        <v>2022</v>
      </c>
      <c r="B113" s="4" t="s">
        <v>6</v>
      </c>
      <c r="C113" s="6"/>
      <c r="D113" s="6"/>
      <c r="E113" s="6"/>
      <c r="F113" s="6"/>
      <c r="G113" s="6">
        <v>71.8</v>
      </c>
      <c r="H113" s="6"/>
      <c r="I113" s="6">
        <v>71.8</v>
      </c>
      <c r="K113" s="5">
        <v>2020</v>
      </c>
      <c r="L113" s="4" t="s">
        <v>6</v>
      </c>
      <c r="M113" s="6">
        <v>1.2E-2</v>
      </c>
      <c r="N113" s="6"/>
      <c r="O113" s="6">
        <v>24608.721000000041</v>
      </c>
      <c r="P113" s="6">
        <v>0.05</v>
      </c>
      <c r="Q113" s="6">
        <v>8822.3680000000004</v>
      </c>
      <c r="R113" s="6">
        <v>109.956</v>
      </c>
      <c r="S113" s="6">
        <v>33541.10700000004</v>
      </c>
      <c r="U113" s="5">
        <v>2020</v>
      </c>
      <c r="V113" s="4" t="s">
        <v>7</v>
      </c>
      <c r="W113" s="6">
        <v>198.86799999999999</v>
      </c>
      <c r="X113" s="6">
        <v>52329.673999999985</v>
      </c>
      <c r="Y113" s="6"/>
      <c r="Z113" s="6">
        <v>576.53</v>
      </c>
      <c r="AA113" s="6">
        <v>1.5</v>
      </c>
      <c r="AB113" s="6"/>
      <c r="AC113" s="6">
        <v>53106.571999999986</v>
      </c>
    </row>
    <row r="114" spans="1:30" x14ac:dyDescent="0.25">
      <c r="A114" s="5">
        <v>2022</v>
      </c>
      <c r="B114" s="4" t="s">
        <v>7</v>
      </c>
      <c r="C114" s="6">
        <v>2.5000000000000001E-2</v>
      </c>
      <c r="D114" s="6"/>
      <c r="E114" s="6"/>
      <c r="F114" s="6"/>
      <c r="G114" s="6">
        <v>249.04</v>
      </c>
      <c r="H114" s="6"/>
      <c r="I114" s="6">
        <v>249.065</v>
      </c>
      <c r="K114" s="5">
        <v>2020</v>
      </c>
      <c r="L114" s="4" t="s">
        <v>7</v>
      </c>
      <c r="M114" s="6">
        <v>373.37700000000007</v>
      </c>
      <c r="N114" s="6"/>
      <c r="O114" s="6">
        <v>93827.145999999906</v>
      </c>
      <c r="P114" s="6">
        <v>1.2150000000000001</v>
      </c>
      <c r="Q114" s="6">
        <v>9564.5499999999993</v>
      </c>
      <c r="R114" s="6"/>
      <c r="S114" s="6">
        <v>103766.2879999999</v>
      </c>
      <c r="U114" s="5">
        <v>2020</v>
      </c>
      <c r="V114" s="4" t="s">
        <v>8</v>
      </c>
      <c r="W114" s="6"/>
      <c r="X114" s="6">
        <v>40131.080999999976</v>
      </c>
      <c r="Y114" s="6"/>
      <c r="Z114" s="6">
        <v>1122.104</v>
      </c>
      <c r="AA114" s="6">
        <v>106.36499999999999</v>
      </c>
      <c r="AB114" s="6"/>
      <c r="AC114" s="6">
        <v>41359.549999999974</v>
      </c>
      <c r="AD114" s="21"/>
    </row>
    <row r="115" spans="1:30" x14ac:dyDescent="0.25">
      <c r="A115" s="5">
        <v>2022</v>
      </c>
      <c r="B115" s="4" t="s">
        <v>8</v>
      </c>
      <c r="C115" s="6"/>
      <c r="D115" s="6"/>
      <c r="E115" s="6">
        <v>170.83499999999998</v>
      </c>
      <c r="F115" s="6"/>
      <c r="G115" s="6"/>
      <c r="H115" s="6"/>
      <c r="I115" s="6">
        <v>170.83499999999998</v>
      </c>
      <c r="K115" s="5">
        <v>2020</v>
      </c>
      <c r="L115" s="4" t="s">
        <v>8</v>
      </c>
      <c r="M115" s="6"/>
      <c r="N115" s="6"/>
      <c r="O115" s="6">
        <v>31857.988999999994</v>
      </c>
      <c r="P115" s="6"/>
      <c r="Q115" s="6">
        <v>5223.1040000000003</v>
      </c>
      <c r="R115" s="6">
        <v>114.10800000000002</v>
      </c>
      <c r="S115" s="6">
        <v>37195.200999999994</v>
      </c>
      <c r="U115" s="5">
        <v>2020</v>
      </c>
      <c r="V115" s="4" t="s">
        <v>9</v>
      </c>
      <c r="W115" s="6"/>
      <c r="X115" s="6">
        <v>12635.344999999999</v>
      </c>
      <c r="Y115" s="6"/>
      <c r="Z115" s="6">
        <v>577.78700000000003</v>
      </c>
      <c r="AA115" s="6">
        <v>385.52699999999993</v>
      </c>
      <c r="AB115" s="6"/>
      <c r="AC115" s="6">
        <v>13598.659</v>
      </c>
      <c r="AD115" s="21"/>
    </row>
    <row r="116" spans="1:30" x14ac:dyDescent="0.25">
      <c r="A116" s="5">
        <v>2022</v>
      </c>
      <c r="B116" s="4" t="s">
        <v>10</v>
      </c>
      <c r="C116" s="6"/>
      <c r="D116" s="6"/>
      <c r="E116" s="6">
        <v>125.34</v>
      </c>
      <c r="F116" s="6"/>
      <c r="G116" s="6"/>
      <c r="H116" s="6"/>
      <c r="I116" s="6">
        <v>125.34</v>
      </c>
      <c r="K116" s="5">
        <v>2020</v>
      </c>
      <c r="L116" s="4" t="s">
        <v>9</v>
      </c>
      <c r="M116" s="6"/>
      <c r="N116" s="6"/>
      <c r="O116" s="6">
        <v>6022.6909999999971</v>
      </c>
      <c r="P116" s="6"/>
      <c r="Q116" s="6">
        <v>2597.1020000000003</v>
      </c>
      <c r="R116" s="6">
        <v>80.557000000000002</v>
      </c>
      <c r="S116" s="6">
        <v>8700.3499999999985</v>
      </c>
      <c r="U116" s="5">
        <v>2020</v>
      </c>
      <c r="V116" s="4" t="s">
        <v>10</v>
      </c>
      <c r="W116" s="6"/>
      <c r="X116" s="6">
        <v>5943.8890000000001</v>
      </c>
      <c r="Y116" s="6"/>
      <c r="Z116" s="6">
        <v>448.90700000000004</v>
      </c>
      <c r="AA116" s="6">
        <v>245.88699999999997</v>
      </c>
      <c r="AB116" s="6"/>
      <c r="AC116" s="6">
        <v>6638.683</v>
      </c>
      <c r="AD116" s="21"/>
    </row>
    <row r="117" spans="1:30" x14ac:dyDescent="0.25">
      <c r="A117" s="5">
        <v>2022</v>
      </c>
      <c r="B117" s="4" t="s">
        <v>11</v>
      </c>
      <c r="C117" s="6"/>
      <c r="D117" s="6"/>
      <c r="E117" s="6">
        <v>82.46</v>
      </c>
      <c r="F117" s="6"/>
      <c r="G117" s="6"/>
      <c r="H117" s="6"/>
      <c r="I117" s="6">
        <v>82.46</v>
      </c>
      <c r="K117" s="5">
        <v>2020</v>
      </c>
      <c r="L117" s="4" t="s">
        <v>10</v>
      </c>
      <c r="M117" s="6"/>
      <c r="N117" s="6"/>
      <c r="O117" s="6">
        <v>2899.8969999999999</v>
      </c>
      <c r="P117" s="6"/>
      <c r="Q117" s="6">
        <v>1372.4550000000004</v>
      </c>
      <c r="R117" s="6">
        <v>28.614000000000001</v>
      </c>
      <c r="S117" s="6">
        <v>4300.9660000000003</v>
      </c>
      <c r="U117" s="5">
        <v>2020</v>
      </c>
      <c r="V117" s="4" t="s">
        <v>11</v>
      </c>
      <c r="W117" s="6">
        <v>3.9E-2</v>
      </c>
      <c r="X117" s="6">
        <v>4.1000000000000002E-2</v>
      </c>
      <c r="Y117" s="6">
        <v>0.01</v>
      </c>
      <c r="Z117" s="6"/>
      <c r="AA117" s="6">
        <v>367.52600000000007</v>
      </c>
      <c r="AB117" s="6"/>
      <c r="AC117" s="6">
        <v>367.61600000000004</v>
      </c>
      <c r="AD117" s="21"/>
    </row>
    <row r="118" spans="1:30" x14ac:dyDescent="0.25">
      <c r="A118" s="5">
        <v>2022</v>
      </c>
      <c r="B118" s="4" t="s">
        <v>12</v>
      </c>
      <c r="C118" s="6"/>
      <c r="D118" s="6"/>
      <c r="E118" s="6"/>
      <c r="F118" s="6"/>
      <c r="G118" s="6"/>
      <c r="H118" s="6">
        <v>22.8</v>
      </c>
      <c r="I118" s="6">
        <v>22.8</v>
      </c>
      <c r="K118" s="5">
        <v>2020</v>
      </c>
      <c r="L118" s="4" t="s">
        <v>11</v>
      </c>
      <c r="M118" s="6"/>
      <c r="N118" s="6"/>
      <c r="O118" s="6">
        <v>11.865</v>
      </c>
      <c r="P118" s="6">
        <v>0.02</v>
      </c>
      <c r="Q118" s="6"/>
      <c r="R118" s="6">
        <v>319.01899999999995</v>
      </c>
      <c r="S118" s="6">
        <v>330.90399999999994</v>
      </c>
      <c r="U118" s="5">
        <v>2020</v>
      </c>
      <c r="V118" s="4" t="s">
        <v>12</v>
      </c>
      <c r="W118" s="6">
        <v>0.129</v>
      </c>
      <c r="X118" s="6">
        <v>5.5999999999999994E-2</v>
      </c>
      <c r="Y118" s="6"/>
      <c r="Z118" s="6"/>
      <c r="AA118" s="6">
        <v>203.52699999999999</v>
      </c>
      <c r="AB118" s="6"/>
      <c r="AC118" s="6">
        <v>203.71199999999999</v>
      </c>
      <c r="AD118" s="21"/>
    </row>
    <row r="119" spans="1:30" x14ac:dyDescent="0.25">
      <c r="A119" s="5">
        <v>2022</v>
      </c>
      <c r="B119" s="4" t="s">
        <v>13</v>
      </c>
      <c r="C119" s="6"/>
      <c r="D119" s="6"/>
      <c r="E119" s="6"/>
      <c r="F119" s="6"/>
      <c r="G119" s="6"/>
      <c r="H119" s="6">
        <v>165.48000000000002</v>
      </c>
      <c r="I119" s="6">
        <v>165.48000000000002</v>
      </c>
      <c r="K119" s="5">
        <v>2020</v>
      </c>
      <c r="L119" s="4" t="s">
        <v>12</v>
      </c>
      <c r="M119" s="6"/>
      <c r="N119" s="6"/>
      <c r="O119" s="6">
        <v>2.2800000000000002</v>
      </c>
      <c r="P119" s="6"/>
      <c r="Q119" s="6">
        <v>0.1</v>
      </c>
      <c r="R119" s="6">
        <v>21.888999999999999</v>
      </c>
      <c r="S119" s="6">
        <v>24.268999999999998</v>
      </c>
      <c r="U119" s="5">
        <v>2020</v>
      </c>
      <c r="V119" s="4" t="s">
        <v>13</v>
      </c>
      <c r="W119" s="6"/>
      <c r="X119" s="6">
        <v>0.11300000000000002</v>
      </c>
      <c r="Y119" s="6"/>
      <c r="Z119" s="6">
        <v>152.34900000000002</v>
      </c>
      <c r="AA119" s="6">
        <v>24.505000000000003</v>
      </c>
      <c r="AB119" s="6"/>
      <c r="AC119" s="6">
        <v>176.96700000000001</v>
      </c>
      <c r="AD119" s="21"/>
    </row>
    <row r="120" spans="1:30" x14ac:dyDescent="0.25">
      <c r="A120" s="5">
        <v>2022</v>
      </c>
      <c r="B120" s="4" t="s">
        <v>14</v>
      </c>
      <c r="C120" s="6"/>
      <c r="D120" s="6"/>
      <c r="E120" s="6">
        <v>1767.3259999999998</v>
      </c>
      <c r="F120" s="6"/>
      <c r="G120" s="6"/>
      <c r="H120" s="6">
        <v>70.589999999999989</v>
      </c>
      <c r="I120" s="6">
        <v>1837.9159999999997</v>
      </c>
      <c r="K120" s="5">
        <v>2020</v>
      </c>
      <c r="L120" s="4" t="s">
        <v>13</v>
      </c>
      <c r="M120" s="6">
        <v>0.10100000000000001</v>
      </c>
      <c r="N120" s="6"/>
      <c r="O120" s="6">
        <v>7.8000000000000014E-2</v>
      </c>
      <c r="P120" s="6"/>
      <c r="Q120" s="6">
        <v>4724.6639999999998</v>
      </c>
      <c r="R120" s="6">
        <v>0.76400000000000001</v>
      </c>
      <c r="S120" s="6">
        <v>4725.607</v>
      </c>
      <c r="T120" s="21"/>
      <c r="U120" s="5">
        <v>2020</v>
      </c>
      <c r="V120" s="4" t="s">
        <v>14</v>
      </c>
      <c r="W120" s="6"/>
      <c r="X120" s="6">
        <v>34308.797999999966</v>
      </c>
      <c r="Y120" s="6"/>
      <c r="Z120" s="6">
        <v>1061.1509999999998</v>
      </c>
      <c r="AA120" s="6">
        <v>13.026999999999999</v>
      </c>
      <c r="AB120" s="6"/>
      <c r="AC120" s="6">
        <v>35382.975999999966</v>
      </c>
      <c r="AD120" s="21"/>
    </row>
    <row r="121" spans="1:30" x14ac:dyDescent="0.25">
      <c r="A121" s="5">
        <v>2022</v>
      </c>
      <c r="B121" s="4" t="s">
        <v>15</v>
      </c>
      <c r="C121" s="6"/>
      <c r="D121" s="6"/>
      <c r="E121" s="6">
        <v>11091.747000000001</v>
      </c>
      <c r="F121" s="6"/>
      <c r="G121" s="6"/>
      <c r="H121" s="6"/>
      <c r="I121" s="6">
        <v>11091.747000000001</v>
      </c>
      <c r="K121" s="5">
        <v>2020</v>
      </c>
      <c r="L121" s="4" t="s">
        <v>14</v>
      </c>
      <c r="M121" s="6"/>
      <c r="N121" s="6"/>
      <c r="O121" s="6">
        <v>19698.302000000003</v>
      </c>
      <c r="P121" s="6"/>
      <c r="Q121" s="6">
        <v>9288.0570000000025</v>
      </c>
      <c r="R121" s="6">
        <v>23.071999999999999</v>
      </c>
      <c r="S121" s="6">
        <v>29009.431000000004</v>
      </c>
      <c r="T121" s="21"/>
      <c r="U121" s="5">
        <v>2020</v>
      </c>
      <c r="V121" s="4" t="s">
        <v>15</v>
      </c>
      <c r="W121" s="6"/>
      <c r="X121" s="6">
        <v>4989.1889999999994</v>
      </c>
      <c r="Y121" s="6"/>
      <c r="Z121" s="6">
        <v>721.67099999999982</v>
      </c>
      <c r="AA121" s="6">
        <v>84.917000000000002</v>
      </c>
      <c r="AB121" s="6"/>
      <c r="AC121" s="6">
        <v>5795.7769999999991</v>
      </c>
      <c r="AD121" s="21"/>
    </row>
    <row r="122" spans="1:30" x14ac:dyDescent="0.25">
      <c r="A122" s="5">
        <v>2023</v>
      </c>
      <c r="B122" s="4" t="s">
        <v>4</v>
      </c>
      <c r="C122" s="6"/>
      <c r="D122" s="6"/>
      <c r="E122" s="6">
        <v>17397.344999999994</v>
      </c>
      <c r="F122" s="6"/>
      <c r="G122" s="6">
        <v>420.26499999999999</v>
      </c>
      <c r="H122" s="6">
        <v>118.89999999999999</v>
      </c>
      <c r="I122" s="6">
        <v>17936.509999999995</v>
      </c>
      <c r="K122" s="5">
        <v>2020</v>
      </c>
      <c r="L122" s="4" t="s">
        <v>15</v>
      </c>
      <c r="M122" s="6"/>
      <c r="N122" s="6"/>
      <c r="O122" s="6">
        <v>15517.072999999997</v>
      </c>
      <c r="P122" s="6"/>
      <c r="Q122" s="6">
        <v>8837.8799999999974</v>
      </c>
      <c r="R122" s="6">
        <v>88.368000000000009</v>
      </c>
      <c r="S122" s="6">
        <v>24443.320999999993</v>
      </c>
      <c r="T122" s="21"/>
      <c r="U122" s="5">
        <v>2021</v>
      </c>
      <c r="V122" s="4" t="s">
        <v>4</v>
      </c>
      <c r="W122" s="6"/>
      <c r="X122" s="6"/>
      <c r="Y122" s="6"/>
      <c r="Z122" s="6"/>
      <c r="AA122" s="6">
        <v>978.80600000000004</v>
      </c>
      <c r="AB122" s="6"/>
      <c r="AC122" s="6">
        <v>978.80600000000004</v>
      </c>
      <c r="AD122" s="21"/>
    </row>
    <row r="123" spans="1:30" x14ac:dyDescent="0.25">
      <c r="A123" s="5">
        <v>2023</v>
      </c>
      <c r="B123" s="4" t="s">
        <v>5</v>
      </c>
      <c r="C123" s="6"/>
      <c r="D123" s="6"/>
      <c r="E123" s="6">
        <v>6100.3449999999984</v>
      </c>
      <c r="F123" s="6"/>
      <c r="G123" s="6">
        <v>34.08</v>
      </c>
      <c r="H123" s="6">
        <v>75.75</v>
      </c>
      <c r="I123" s="6">
        <v>6210.1749999999984</v>
      </c>
      <c r="K123" s="5">
        <v>2021</v>
      </c>
      <c r="L123" s="4" t="s">
        <v>4</v>
      </c>
      <c r="M123" s="6"/>
      <c r="N123" s="6"/>
      <c r="O123" s="6">
        <v>6.4220000000000006</v>
      </c>
      <c r="P123" s="6"/>
      <c r="Q123" s="6"/>
      <c r="R123" s="6">
        <v>739.904</v>
      </c>
      <c r="S123" s="6">
        <v>746.32600000000002</v>
      </c>
      <c r="T123" s="21"/>
      <c r="U123" s="5">
        <v>2021</v>
      </c>
      <c r="V123" s="4" t="s">
        <v>5</v>
      </c>
      <c r="W123" s="6">
        <v>0.01</v>
      </c>
      <c r="X123" s="6">
        <v>7.2000000000000008E-2</v>
      </c>
      <c r="Y123" s="6"/>
      <c r="Z123" s="6">
        <v>543.15199999999993</v>
      </c>
      <c r="AA123" s="6">
        <v>611.85799999999995</v>
      </c>
      <c r="AB123" s="6">
        <v>8.0310000000000006</v>
      </c>
      <c r="AC123" s="6">
        <v>1163.1229999999998</v>
      </c>
      <c r="AD123" s="21"/>
    </row>
    <row r="124" spans="1:30" x14ac:dyDescent="0.25">
      <c r="A124" s="5">
        <v>2023</v>
      </c>
      <c r="B124" s="4" t="s">
        <v>6</v>
      </c>
      <c r="C124" s="6">
        <v>0.06</v>
      </c>
      <c r="D124" s="6"/>
      <c r="E124" s="6">
        <v>176.05500000000001</v>
      </c>
      <c r="F124" s="6">
        <v>0.1</v>
      </c>
      <c r="G124" s="6">
        <v>653.08699999999988</v>
      </c>
      <c r="H124" s="6">
        <v>66.91</v>
      </c>
      <c r="I124" s="6">
        <v>896.21199999999988</v>
      </c>
      <c r="K124" s="5">
        <v>2021</v>
      </c>
      <c r="L124" s="4" t="s">
        <v>5</v>
      </c>
      <c r="M124" s="6">
        <v>7.0000000000000001E-3</v>
      </c>
      <c r="N124" s="6"/>
      <c r="O124" s="6">
        <v>1.077</v>
      </c>
      <c r="P124" s="6"/>
      <c r="Q124" s="6">
        <v>4022.5749999999994</v>
      </c>
      <c r="R124" s="6">
        <v>110.92699999999999</v>
      </c>
      <c r="S124" s="6">
        <v>4134.5859999999993</v>
      </c>
      <c r="T124" s="21"/>
      <c r="U124" s="5">
        <v>2021</v>
      </c>
      <c r="V124" s="4" t="s">
        <v>6</v>
      </c>
      <c r="W124" s="6"/>
      <c r="X124" s="6">
        <v>54641.375000000109</v>
      </c>
      <c r="Y124" s="6">
        <v>0.05</v>
      </c>
      <c r="Z124" s="6">
        <v>198.274</v>
      </c>
      <c r="AA124" s="6">
        <v>989.45199999999988</v>
      </c>
      <c r="AB124" s="6"/>
      <c r="AC124" s="6">
        <v>55829.151000000107</v>
      </c>
      <c r="AD124" s="21"/>
    </row>
    <row r="125" spans="1:30" x14ac:dyDescent="0.25">
      <c r="A125" s="5">
        <v>2023</v>
      </c>
      <c r="B125" s="4" t="s">
        <v>7</v>
      </c>
      <c r="C125" s="6"/>
      <c r="D125" s="6"/>
      <c r="E125" s="6">
        <v>87.685000000000002</v>
      </c>
      <c r="F125" s="6"/>
      <c r="G125" s="6">
        <v>701.48300000000006</v>
      </c>
      <c r="H125" s="6">
        <v>24.3</v>
      </c>
      <c r="I125" s="6">
        <v>813.46800000000007</v>
      </c>
      <c r="K125" s="5">
        <v>2021</v>
      </c>
      <c r="L125" s="4" t="s">
        <v>6</v>
      </c>
      <c r="M125" s="6">
        <v>1.7999999999999999E-2</v>
      </c>
      <c r="N125" s="6"/>
      <c r="O125" s="6">
        <v>162594.05499999993</v>
      </c>
      <c r="P125" s="6">
        <v>0.4</v>
      </c>
      <c r="Q125" s="6">
        <v>19430.38500000002</v>
      </c>
      <c r="R125" s="6">
        <v>62.327000000000005</v>
      </c>
      <c r="S125" s="6">
        <v>182087.18499999994</v>
      </c>
      <c r="T125" s="21"/>
      <c r="U125" s="5">
        <v>2021</v>
      </c>
      <c r="V125" s="4" t="s">
        <v>7</v>
      </c>
      <c r="W125" s="6"/>
      <c r="X125" s="6">
        <v>45344.459999999992</v>
      </c>
      <c r="Y125" s="6"/>
      <c r="Z125" s="6">
        <v>2557.4860000000003</v>
      </c>
      <c r="AA125" s="6">
        <v>0.10200000000000001</v>
      </c>
      <c r="AB125" s="6"/>
      <c r="AC125" s="6">
        <v>47902.047999999988</v>
      </c>
      <c r="AD125" s="21"/>
    </row>
    <row r="126" spans="1:30" x14ac:dyDescent="0.25">
      <c r="A126" s="5">
        <v>2023</v>
      </c>
      <c r="B126" s="4" t="s">
        <v>8</v>
      </c>
      <c r="C126" s="6"/>
      <c r="D126" s="6"/>
      <c r="E126" s="6">
        <v>1210.2230000000002</v>
      </c>
      <c r="F126" s="6"/>
      <c r="G126" s="6"/>
      <c r="H126" s="6">
        <v>58.870000000000005</v>
      </c>
      <c r="I126" s="6">
        <v>1269.0930000000003</v>
      </c>
      <c r="K126" s="5">
        <v>2021</v>
      </c>
      <c r="L126" s="4" t="s">
        <v>7</v>
      </c>
      <c r="M126" s="6"/>
      <c r="N126" s="6"/>
      <c r="O126" s="6">
        <v>79176.044000000184</v>
      </c>
      <c r="P126" s="6"/>
      <c r="Q126" s="6">
        <v>15829.160000000002</v>
      </c>
      <c r="R126" s="6">
        <v>1.4999999999999999E-2</v>
      </c>
      <c r="S126" s="6">
        <v>95005.219000000186</v>
      </c>
      <c r="T126" s="21"/>
      <c r="U126" s="5">
        <v>2021</v>
      </c>
      <c r="V126" s="4" t="s">
        <v>8</v>
      </c>
      <c r="W126" s="6"/>
      <c r="X126" s="6">
        <v>38860.810999999994</v>
      </c>
      <c r="Y126" s="6"/>
      <c r="Z126" s="6">
        <v>2373.0499999999997</v>
      </c>
      <c r="AA126" s="6">
        <v>210.93599999999998</v>
      </c>
      <c r="AB126" s="6"/>
      <c r="AC126" s="6">
        <v>41444.796999999999</v>
      </c>
      <c r="AD126" s="21"/>
    </row>
    <row r="127" spans="1:30" x14ac:dyDescent="0.25">
      <c r="A127" s="5">
        <v>2023</v>
      </c>
      <c r="B127" s="4" t="s">
        <v>9</v>
      </c>
      <c r="C127" s="6"/>
      <c r="D127" s="6"/>
      <c r="E127" s="6">
        <v>1402.8969999999997</v>
      </c>
      <c r="F127" s="6"/>
      <c r="G127" s="6"/>
      <c r="H127" s="6">
        <v>11.93</v>
      </c>
      <c r="I127" s="6">
        <v>1414.8269999999998</v>
      </c>
      <c r="K127" s="5">
        <v>2021</v>
      </c>
      <c r="L127" s="4" t="s">
        <v>8</v>
      </c>
      <c r="M127" s="6"/>
      <c r="N127" s="6"/>
      <c r="O127" s="6">
        <v>16562.064000000006</v>
      </c>
      <c r="P127" s="6"/>
      <c r="Q127" s="6">
        <v>3859.5969999999993</v>
      </c>
      <c r="R127" s="6">
        <v>13.222</v>
      </c>
      <c r="S127" s="6">
        <v>20434.883000000005</v>
      </c>
      <c r="T127" s="21"/>
      <c r="U127" s="5">
        <v>2021</v>
      </c>
      <c r="V127" s="4" t="s">
        <v>9</v>
      </c>
      <c r="W127" s="6">
        <v>0.33</v>
      </c>
      <c r="X127" s="6">
        <v>13776.788000000011</v>
      </c>
      <c r="Y127" s="6"/>
      <c r="Z127" s="6">
        <v>681.26400000000001</v>
      </c>
      <c r="AA127" s="6">
        <v>1034.9589999999998</v>
      </c>
      <c r="AB127" s="6"/>
      <c r="AC127" s="6">
        <v>15493.341000000011</v>
      </c>
    </row>
    <row r="128" spans="1:30" x14ac:dyDescent="0.25">
      <c r="A128" s="5">
        <v>2023</v>
      </c>
      <c r="B128" s="4" t="s">
        <v>10</v>
      </c>
      <c r="C128" s="6"/>
      <c r="D128" s="6"/>
      <c r="E128" s="6">
        <v>91.460000000000008</v>
      </c>
      <c r="F128" s="6"/>
      <c r="G128" s="6"/>
      <c r="H128" s="6"/>
      <c r="I128" s="6">
        <v>91.460000000000008</v>
      </c>
      <c r="K128" s="5">
        <v>2021</v>
      </c>
      <c r="L128" s="4" t="s">
        <v>9</v>
      </c>
      <c r="M128" s="6"/>
      <c r="N128" s="6"/>
      <c r="O128" s="6">
        <v>3706.9560000000019</v>
      </c>
      <c r="P128" s="6"/>
      <c r="Q128" s="6">
        <v>1636.1260000000002</v>
      </c>
      <c r="R128" s="6">
        <v>68.493000000000009</v>
      </c>
      <c r="S128" s="6">
        <v>5411.5750000000025</v>
      </c>
      <c r="T128" s="21"/>
      <c r="U128" s="5">
        <v>2021</v>
      </c>
      <c r="V128" s="4" t="s">
        <v>10</v>
      </c>
      <c r="W128" s="6"/>
      <c r="X128" s="6">
        <v>3144.6749999999984</v>
      </c>
      <c r="Y128" s="6"/>
      <c r="Z128" s="6"/>
      <c r="AA128" s="6">
        <v>207.52599999999995</v>
      </c>
      <c r="AB128" s="6"/>
      <c r="AC128" s="6">
        <v>3352.2009999999982</v>
      </c>
    </row>
    <row r="129" spans="1:29" x14ac:dyDescent="0.25">
      <c r="A129" s="5">
        <v>2023</v>
      </c>
      <c r="B129" s="4" t="s">
        <v>12</v>
      </c>
      <c r="C129" s="6"/>
      <c r="D129" s="6"/>
      <c r="E129" s="6">
        <v>12.42</v>
      </c>
      <c r="F129" s="6"/>
      <c r="G129" s="6"/>
      <c r="H129" s="6"/>
      <c r="I129" s="6">
        <v>12.42</v>
      </c>
      <c r="K129" s="5">
        <v>2021</v>
      </c>
      <c r="L129" s="4" t="s">
        <v>10</v>
      </c>
      <c r="M129" s="6"/>
      <c r="N129" s="6"/>
      <c r="O129" s="6">
        <v>1579.5950000000003</v>
      </c>
      <c r="P129" s="6"/>
      <c r="Q129" s="6">
        <v>85.344999999999999</v>
      </c>
      <c r="R129" s="6">
        <v>29.200000000000003</v>
      </c>
      <c r="S129" s="6">
        <v>1694.1400000000003</v>
      </c>
      <c r="T129" s="21"/>
      <c r="U129" s="5">
        <v>2021</v>
      </c>
      <c r="V129" s="4" t="s">
        <v>11</v>
      </c>
      <c r="W129" s="6"/>
      <c r="X129" s="6">
        <v>9.0000000000000011E-3</v>
      </c>
      <c r="Y129" s="6"/>
      <c r="Z129" s="6"/>
      <c r="AA129" s="6">
        <v>52.098000000000006</v>
      </c>
      <c r="AB129" s="6"/>
      <c r="AC129" s="6">
        <v>52.107000000000006</v>
      </c>
    </row>
    <row r="130" spans="1:29" x14ac:dyDescent="0.25">
      <c r="A130" s="5">
        <v>2023</v>
      </c>
      <c r="B130" s="4" t="s">
        <v>13</v>
      </c>
      <c r="C130" s="6"/>
      <c r="D130" s="6"/>
      <c r="E130" s="6">
        <v>37.884999999999998</v>
      </c>
      <c r="F130" s="6"/>
      <c r="G130" s="6"/>
      <c r="H130" s="6"/>
      <c r="I130" s="6">
        <v>37.884999999999998</v>
      </c>
      <c r="K130" s="5">
        <v>2021</v>
      </c>
      <c r="L130" s="4" t="s">
        <v>11</v>
      </c>
      <c r="M130" s="6">
        <v>0.26100000000000001</v>
      </c>
      <c r="N130" s="6"/>
      <c r="O130" s="6">
        <v>7.0000000000000001E-3</v>
      </c>
      <c r="P130" s="6"/>
      <c r="Q130" s="6"/>
      <c r="R130" s="6">
        <v>3.12</v>
      </c>
      <c r="S130" s="6">
        <v>3.3879999999999999</v>
      </c>
      <c r="T130" s="21"/>
      <c r="U130" s="5">
        <v>2021</v>
      </c>
      <c r="V130" s="4" t="s">
        <v>12</v>
      </c>
      <c r="W130" s="6"/>
      <c r="X130" s="6">
        <v>0.13200000000000001</v>
      </c>
      <c r="Y130" s="6"/>
      <c r="Z130" s="6"/>
      <c r="AA130" s="6">
        <v>16.056000000000001</v>
      </c>
      <c r="AB130" s="6"/>
      <c r="AC130" s="6">
        <v>16.188000000000002</v>
      </c>
    </row>
    <row r="131" spans="1:29" x14ac:dyDescent="0.25">
      <c r="A131" s="5">
        <v>2023</v>
      </c>
      <c r="B131" s="4" t="s">
        <v>14</v>
      </c>
      <c r="C131" s="6"/>
      <c r="D131" s="6"/>
      <c r="E131" s="6">
        <v>17212.868999999999</v>
      </c>
      <c r="F131" s="6"/>
      <c r="G131" s="6"/>
      <c r="H131" s="6"/>
      <c r="I131" s="6">
        <v>17212.868999999999</v>
      </c>
      <c r="K131" s="5">
        <v>2021</v>
      </c>
      <c r="L131" s="4" t="s">
        <v>12</v>
      </c>
      <c r="M131" s="6">
        <v>0.70799999999999996</v>
      </c>
      <c r="N131" s="6"/>
      <c r="O131" s="6">
        <v>4.9000000000000002E-2</v>
      </c>
      <c r="P131" s="6"/>
      <c r="Q131" s="6"/>
      <c r="R131" s="6">
        <v>0.34599999999999997</v>
      </c>
      <c r="S131" s="6">
        <v>1.103</v>
      </c>
      <c r="T131" s="21"/>
      <c r="U131" s="5">
        <v>2021</v>
      </c>
      <c r="V131" s="4" t="s">
        <v>13</v>
      </c>
      <c r="W131" s="6"/>
      <c r="X131" s="6">
        <v>6.0999999999999999E-2</v>
      </c>
      <c r="Y131" s="6"/>
      <c r="Z131" s="6">
        <v>299.26299999999998</v>
      </c>
      <c r="AA131" s="6">
        <v>39.333000000000006</v>
      </c>
      <c r="AB131" s="6"/>
      <c r="AC131" s="6">
        <v>338.65699999999998</v>
      </c>
    </row>
    <row r="132" spans="1:29" x14ac:dyDescent="0.25">
      <c r="A132" s="5">
        <v>2023</v>
      </c>
      <c r="B132" s="4" t="s">
        <v>15</v>
      </c>
      <c r="C132" s="6"/>
      <c r="D132" s="6"/>
      <c r="E132" s="6">
        <v>4893.7549999999992</v>
      </c>
      <c r="F132" s="6"/>
      <c r="G132" s="6"/>
      <c r="H132" s="6"/>
      <c r="I132" s="6">
        <v>4893.7549999999992</v>
      </c>
      <c r="K132" s="5">
        <v>2021</v>
      </c>
      <c r="L132" s="4" t="s">
        <v>13</v>
      </c>
      <c r="M132" s="6">
        <v>0.34499999999999997</v>
      </c>
      <c r="N132" s="6"/>
      <c r="O132" s="6">
        <v>0.128</v>
      </c>
      <c r="P132" s="6"/>
      <c r="Q132" s="6">
        <v>4909.8770000000013</v>
      </c>
      <c r="R132" s="6">
        <v>1.123</v>
      </c>
      <c r="S132" s="6">
        <v>4911.4730000000009</v>
      </c>
      <c r="U132" s="5">
        <v>2021</v>
      </c>
      <c r="V132" s="4" t="s">
        <v>14</v>
      </c>
      <c r="W132" s="6"/>
      <c r="X132" s="6">
        <v>5399.5500000000038</v>
      </c>
      <c r="Y132" s="6"/>
      <c r="Z132" s="6">
        <v>1804.3410000000001</v>
      </c>
      <c r="AA132" s="6">
        <v>43.973999999999997</v>
      </c>
      <c r="AB132" s="6"/>
      <c r="AC132" s="6">
        <v>7247.8650000000043</v>
      </c>
    </row>
    <row r="133" spans="1:29" x14ac:dyDescent="0.25">
      <c r="A133" s="5">
        <v>2024</v>
      </c>
      <c r="B133" s="4" t="s">
        <v>4</v>
      </c>
      <c r="C133" s="6"/>
      <c r="D133" s="6"/>
      <c r="E133" s="6">
        <v>26204.287999999986</v>
      </c>
      <c r="F133" s="6"/>
      <c r="G133" s="6"/>
      <c r="H133" s="6"/>
      <c r="I133" s="6">
        <v>26204.287999999986</v>
      </c>
      <c r="K133" s="5">
        <v>2021</v>
      </c>
      <c r="L133" s="4" t="s">
        <v>14</v>
      </c>
      <c r="M133" s="6"/>
      <c r="N133" s="6"/>
      <c r="O133" s="6">
        <v>3032.5769999999989</v>
      </c>
      <c r="P133" s="6"/>
      <c r="Q133" s="6">
        <v>16210.431999999984</v>
      </c>
      <c r="R133" s="6">
        <v>1.7040000000000002</v>
      </c>
      <c r="S133" s="6">
        <v>19244.712999999985</v>
      </c>
      <c r="U133" s="5">
        <v>2021</v>
      </c>
      <c r="V133" s="4" t="s">
        <v>15</v>
      </c>
      <c r="W133" s="6"/>
      <c r="X133" s="6">
        <v>81.739000000000004</v>
      </c>
      <c r="Y133" s="6"/>
      <c r="Z133" s="6">
        <v>365.58000000000004</v>
      </c>
      <c r="AA133" s="6">
        <v>77.087999999999994</v>
      </c>
      <c r="AB133" s="6"/>
      <c r="AC133" s="6">
        <v>524.40700000000004</v>
      </c>
    </row>
    <row r="134" spans="1:29" x14ac:dyDescent="0.25">
      <c r="A134" s="5">
        <v>2024</v>
      </c>
      <c r="B134" s="4" t="s">
        <v>5</v>
      </c>
      <c r="C134" s="6"/>
      <c r="D134" s="6"/>
      <c r="E134" s="6">
        <v>4815.2000000000007</v>
      </c>
      <c r="F134" s="6"/>
      <c r="G134" s="6">
        <v>1948.3680000000002</v>
      </c>
      <c r="H134" s="6"/>
      <c r="I134" s="6">
        <v>6763.5680000000011</v>
      </c>
      <c r="K134" s="5">
        <v>2021</v>
      </c>
      <c r="L134" s="4" t="s">
        <v>15</v>
      </c>
      <c r="M134" s="6"/>
      <c r="N134" s="6"/>
      <c r="O134" s="6">
        <v>26.826999999999998</v>
      </c>
      <c r="P134" s="6"/>
      <c r="Q134" s="6">
        <v>6865.4999999999982</v>
      </c>
      <c r="R134" s="6">
        <v>35.130000000000003</v>
      </c>
      <c r="S134" s="6">
        <v>6927.4569999999985</v>
      </c>
      <c r="U134" s="5">
        <v>2022</v>
      </c>
      <c r="V134" s="4" t="s">
        <v>4</v>
      </c>
      <c r="W134" s="6"/>
      <c r="X134" s="6">
        <v>9.2999999999999999E-2</v>
      </c>
      <c r="Y134" s="6"/>
      <c r="Z134" s="6"/>
      <c r="AA134" s="6">
        <v>23.72</v>
      </c>
      <c r="AB134" s="6"/>
      <c r="AC134" s="6">
        <v>23.812999999999999</v>
      </c>
    </row>
    <row r="135" spans="1:29" x14ac:dyDescent="0.25">
      <c r="A135" s="5">
        <v>2024</v>
      </c>
      <c r="B135" s="4" t="s">
        <v>6</v>
      </c>
      <c r="C135" s="6"/>
      <c r="D135" s="6"/>
      <c r="E135" s="6">
        <v>2760.3259999999991</v>
      </c>
      <c r="F135" s="6"/>
      <c r="G135" s="6">
        <v>19.5</v>
      </c>
      <c r="H135" s="6"/>
      <c r="I135" s="6">
        <v>2779.8259999999991</v>
      </c>
      <c r="K135" s="5">
        <v>2022</v>
      </c>
      <c r="L135" s="4" t="s">
        <v>4</v>
      </c>
      <c r="M135" s="6"/>
      <c r="N135" s="6"/>
      <c r="O135" s="6">
        <v>9.7000000000000003E-2</v>
      </c>
      <c r="P135" s="6"/>
      <c r="Q135" s="6"/>
      <c r="R135" s="6">
        <v>13.12</v>
      </c>
      <c r="S135" s="6">
        <v>13.216999999999999</v>
      </c>
      <c r="U135" s="5">
        <v>2022</v>
      </c>
      <c r="V135" s="4" t="s">
        <v>5</v>
      </c>
      <c r="W135" s="6"/>
      <c r="X135" s="6">
        <v>39.996000000000002</v>
      </c>
      <c r="Y135" s="6"/>
      <c r="Z135" s="6">
        <v>544.82000000000005</v>
      </c>
      <c r="AA135" s="6">
        <v>421.17899999999997</v>
      </c>
      <c r="AB135" s="6"/>
      <c r="AC135" s="6">
        <v>1005.995</v>
      </c>
    </row>
    <row r="136" spans="1:29" x14ac:dyDescent="0.25">
      <c r="A136" s="5">
        <v>2024</v>
      </c>
      <c r="B136" s="4" t="s">
        <v>7</v>
      </c>
      <c r="C136" s="6"/>
      <c r="D136" s="6"/>
      <c r="E136" s="6">
        <v>2258.1449999999995</v>
      </c>
      <c r="F136" s="6"/>
      <c r="G136" s="6">
        <v>154.00799999999998</v>
      </c>
      <c r="H136" s="6"/>
      <c r="I136" s="6">
        <v>2412.1529999999993</v>
      </c>
      <c r="K136" s="5">
        <v>2022</v>
      </c>
      <c r="L136" s="4" t="s">
        <v>5</v>
      </c>
      <c r="M136" s="6"/>
      <c r="N136" s="6"/>
      <c r="O136" s="6">
        <v>20.652000000000001</v>
      </c>
      <c r="P136" s="6"/>
      <c r="Q136" s="6">
        <v>14260.14</v>
      </c>
      <c r="R136" s="6">
        <v>385.57100000000008</v>
      </c>
      <c r="S136" s="6">
        <v>14666.362999999999</v>
      </c>
      <c r="U136" s="5">
        <v>2022</v>
      </c>
      <c r="V136" s="4" t="s">
        <v>6</v>
      </c>
      <c r="W136" s="6"/>
      <c r="X136" s="6">
        <v>87763.286999999822</v>
      </c>
      <c r="Y136" s="6"/>
      <c r="Z136" s="6">
        <v>2849.4869999999996</v>
      </c>
      <c r="AA136" s="6">
        <v>396.05199999999985</v>
      </c>
      <c r="AB136" s="6"/>
      <c r="AC136" s="6">
        <v>91008.825999999812</v>
      </c>
    </row>
    <row r="137" spans="1:29" x14ac:dyDescent="0.25">
      <c r="A137" s="5">
        <v>2024</v>
      </c>
      <c r="B137" s="4" t="s">
        <v>8</v>
      </c>
      <c r="C137" s="6"/>
      <c r="D137" s="6"/>
      <c r="E137" s="6">
        <v>1665.7820000000004</v>
      </c>
      <c r="F137" s="6"/>
      <c r="G137" s="6">
        <v>35.564999999999998</v>
      </c>
      <c r="H137" s="6">
        <v>45.96</v>
      </c>
      <c r="I137" s="6">
        <v>1747.3070000000005</v>
      </c>
      <c r="K137" s="5">
        <v>2022</v>
      </c>
      <c r="L137" s="4" t="s">
        <v>6</v>
      </c>
      <c r="M137" s="6"/>
      <c r="N137" s="6"/>
      <c r="O137" s="6">
        <v>92710.207000000009</v>
      </c>
      <c r="P137" s="6">
        <v>0.35</v>
      </c>
      <c r="Q137" s="6">
        <v>15236.931999999992</v>
      </c>
      <c r="R137" s="6">
        <v>866.90300000000013</v>
      </c>
      <c r="S137" s="6">
        <v>108814.39200000001</v>
      </c>
      <c r="U137" s="5">
        <v>2022</v>
      </c>
      <c r="V137" s="4" t="s">
        <v>7</v>
      </c>
      <c r="W137" s="6"/>
      <c r="X137" s="6">
        <v>58830.959000000075</v>
      </c>
      <c r="Y137" s="6"/>
      <c r="Z137" s="6">
        <v>657.4939999999998</v>
      </c>
      <c r="AA137" s="6">
        <v>20.100999999999999</v>
      </c>
      <c r="AB137" s="6"/>
      <c r="AC137" s="6">
        <v>59508.554000000076</v>
      </c>
    </row>
    <row r="138" spans="1:29" x14ac:dyDescent="0.25">
      <c r="A138" s="5">
        <v>2024</v>
      </c>
      <c r="B138" s="4" t="s">
        <v>9</v>
      </c>
      <c r="C138" s="6"/>
      <c r="D138" s="6"/>
      <c r="E138" s="6"/>
      <c r="F138" s="6"/>
      <c r="G138" s="6"/>
      <c r="H138" s="6">
        <v>120.59000000000002</v>
      </c>
      <c r="I138" s="6">
        <v>120.59000000000002</v>
      </c>
      <c r="K138" s="5">
        <v>2022</v>
      </c>
      <c r="L138" s="4" t="s">
        <v>7</v>
      </c>
      <c r="M138" s="6"/>
      <c r="N138" s="6"/>
      <c r="O138" s="6">
        <v>27070.092999999972</v>
      </c>
      <c r="P138" s="6"/>
      <c r="Q138" s="6">
        <v>5945.3380000000006</v>
      </c>
      <c r="R138" s="6">
        <v>69.725999999999999</v>
      </c>
      <c r="S138" s="6">
        <v>33085.156999999977</v>
      </c>
      <c r="U138" s="5">
        <v>2022</v>
      </c>
      <c r="V138" s="4" t="s">
        <v>8</v>
      </c>
      <c r="W138" s="6"/>
      <c r="X138" s="6">
        <v>21286.770000000004</v>
      </c>
      <c r="Y138" s="6"/>
      <c r="Z138" s="6">
        <v>1704.5459999999998</v>
      </c>
      <c r="AA138" s="6">
        <v>176.08199999999999</v>
      </c>
      <c r="AB138" s="6"/>
      <c r="AC138" s="6">
        <v>23167.398000000001</v>
      </c>
    </row>
    <row r="139" spans="1:29" x14ac:dyDescent="0.25">
      <c r="A139" s="5">
        <v>2024</v>
      </c>
      <c r="B139" s="4" t="s">
        <v>10</v>
      </c>
      <c r="C139" s="6"/>
      <c r="D139" s="6"/>
      <c r="E139" s="6">
        <v>692.99799999999982</v>
      </c>
      <c r="F139" s="6"/>
      <c r="G139" s="6"/>
      <c r="H139" s="6">
        <v>61.024999999999999</v>
      </c>
      <c r="I139" s="6">
        <v>754.0229999999998</v>
      </c>
      <c r="K139" s="5">
        <v>2022</v>
      </c>
      <c r="L139" s="4" t="s">
        <v>8</v>
      </c>
      <c r="M139" s="6"/>
      <c r="N139" s="6"/>
      <c r="O139" s="6">
        <v>5730.6020000000017</v>
      </c>
      <c r="P139" s="6"/>
      <c r="Q139" s="6">
        <v>4464.8040000000001</v>
      </c>
      <c r="R139" s="6">
        <v>16.567</v>
      </c>
      <c r="S139" s="6">
        <v>10211.973000000002</v>
      </c>
      <c r="U139" s="5">
        <v>2022</v>
      </c>
      <c r="V139" s="4" t="s">
        <v>9</v>
      </c>
      <c r="W139" s="6"/>
      <c r="X139" s="6">
        <v>11681.224000000002</v>
      </c>
      <c r="Y139" s="6"/>
      <c r="Z139" s="6">
        <v>2889.6710000000003</v>
      </c>
      <c r="AA139" s="6">
        <v>926.20999999999992</v>
      </c>
      <c r="AB139" s="6"/>
      <c r="AC139" s="6">
        <v>15497.105000000001</v>
      </c>
    </row>
    <row r="140" spans="1:29" x14ac:dyDescent="0.25">
      <c r="A140" s="5">
        <v>2024</v>
      </c>
      <c r="B140" s="4" t="s">
        <v>11</v>
      </c>
      <c r="C140" s="6"/>
      <c r="D140" s="6"/>
      <c r="E140" s="6"/>
      <c r="F140" s="6"/>
      <c r="G140" s="6"/>
      <c r="H140" s="6">
        <v>49.915000000000006</v>
      </c>
      <c r="I140" s="6">
        <v>49.915000000000006</v>
      </c>
      <c r="K140" s="5">
        <v>2022</v>
      </c>
      <c r="L140" s="4" t="s">
        <v>9</v>
      </c>
      <c r="M140" s="6"/>
      <c r="N140" s="6"/>
      <c r="O140" s="6">
        <v>2071.9810000000016</v>
      </c>
      <c r="P140" s="6"/>
      <c r="Q140" s="6">
        <v>10195.199000000001</v>
      </c>
      <c r="R140" s="6">
        <v>135.94000000000003</v>
      </c>
      <c r="S140" s="6">
        <v>12403.120000000003</v>
      </c>
      <c r="U140" s="5">
        <v>2022</v>
      </c>
      <c r="V140" s="4" t="s">
        <v>10</v>
      </c>
      <c r="W140" s="6"/>
      <c r="X140" s="6">
        <v>745.45099999999968</v>
      </c>
      <c r="Y140" s="6"/>
      <c r="Z140" s="6">
        <v>188.95199999999997</v>
      </c>
      <c r="AA140" s="6">
        <v>943.01499999999999</v>
      </c>
      <c r="AB140" s="6"/>
      <c r="AC140" s="6">
        <v>1877.4179999999997</v>
      </c>
    </row>
    <row r="141" spans="1:29" x14ac:dyDescent="0.25">
      <c r="A141" s="5">
        <v>2024</v>
      </c>
      <c r="B141" s="4" t="s">
        <v>13</v>
      </c>
      <c r="C141" s="6"/>
      <c r="D141" s="6"/>
      <c r="E141" s="6">
        <v>710.76300000000003</v>
      </c>
      <c r="F141" s="6"/>
      <c r="G141" s="6"/>
      <c r="H141" s="6">
        <v>30.585999999999999</v>
      </c>
      <c r="I141" s="6">
        <v>741.34900000000005</v>
      </c>
      <c r="K141" s="5">
        <v>2022</v>
      </c>
      <c r="L141" s="4" t="s">
        <v>10</v>
      </c>
      <c r="M141" s="6"/>
      <c r="N141" s="6"/>
      <c r="O141" s="6">
        <v>869.75000000000011</v>
      </c>
      <c r="P141" s="6"/>
      <c r="Q141" s="6">
        <v>243.76300000000003</v>
      </c>
      <c r="R141" s="6">
        <v>41.454999999999998</v>
      </c>
      <c r="S141" s="6">
        <v>1154.9680000000001</v>
      </c>
      <c r="U141" s="5">
        <v>2022</v>
      </c>
      <c r="V141" s="4" t="s">
        <v>11</v>
      </c>
      <c r="W141" s="6">
        <v>0.58399999999999996</v>
      </c>
      <c r="X141" s="6">
        <v>3.4999999999999996E-2</v>
      </c>
      <c r="Y141" s="6"/>
      <c r="Z141" s="6"/>
      <c r="AA141" s="6">
        <v>1056.7150000000001</v>
      </c>
      <c r="AB141" s="6"/>
      <c r="AC141" s="6">
        <v>1057.3340000000001</v>
      </c>
    </row>
    <row r="142" spans="1:29" x14ac:dyDescent="0.25">
      <c r="A142" s="5">
        <v>2024</v>
      </c>
      <c r="B142" s="4" t="s">
        <v>14</v>
      </c>
      <c r="C142" s="6"/>
      <c r="D142" s="6"/>
      <c r="E142" s="6">
        <v>12034.131999999996</v>
      </c>
      <c r="F142" s="6"/>
      <c r="G142" s="6"/>
      <c r="H142" s="6">
        <v>6.758</v>
      </c>
      <c r="I142" s="6">
        <v>12040.889999999996</v>
      </c>
      <c r="K142" s="5">
        <v>2022</v>
      </c>
      <c r="L142" s="4" t="s">
        <v>11</v>
      </c>
      <c r="M142" s="6"/>
      <c r="N142" s="6"/>
      <c r="O142" s="6">
        <v>5.8510000000000009</v>
      </c>
      <c r="P142" s="6"/>
      <c r="Q142" s="6"/>
      <c r="R142" s="6">
        <v>1.01</v>
      </c>
      <c r="S142" s="6">
        <v>6.8610000000000007</v>
      </c>
      <c r="U142" s="5">
        <v>2022</v>
      </c>
      <c r="V142" s="4" t="s">
        <v>12</v>
      </c>
      <c r="W142" s="6"/>
      <c r="X142" s="6">
        <v>0.28200000000000003</v>
      </c>
      <c r="Y142" s="6"/>
      <c r="Z142" s="6"/>
      <c r="AA142" s="6">
        <v>23.206</v>
      </c>
      <c r="AB142" s="6"/>
      <c r="AC142" s="6">
        <v>23.488</v>
      </c>
    </row>
    <row r="143" spans="1:29" x14ac:dyDescent="0.25">
      <c r="A143" s="5">
        <v>2024</v>
      </c>
      <c r="B143" s="4" t="s">
        <v>15</v>
      </c>
      <c r="C143" s="6"/>
      <c r="D143" s="6"/>
      <c r="E143" s="6">
        <v>16153.967999999999</v>
      </c>
      <c r="F143" s="6">
        <v>0.03</v>
      </c>
      <c r="G143" s="6">
        <v>3.5009999999999999</v>
      </c>
      <c r="H143" s="6">
        <v>22.36</v>
      </c>
      <c r="I143" s="6">
        <v>16179.859</v>
      </c>
      <c r="K143" s="5">
        <v>2022</v>
      </c>
      <c r="L143" s="4" t="s">
        <v>12</v>
      </c>
      <c r="M143" s="6"/>
      <c r="N143" s="6"/>
      <c r="O143" s="6">
        <v>0.35900000000000004</v>
      </c>
      <c r="P143" s="6"/>
      <c r="Q143" s="6"/>
      <c r="R143" s="6">
        <v>4.0000000000000001E-3</v>
      </c>
      <c r="S143" s="6">
        <v>0.36300000000000004</v>
      </c>
      <c r="U143" s="5">
        <v>2022</v>
      </c>
      <c r="V143" s="4" t="s">
        <v>13</v>
      </c>
      <c r="W143" s="6"/>
      <c r="X143" s="6">
        <v>4.8999999999999995E-2</v>
      </c>
      <c r="Y143" s="6">
        <v>0.02</v>
      </c>
      <c r="Z143" s="6">
        <v>128.012</v>
      </c>
      <c r="AA143" s="6">
        <v>20.560000000000002</v>
      </c>
      <c r="AB143" s="6"/>
      <c r="AC143" s="6">
        <v>148.64099999999999</v>
      </c>
    </row>
    <row r="144" spans="1:29" x14ac:dyDescent="0.25">
      <c r="K144" s="5">
        <v>2022</v>
      </c>
      <c r="L144" s="4" t="s">
        <v>13</v>
      </c>
      <c r="M144" s="6"/>
      <c r="N144" s="6"/>
      <c r="O144" s="6">
        <v>5.8000000000000003E-2</v>
      </c>
      <c r="P144" s="6">
        <v>0.02</v>
      </c>
      <c r="Q144" s="6">
        <v>2567.1880000000006</v>
      </c>
      <c r="R144" s="6">
        <v>0.16999999999999998</v>
      </c>
      <c r="S144" s="6">
        <v>2567.4360000000006</v>
      </c>
      <c r="U144" s="5">
        <v>2022</v>
      </c>
      <c r="V144" s="4" t="s">
        <v>14</v>
      </c>
      <c r="W144" s="6">
        <v>0.79300000000000004</v>
      </c>
      <c r="X144" s="6">
        <v>20260.235000000011</v>
      </c>
      <c r="Y144" s="6"/>
      <c r="Z144" s="6">
        <v>1436.9209999999994</v>
      </c>
      <c r="AA144" s="6">
        <v>153.32</v>
      </c>
      <c r="AB144" s="6"/>
      <c r="AC144" s="6">
        <v>21851.269000000011</v>
      </c>
    </row>
    <row r="145" spans="11:29" x14ac:dyDescent="0.25">
      <c r="K145" s="5">
        <v>2022</v>
      </c>
      <c r="L145" s="4" t="s">
        <v>14</v>
      </c>
      <c r="M145" s="6"/>
      <c r="N145" s="6"/>
      <c r="O145" s="6">
        <v>10247.650999999987</v>
      </c>
      <c r="P145" s="6"/>
      <c r="Q145" s="6">
        <v>8383.3190000000013</v>
      </c>
      <c r="R145" s="6">
        <v>10.93</v>
      </c>
      <c r="S145" s="6">
        <v>18641.899999999987</v>
      </c>
      <c r="U145" s="5">
        <v>2022</v>
      </c>
      <c r="V145" s="4" t="s">
        <v>15</v>
      </c>
      <c r="W145" s="6"/>
      <c r="X145" s="6">
        <v>22.964000000000002</v>
      </c>
      <c r="Y145" s="6"/>
      <c r="Z145" s="6">
        <v>866.29699999999991</v>
      </c>
      <c r="AA145" s="6">
        <v>384.37999999999994</v>
      </c>
      <c r="AB145" s="6"/>
      <c r="AC145" s="6">
        <v>1273.6409999999998</v>
      </c>
    </row>
    <row r="146" spans="11:29" x14ac:dyDescent="0.25">
      <c r="K146" s="5">
        <v>2022</v>
      </c>
      <c r="L146" s="4" t="s">
        <v>15</v>
      </c>
      <c r="M146" s="6"/>
      <c r="N146" s="6"/>
      <c r="O146" s="6">
        <v>159.709</v>
      </c>
      <c r="P146" s="6"/>
      <c r="Q146" s="6">
        <v>14098.441000000001</v>
      </c>
      <c r="R146" s="6">
        <v>58.263999999999996</v>
      </c>
      <c r="S146" s="6">
        <v>14316.414000000001</v>
      </c>
      <c r="U146" s="5">
        <v>2023</v>
      </c>
      <c r="V146" s="4" t="s">
        <v>4</v>
      </c>
      <c r="W146" s="6"/>
      <c r="X146" s="6"/>
      <c r="Y146" s="6"/>
      <c r="Z146" s="6"/>
      <c r="AA146" s="6">
        <v>489.98900000000003</v>
      </c>
      <c r="AB146" s="6"/>
      <c r="AC146" s="6">
        <v>489.98900000000003</v>
      </c>
    </row>
    <row r="147" spans="11:29" x14ac:dyDescent="0.25">
      <c r="K147" s="5">
        <v>2023</v>
      </c>
      <c r="L147" s="4" t="s">
        <v>4</v>
      </c>
      <c r="M147" s="6"/>
      <c r="N147" s="6"/>
      <c r="O147" s="6"/>
      <c r="P147" s="6"/>
      <c r="Q147" s="6"/>
      <c r="R147" s="6">
        <v>54.807000000000002</v>
      </c>
      <c r="S147" s="6">
        <v>54.807000000000002</v>
      </c>
      <c r="U147" s="5">
        <v>2023</v>
      </c>
      <c r="V147" s="4" t="s">
        <v>5</v>
      </c>
      <c r="W147" s="6"/>
      <c r="X147" s="6">
        <v>4.5999999999999999E-2</v>
      </c>
      <c r="Y147" s="6"/>
      <c r="Z147" s="6">
        <v>725.48700000000019</v>
      </c>
      <c r="AA147" s="6">
        <v>312.82100000000008</v>
      </c>
      <c r="AB147" s="6"/>
      <c r="AC147" s="6">
        <v>1038.3540000000003</v>
      </c>
    </row>
    <row r="148" spans="11:29" x14ac:dyDescent="0.25">
      <c r="K148" s="5">
        <v>2023</v>
      </c>
      <c r="L148" s="4" t="s">
        <v>5</v>
      </c>
      <c r="M148" s="6"/>
      <c r="N148" s="6"/>
      <c r="O148" s="6">
        <v>0.10700000000000003</v>
      </c>
      <c r="P148" s="6"/>
      <c r="Q148" s="6">
        <v>5579.2439999999997</v>
      </c>
      <c r="R148" s="6">
        <v>89.405000000000001</v>
      </c>
      <c r="S148" s="6">
        <v>5668.7559999999994</v>
      </c>
      <c r="U148" s="5">
        <v>2023</v>
      </c>
      <c r="V148" s="4" t="s">
        <v>6</v>
      </c>
      <c r="W148" s="6"/>
      <c r="X148" s="6">
        <v>34862.991999999998</v>
      </c>
      <c r="Y148" s="6"/>
      <c r="Z148" s="6">
        <v>2730.3910000000001</v>
      </c>
      <c r="AA148" s="6">
        <v>182.27500000000003</v>
      </c>
      <c r="AB148" s="6"/>
      <c r="AC148" s="6">
        <v>37775.658000000003</v>
      </c>
    </row>
    <row r="149" spans="11:29" x14ac:dyDescent="0.25">
      <c r="K149" s="5">
        <v>2023</v>
      </c>
      <c r="L149" s="4" t="s">
        <v>6</v>
      </c>
      <c r="M149" s="6"/>
      <c r="N149" s="6"/>
      <c r="O149" s="6">
        <v>191532.8809999997</v>
      </c>
      <c r="P149" s="6">
        <v>0.2</v>
      </c>
      <c r="Q149" s="6">
        <v>12091.102000000001</v>
      </c>
      <c r="R149" s="6">
        <v>38.130000000000003</v>
      </c>
      <c r="S149" s="6">
        <v>203662.31299999973</v>
      </c>
      <c r="U149" s="5">
        <v>2023</v>
      </c>
      <c r="V149" s="4" t="s">
        <v>7</v>
      </c>
      <c r="W149" s="6"/>
      <c r="X149" s="6">
        <v>46034.592999999943</v>
      </c>
      <c r="Y149" s="6"/>
      <c r="Z149" s="6">
        <v>1278.4200000000003</v>
      </c>
      <c r="AA149" s="6">
        <v>11.648</v>
      </c>
      <c r="AB149" s="6"/>
      <c r="AC149" s="6">
        <v>47324.660999999942</v>
      </c>
    </row>
    <row r="150" spans="11:29" x14ac:dyDescent="0.25">
      <c r="K150" s="5">
        <v>2023</v>
      </c>
      <c r="L150" s="4" t="s">
        <v>7</v>
      </c>
      <c r="M150" s="6"/>
      <c r="N150" s="6"/>
      <c r="O150" s="6">
        <v>96018.627999999968</v>
      </c>
      <c r="P150" s="6"/>
      <c r="Q150" s="6">
        <v>5153.2800000000007</v>
      </c>
      <c r="R150" s="6"/>
      <c r="S150" s="6">
        <v>101171.90799999997</v>
      </c>
      <c r="U150" s="5">
        <v>2023</v>
      </c>
      <c r="V150" s="4" t="s">
        <v>8</v>
      </c>
      <c r="W150" s="6"/>
      <c r="X150" s="6">
        <v>40334.690999999941</v>
      </c>
      <c r="Y150" s="6"/>
      <c r="Z150" s="6">
        <v>2976.6310000000012</v>
      </c>
      <c r="AA150" s="6">
        <v>0.01</v>
      </c>
      <c r="AB150" s="6"/>
      <c r="AC150" s="6">
        <v>43311.331999999944</v>
      </c>
    </row>
    <row r="151" spans="11:29" x14ac:dyDescent="0.25">
      <c r="K151" s="5">
        <v>2023</v>
      </c>
      <c r="L151" s="4" t="s">
        <v>8</v>
      </c>
      <c r="M151" s="6"/>
      <c r="N151" s="6"/>
      <c r="O151" s="6">
        <v>38521.14499999999</v>
      </c>
      <c r="P151" s="6"/>
      <c r="Q151" s="6">
        <v>2381.2499999999995</v>
      </c>
      <c r="R151" s="6"/>
      <c r="S151" s="6">
        <v>40902.39499999999</v>
      </c>
      <c r="U151" s="5">
        <v>2023</v>
      </c>
      <c r="V151" s="4" t="s">
        <v>9</v>
      </c>
      <c r="W151" s="6"/>
      <c r="X151" s="6">
        <v>23977.356999999985</v>
      </c>
      <c r="Y151" s="6"/>
      <c r="Z151" s="6">
        <v>2143.0639999999999</v>
      </c>
      <c r="AA151" s="6">
        <v>199.102</v>
      </c>
      <c r="AB151" s="6"/>
      <c r="AC151" s="6">
        <v>26319.522999999983</v>
      </c>
    </row>
    <row r="152" spans="11:29" x14ac:dyDescent="0.25">
      <c r="K152" s="5">
        <v>2023</v>
      </c>
      <c r="L152" s="4" t="s">
        <v>9</v>
      </c>
      <c r="M152" s="6"/>
      <c r="N152" s="6"/>
      <c r="O152" s="6">
        <v>7271.418999999999</v>
      </c>
      <c r="P152" s="6"/>
      <c r="Q152" s="6">
        <v>1030.6410000000003</v>
      </c>
      <c r="R152" s="6">
        <v>0.17799999999999999</v>
      </c>
      <c r="S152" s="6">
        <v>8302.2379999999994</v>
      </c>
      <c r="U152" s="5">
        <v>2023</v>
      </c>
      <c r="V152" s="4" t="s">
        <v>10</v>
      </c>
      <c r="W152" s="6"/>
      <c r="X152" s="6">
        <v>6075.9079999999994</v>
      </c>
      <c r="Y152" s="6"/>
      <c r="Z152" s="6">
        <v>265.87900000000002</v>
      </c>
      <c r="AA152" s="6">
        <v>162.62099999999998</v>
      </c>
      <c r="AB152" s="6"/>
      <c r="AC152" s="6">
        <v>6504.4079999999994</v>
      </c>
    </row>
    <row r="153" spans="11:29" x14ac:dyDescent="0.25">
      <c r="K153" s="5">
        <v>2023</v>
      </c>
      <c r="L153" s="4" t="s">
        <v>10</v>
      </c>
      <c r="M153" s="6">
        <v>0.157</v>
      </c>
      <c r="N153" s="6"/>
      <c r="O153" s="6">
        <v>1806.8230000000003</v>
      </c>
      <c r="P153" s="6"/>
      <c r="Q153" s="6">
        <v>342.05599999999998</v>
      </c>
      <c r="R153" s="6">
        <v>12.37</v>
      </c>
      <c r="S153" s="6">
        <v>2161.4059999999999</v>
      </c>
      <c r="U153" s="5">
        <v>2023</v>
      </c>
      <c r="V153" s="4" t="s">
        <v>11</v>
      </c>
      <c r="W153" s="6"/>
      <c r="X153" s="6">
        <v>7.2000000000000008E-2</v>
      </c>
      <c r="Y153" s="6"/>
      <c r="Z153" s="6"/>
      <c r="AA153" s="6">
        <v>10.382000000000001</v>
      </c>
      <c r="AB153" s="6"/>
      <c r="AC153" s="6">
        <v>10.454000000000001</v>
      </c>
    </row>
    <row r="154" spans="11:29" x14ac:dyDescent="0.25">
      <c r="K154" s="5">
        <v>2023</v>
      </c>
      <c r="L154" s="4" t="s">
        <v>11</v>
      </c>
      <c r="M154" s="6">
        <v>0.16200000000000001</v>
      </c>
      <c r="N154" s="6"/>
      <c r="O154" s="6">
        <v>6.3E-2</v>
      </c>
      <c r="P154" s="6"/>
      <c r="Q154" s="6"/>
      <c r="R154" s="6"/>
      <c r="S154" s="6">
        <v>0.22500000000000001</v>
      </c>
      <c r="U154" s="5">
        <v>2023</v>
      </c>
      <c r="V154" s="4" t="s">
        <v>12</v>
      </c>
      <c r="W154" s="6">
        <v>1.9E-2</v>
      </c>
      <c r="X154" s="6">
        <v>3.9000000000000007E-2</v>
      </c>
      <c r="Y154" s="6"/>
      <c r="Z154" s="6"/>
      <c r="AA154" s="6">
        <v>249.88700000000003</v>
      </c>
      <c r="AB154" s="6"/>
      <c r="AC154" s="6">
        <v>249.94500000000002</v>
      </c>
    </row>
    <row r="155" spans="11:29" x14ac:dyDescent="0.25">
      <c r="K155" s="5">
        <v>2023</v>
      </c>
      <c r="L155" s="4" t="s">
        <v>12</v>
      </c>
      <c r="M155" s="6">
        <v>0.01</v>
      </c>
      <c r="N155" s="6"/>
      <c r="O155" s="6">
        <v>0.13600000000000001</v>
      </c>
      <c r="P155" s="6"/>
      <c r="Q155" s="6"/>
      <c r="R155" s="6">
        <v>2.7E-2</v>
      </c>
      <c r="S155" s="6">
        <v>0.17300000000000001</v>
      </c>
      <c r="U155" s="5">
        <v>2023</v>
      </c>
      <c r="V155" s="4" t="s">
        <v>13</v>
      </c>
      <c r="W155" s="6"/>
      <c r="X155" s="6">
        <v>6.6000000000000003E-2</v>
      </c>
      <c r="Y155" s="6"/>
      <c r="Z155" s="6">
        <v>1609.2499999999993</v>
      </c>
      <c r="AA155" s="6">
        <v>20.946000000000002</v>
      </c>
      <c r="AB155" s="6"/>
      <c r="AC155" s="6">
        <v>1630.2619999999993</v>
      </c>
    </row>
    <row r="156" spans="11:29" x14ac:dyDescent="0.25">
      <c r="K156" s="5">
        <v>2023</v>
      </c>
      <c r="L156" s="4" t="s">
        <v>13</v>
      </c>
      <c r="M156" s="6"/>
      <c r="N156" s="6"/>
      <c r="O156" s="6">
        <v>7.8000000000000014E-2</v>
      </c>
      <c r="P156" s="6"/>
      <c r="Q156" s="6">
        <v>3730.5789999999993</v>
      </c>
      <c r="R156" s="6">
        <v>3.0000000000000001E-3</v>
      </c>
      <c r="S156" s="6">
        <v>3730.6599999999994</v>
      </c>
      <c r="U156" s="5">
        <v>2023</v>
      </c>
      <c r="V156" s="4" t="s">
        <v>14</v>
      </c>
      <c r="W156" s="6"/>
      <c r="X156" s="6">
        <v>22617.325999999986</v>
      </c>
      <c r="Y156" s="6"/>
      <c r="Z156" s="6">
        <v>1696.7169999999994</v>
      </c>
      <c r="AA156" s="6">
        <v>0.09</v>
      </c>
      <c r="AB156" s="6"/>
      <c r="AC156" s="6">
        <v>24314.132999999987</v>
      </c>
    </row>
    <row r="157" spans="11:29" x14ac:dyDescent="0.25">
      <c r="K157" s="5">
        <v>2023</v>
      </c>
      <c r="L157" s="4" t="s">
        <v>14</v>
      </c>
      <c r="M157" s="6"/>
      <c r="N157" s="6"/>
      <c r="O157" s="6">
        <v>16565.829000000023</v>
      </c>
      <c r="P157" s="6"/>
      <c r="Q157" s="6">
        <v>9916.2659999999996</v>
      </c>
      <c r="R157" s="6"/>
      <c r="S157" s="6">
        <v>26482.095000000023</v>
      </c>
      <c r="U157" s="5">
        <v>2023</v>
      </c>
      <c r="V157" s="4" t="s">
        <v>15</v>
      </c>
      <c r="W157" s="6"/>
      <c r="X157" s="6">
        <v>3442.0789999999993</v>
      </c>
      <c r="Y157" s="6"/>
      <c r="Z157" s="6">
        <v>1468.0229999999995</v>
      </c>
      <c r="AA157" s="6">
        <v>110.59</v>
      </c>
      <c r="AB157" s="6"/>
      <c r="AC157" s="6">
        <v>5020.6919999999991</v>
      </c>
    </row>
    <row r="158" spans="11:29" x14ac:dyDescent="0.25">
      <c r="K158" s="5">
        <v>2023</v>
      </c>
      <c r="L158" s="4" t="s">
        <v>15</v>
      </c>
      <c r="M158" s="6"/>
      <c r="N158" s="6"/>
      <c r="O158" s="6">
        <v>6323.3259999999964</v>
      </c>
      <c r="P158" s="6"/>
      <c r="Q158" s="6">
        <v>7122.1540000000005</v>
      </c>
      <c r="R158" s="6">
        <v>0.5</v>
      </c>
      <c r="S158" s="6">
        <v>13445.979999999996</v>
      </c>
      <c r="U158" s="5">
        <v>2024</v>
      </c>
      <c r="V158" s="4" t="s">
        <v>4</v>
      </c>
      <c r="W158" s="6">
        <v>1.7000000000000001E-2</v>
      </c>
      <c r="X158" s="6">
        <v>2.6000000000000002E-2</v>
      </c>
      <c r="Y158" s="6"/>
      <c r="Z158" s="6"/>
      <c r="AA158" s="6">
        <v>96.673000000000002</v>
      </c>
      <c r="AB158" s="6"/>
      <c r="AC158" s="6">
        <v>96.716000000000008</v>
      </c>
    </row>
    <row r="159" spans="11:29" x14ac:dyDescent="0.25">
      <c r="K159" s="5">
        <v>2024</v>
      </c>
      <c r="L159" s="4" t="s">
        <v>4</v>
      </c>
      <c r="M159" s="6"/>
      <c r="N159" s="6"/>
      <c r="O159" s="6">
        <v>4.8000000000000001E-2</v>
      </c>
      <c r="P159" s="6"/>
      <c r="Q159" s="6"/>
      <c r="R159" s="6"/>
      <c r="S159" s="6">
        <v>4.8000000000000001E-2</v>
      </c>
      <c r="U159" s="5">
        <v>2024</v>
      </c>
      <c r="V159" s="4" t="s">
        <v>5</v>
      </c>
      <c r="W159" s="6">
        <v>2.7000000000000003E-2</v>
      </c>
      <c r="X159" s="6">
        <v>9.0999999999999998E-2</v>
      </c>
      <c r="Y159" s="6"/>
      <c r="Z159" s="6">
        <v>3317.7209999999982</v>
      </c>
      <c r="AA159" s="6">
        <v>60.47</v>
      </c>
      <c r="AB159" s="6"/>
      <c r="AC159" s="6">
        <v>3378.3089999999979</v>
      </c>
    </row>
    <row r="160" spans="11:29" x14ac:dyDescent="0.25">
      <c r="K160" s="5">
        <v>2024</v>
      </c>
      <c r="L160" s="4" t="s">
        <v>5</v>
      </c>
      <c r="M160" s="6">
        <v>7.8E-2</v>
      </c>
      <c r="N160" s="6"/>
      <c r="O160" s="6">
        <v>4.6000000000000006E-2</v>
      </c>
      <c r="P160" s="6"/>
      <c r="Q160" s="6">
        <v>5669.6979999999921</v>
      </c>
      <c r="R160" s="6"/>
      <c r="S160" s="6">
        <v>5669.8219999999919</v>
      </c>
      <c r="U160" s="5">
        <v>2024</v>
      </c>
      <c r="V160" s="4" t="s">
        <v>6</v>
      </c>
      <c r="W160" s="6"/>
      <c r="X160" s="6">
        <v>33111.934000000001</v>
      </c>
      <c r="Y160" s="6"/>
      <c r="Z160" s="6">
        <v>4050.7010000000014</v>
      </c>
      <c r="AA160" s="6">
        <v>65.734999999999999</v>
      </c>
      <c r="AB160" s="6"/>
      <c r="AC160" s="6">
        <v>37228.370000000003</v>
      </c>
    </row>
    <row r="161" spans="11:29" x14ac:dyDescent="0.25">
      <c r="K161" s="5">
        <v>2024</v>
      </c>
      <c r="L161" s="4" t="s">
        <v>6</v>
      </c>
      <c r="M161" s="6"/>
      <c r="N161" s="6"/>
      <c r="O161" s="6">
        <v>50177.367000000006</v>
      </c>
      <c r="P161" s="6"/>
      <c r="Q161" s="6">
        <v>12028.395999999999</v>
      </c>
      <c r="R161" s="6"/>
      <c r="S161" s="6">
        <v>62205.763000000006</v>
      </c>
      <c r="U161" s="5">
        <v>2024</v>
      </c>
      <c r="V161" s="4" t="s">
        <v>7</v>
      </c>
      <c r="W161" s="6"/>
      <c r="X161" s="6">
        <v>19504.717999999997</v>
      </c>
      <c r="Y161" s="6"/>
      <c r="Z161" s="6">
        <v>2501.8389999999995</v>
      </c>
      <c r="AA161" s="6">
        <v>1.8000000000000002E-2</v>
      </c>
      <c r="AB161" s="6"/>
      <c r="AC161" s="6">
        <v>22006.574999999997</v>
      </c>
    </row>
    <row r="162" spans="11:29" x14ac:dyDescent="0.25">
      <c r="K162" s="5">
        <v>2024</v>
      </c>
      <c r="L162" s="4" t="s">
        <v>7</v>
      </c>
      <c r="M162" s="6"/>
      <c r="N162" s="6"/>
      <c r="O162" s="6">
        <v>6551.4910000000009</v>
      </c>
      <c r="P162" s="6"/>
      <c r="Q162" s="6">
        <v>3748.7510000000002</v>
      </c>
      <c r="R162" s="6">
        <v>2.972</v>
      </c>
      <c r="S162" s="6">
        <v>10303.214000000002</v>
      </c>
      <c r="U162" s="5">
        <v>2024</v>
      </c>
      <c r="V162" s="4" t="s">
        <v>8</v>
      </c>
      <c r="W162" s="6"/>
      <c r="X162" s="6">
        <v>34954.543000000012</v>
      </c>
      <c r="Y162" s="6"/>
      <c r="Z162" s="6">
        <v>1892.6830000000011</v>
      </c>
      <c r="AA162" s="6">
        <v>44.082999999999998</v>
      </c>
      <c r="AB162" s="6"/>
      <c r="AC162" s="6">
        <v>36891.309000000016</v>
      </c>
    </row>
    <row r="163" spans="11:29" x14ac:dyDescent="0.25">
      <c r="K163" s="5">
        <v>2024</v>
      </c>
      <c r="L163" s="4" t="s">
        <v>8</v>
      </c>
      <c r="M163" s="6"/>
      <c r="N163" s="6"/>
      <c r="O163" s="6">
        <v>5836.5429999999969</v>
      </c>
      <c r="P163" s="6"/>
      <c r="Q163" s="6">
        <v>3017.2680000000023</v>
      </c>
      <c r="R163" s="6">
        <v>33.407000000000004</v>
      </c>
      <c r="S163" s="6">
        <v>8887.2179999999989</v>
      </c>
      <c r="U163" s="5">
        <v>2024</v>
      </c>
      <c r="V163" s="4" t="s">
        <v>9</v>
      </c>
      <c r="W163" s="6"/>
      <c r="X163" s="6">
        <v>2342.348</v>
      </c>
      <c r="Y163" s="6"/>
      <c r="Z163" s="6">
        <v>493.41900000000004</v>
      </c>
      <c r="AA163" s="6">
        <v>34.552</v>
      </c>
      <c r="AB163" s="6"/>
      <c r="AC163" s="6">
        <v>2870.319</v>
      </c>
    </row>
    <row r="164" spans="11:29" x14ac:dyDescent="0.25">
      <c r="K164" s="5">
        <v>2024</v>
      </c>
      <c r="L164" s="4" t="s">
        <v>9</v>
      </c>
      <c r="M164" s="6"/>
      <c r="N164" s="6"/>
      <c r="O164" s="6">
        <v>410.42199999999985</v>
      </c>
      <c r="P164" s="6"/>
      <c r="Q164" s="6">
        <v>452.3359999999999</v>
      </c>
      <c r="R164" s="6">
        <v>71.935999999999993</v>
      </c>
      <c r="S164" s="6">
        <v>934.69399999999985</v>
      </c>
      <c r="U164" s="5">
        <v>2024</v>
      </c>
      <c r="V164" s="4" t="s">
        <v>10</v>
      </c>
      <c r="W164" s="6"/>
      <c r="X164" s="6">
        <v>5503.4259999999967</v>
      </c>
      <c r="Y164" s="6"/>
      <c r="Z164" s="6">
        <v>1196.1609999999998</v>
      </c>
      <c r="AA164" s="6">
        <v>30.003999999999998</v>
      </c>
      <c r="AB164" s="6"/>
      <c r="AC164" s="6">
        <v>6729.5909999999967</v>
      </c>
    </row>
    <row r="165" spans="11:29" x14ac:dyDescent="0.25">
      <c r="K165" s="5">
        <v>2024</v>
      </c>
      <c r="L165" s="4" t="s">
        <v>10</v>
      </c>
      <c r="M165" s="6"/>
      <c r="N165" s="6"/>
      <c r="O165" s="6">
        <v>11396.87900000001</v>
      </c>
      <c r="P165" s="6"/>
      <c r="Q165" s="6">
        <v>1731.4989999999996</v>
      </c>
      <c r="R165" s="6">
        <v>90.057000000000002</v>
      </c>
      <c r="S165" s="6">
        <v>13218.43500000001</v>
      </c>
      <c r="U165" s="5">
        <v>2024</v>
      </c>
      <c r="V165" s="4" t="s">
        <v>11</v>
      </c>
      <c r="W165" s="6"/>
      <c r="X165" s="6">
        <v>3.9000000000000007E-2</v>
      </c>
      <c r="Y165" s="6"/>
      <c r="Z165" s="6"/>
      <c r="AA165" s="6">
        <v>3.59</v>
      </c>
      <c r="AB165" s="6"/>
      <c r="AC165" s="6">
        <v>3.629</v>
      </c>
    </row>
    <row r="166" spans="11:29" x14ac:dyDescent="0.25">
      <c r="K166" s="5">
        <v>2024</v>
      </c>
      <c r="L166" s="4" t="s">
        <v>11</v>
      </c>
      <c r="M166" s="6"/>
      <c r="N166" s="6"/>
      <c r="O166" s="6">
        <v>38.078000000000003</v>
      </c>
      <c r="P166" s="6"/>
      <c r="Q166" s="6"/>
      <c r="R166" s="6">
        <v>3.7720000000000002</v>
      </c>
      <c r="S166" s="6">
        <v>41.85</v>
      </c>
      <c r="U166" s="5">
        <v>2024</v>
      </c>
      <c r="V166" s="4" t="s">
        <v>12</v>
      </c>
      <c r="W166" s="6"/>
      <c r="X166" s="6">
        <v>11.17</v>
      </c>
      <c r="Y166" s="6"/>
      <c r="Z166" s="6">
        <v>0.1</v>
      </c>
      <c r="AA166" s="6">
        <v>23.308999999999997</v>
      </c>
      <c r="AB166" s="6"/>
      <c r="AC166" s="6">
        <v>34.578999999999994</v>
      </c>
    </row>
    <row r="167" spans="11:29" x14ac:dyDescent="0.25">
      <c r="K167" s="5">
        <v>2024</v>
      </c>
      <c r="L167" s="4" t="s">
        <v>12</v>
      </c>
      <c r="M167" s="6"/>
      <c r="N167" s="6"/>
      <c r="O167" s="6">
        <v>3.581</v>
      </c>
      <c r="P167" s="6"/>
      <c r="Q167" s="6">
        <v>0.1</v>
      </c>
      <c r="R167" s="6">
        <v>22.253</v>
      </c>
      <c r="S167" s="6">
        <v>25.934000000000001</v>
      </c>
      <c r="U167" s="5">
        <v>2024</v>
      </c>
      <c r="V167" s="4" t="s">
        <v>13</v>
      </c>
      <c r="W167" s="6"/>
      <c r="X167" s="6">
        <v>6.3489999999999993</v>
      </c>
      <c r="Y167" s="6"/>
      <c r="Z167" s="6">
        <v>1927.5779999999993</v>
      </c>
      <c r="AA167" s="6">
        <v>40.091000000000001</v>
      </c>
      <c r="AB167" s="6"/>
      <c r="AC167" s="6">
        <v>1974.0179999999991</v>
      </c>
    </row>
    <row r="168" spans="11:29" x14ac:dyDescent="0.25">
      <c r="K168" s="5">
        <v>2024</v>
      </c>
      <c r="L168" s="4" t="s">
        <v>13</v>
      </c>
      <c r="M168" s="6"/>
      <c r="N168" s="6"/>
      <c r="O168" s="6">
        <v>6.3440000000000003</v>
      </c>
      <c r="P168" s="6"/>
      <c r="Q168" s="6">
        <v>2424.6150000000007</v>
      </c>
      <c r="R168" s="6">
        <v>3.032</v>
      </c>
      <c r="S168" s="6">
        <v>2433.9910000000009</v>
      </c>
      <c r="U168" s="5">
        <v>2024</v>
      </c>
      <c r="V168" s="4" t="s">
        <v>14</v>
      </c>
      <c r="W168" s="6"/>
      <c r="X168" s="6">
        <v>3759.0019999999986</v>
      </c>
      <c r="Y168" s="6"/>
      <c r="Z168" s="6">
        <v>1176.4979999999998</v>
      </c>
      <c r="AA168" s="6">
        <v>24.173000000000002</v>
      </c>
      <c r="AB168" s="6"/>
      <c r="AC168" s="6">
        <v>4959.672999999998</v>
      </c>
    </row>
    <row r="169" spans="11:29" x14ac:dyDescent="0.25">
      <c r="K169" s="5">
        <v>2024</v>
      </c>
      <c r="L169" s="4" t="s">
        <v>14</v>
      </c>
      <c r="M169" s="6"/>
      <c r="N169" s="6"/>
      <c r="O169" s="6">
        <v>2749.8910000000005</v>
      </c>
      <c r="P169" s="6"/>
      <c r="Q169" s="6">
        <v>10580.879999999996</v>
      </c>
      <c r="R169" s="6">
        <v>0.85</v>
      </c>
      <c r="S169" s="6">
        <v>13331.620999999997</v>
      </c>
      <c r="U169" s="5">
        <v>2024</v>
      </c>
      <c r="V169" s="4" t="s">
        <v>15</v>
      </c>
      <c r="W169" s="6"/>
      <c r="X169" s="6">
        <v>1E-3</v>
      </c>
      <c r="Y169" s="6"/>
      <c r="Z169" s="6">
        <v>2264.5940000000001</v>
      </c>
      <c r="AA169" s="6">
        <v>22.396000000000001</v>
      </c>
      <c r="AB169" s="6"/>
      <c r="AC169" s="6">
        <v>2286.9910000000004</v>
      </c>
    </row>
    <row r="170" spans="11:29" x14ac:dyDescent="0.25">
      <c r="K170" s="5">
        <v>2024</v>
      </c>
      <c r="L170" s="4" t="s">
        <v>15</v>
      </c>
      <c r="M170" s="6"/>
      <c r="N170" s="6"/>
      <c r="O170" s="6">
        <v>6.0000000000000001E-3</v>
      </c>
      <c r="P170" s="6">
        <v>0.2</v>
      </c>
      <c r="Q170" s="6">
        <v>8161.9350000000022</v>
      </c>
      <c r="R170" s="6"/>
      <c r="S170" s="6">
        <v>8162.1410000000024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DE58-9733-40D9-8466-3AE9D45C874B}">
  <dimension ref="A1:AN210"/>
  <sheetViews>
    <sheetView topLeftCell="D135" workbookViewId="0">
      <selection activeCell="W6" sqref="W6"/>
    </sheetView>
  </sheetViews>
  <sheetFormatPr defaultColWidth="11.42578125" defaultRowHeight="15" x14ac:dyDescent="0.25"/>
  <cols>
    <col min="1" max="1" width="17" bestFit="1" customWidth="1"/>
    <col min="2" max="6" width="8.42578125" style="1" customWidth="1"/>
    <col min="7" max="8" width="11.42578125" style="1"/>
    <col min="9" max="9" width="12.5703125" bestFit="1" customWidth="1"/>
    <col min="11" max="11" width="17" bestFit="1" customWidth="1"/>
    <col min="13" max="13" width="7" style="1" bestFit="1" customWidth="1"/>
    <col min="14" max="14" width="5.5703125" style="1" bestFit="1" customWidth="1"/>
    <col min="15" max="15" width="9" style="1" bestFit="1" customWidth="1"/>
    <col min="16" max="16" width="6" style="1" bestFit="1" customWidth="1"/>
    <col min="17" max="17" width="7" style="1" bestFit="1" customWidth="1"/>
    <col min="18" max="18" width="6" style="1" bestFit="1" customWidth="1"/>
    <col min="19" max="19" width="12.5703125" style="1" bestFit="1" customWidth="1"/>
    <col min="21" max="21" width="17" bestFit="1" customWidth="1"/>
    <col min="22" max="22" width="18.42578125" bestFit="1" customWidth="1"/>
    <col min="23" max="23" width="5.5703125" customWidth="1"/>
    <col min="24" max="24" width="5" bestFit="1" customWidth="1"/>
    <col min="25" max="25" width="8" bestFit="1" customWidth="1"/>
    <col min="26" max="26" width="8" customWidth="1"/>
    <col min="27" max="27" width="6" bestFit="1" customWidth="1"/>
    <col min="28" max="28" width="7" bestFit="1" customWidth="1"/>
    <col min="29" max="29" width="7" customWidth="1"/>
    <col min="30" max="30" width="12.5703125" bestFit="1" customWidth="1"/>
  </cols>
  <sheetData>
    <row r="1" spans="1:30" ht="15" customHeight="1" x14ac:dyDescent="0.25">
      <c r="A1" s="3" t="s">
        <v>0</v>
      </c>
      <c r="I1" s="1"/>
      <c r="J1" s="1"/>
      <c r="K1" s="3" t="s">
        <v>17</v>
      </c>
      <c r="U1" s="3" t="s">
        <v>16</v>
      </c>
      <c r="V1" s="2"/>
      <c r="W1" s="2"/>
      <c r="X1" s="2"/>
      <c r="Y1" s="2"/>
      <c r="Z1" s="2"/>
      <c r="AA1" s="2"/>
      <c r="AB1" s="2"/>
      <c r="AC1" s="2"/>
      <c r="AD1" s="2"/>
    </row>
    <row r="2" spans="1:30" s="9" customFormat="1" x14ac:dyDescent="0.25">
      <c r="A2" s="7" t="s">
        <v>1</v>
      </c>
      <c r="B2" s="12" t="s">
        <v>2</v>
      </c>
      <c r="C2" s="8">
        <v>5</v>
      </c>
      <c r="D2" s="8">
        <v>7</v>
      </c>
      <c r="E2" s="8">
        <v>8</v>
      </c>
      <c r="F2" s="8">
        <v>14</v>
      </c>
      <c r="G2" s="8">
        <v>10</v>
      </c>
      <c r="H2" s="8">
        <v>11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8">
        <v>5</v>
      </c>
      <c r="X2" s="8">
        <v>7</v>
      </c>
      <c r="Y2" s="8">
        <v>8</v>
      </c>
      <c r="Z2" s="8">
        <v>9</v>
      </c>
      <c r="AA2" s="8">
        <v>14</v>
      </c>
      <c r="AB2" s="8">
        <v>10</v>
      </c>
      <c r="AC2" s="8">
        <v>11</v>
      </c>
      <c r="AD2" s="8" t="s">
        <v>3</v>
      </c>
    </row>
    <row r="3" spans="1:30" x14ac:dyDescent="0.25">
      <c r="A3" s="5">
        <v>2011</v>
      </c>
      <c r="B3" s="11" t="s">
        <v>4</v>
      </c>
      <c r="C3" s="11">
        <v>28.388000000000002</v>
      </c>
      <c r="D3" s="11"/>
      <c r="E3" s="11">
        <v>36.749999999999993</v>
      </c>
      <c r="F3" s="11"/>
      <c r="G3" s="11"/>
      <c r="H3" s="11"/>
      <c r="I3" s="4">
        <v>65.137999999999991</v>
      </c>
      <c r="K3" s="5">
        <v>2011</v>
      </c>
      <c r="L3" s="4" t="s">
        <v>4</v>
      </c>
      <c r="M3" s="6"/>
      <c r="N3" s="6">
        <v>1E-3</v>
      </c>
      <c r="O3" s="6">
        <v>11.064</v>
      </c>
      <c r="P3" s="6"/>
      <c r="Q3" s="6"/>
      <c r="R3" s="6"/>
      <c r="S3" s="6">
        <v>11.065</v>
      </c>
      <c r="U3" s="5">
        <v>2011</v>
      </c>
      <c r="V3" s="4" t="s">
        <v>4</v>
      </c>
      <c r="W3" s="6"/>
      <c r="X3" s="6">
        <v>2E-3</v>
      </c>
      <c r="Y3" s="6"/>
      <c r="Z3" s="6"/>
      <c r="AA3" s="6"/>
      <c r="AB3" s="6"/>
      <c r="AC3" s="6">
        <v>0.3</v>
      </c>
      <c r="AD3" s="6">
        <v>0.30199999999999999</v>
      </c>
    </row>
    <row r="4" spans="1:30" x14ac:dyDescent="0.25">
      <c r="A4" s="5">
        <v>2011</v>
      </c>
      <c r="B4" s="11" t="s">
        <v>5</v>
      </c>
      <c r="C4" s="11">
        <v>24.44</v>
      </c>
      <c r="D4" s="11"/>
      <c r="E4" s="11">
        <v>58.592999999999996</v>
      </c>
      <c r="F4" s="11"/>
      <c r="G4" s="11"/>
      <c r="H4" s="11"/>
      <c r="I4" s="4">
        <v>83.033000000000001</v>
      </c>
      <c r="K4" s="5">
        <v>2011</v>
      </c>
      <c r="L4" s="4" t="s">
        <v>5</v>
      </c>
      <c r="M4" s="6"/>
      <c r="N4" s="6"/>
      <c r="O4" s="6">
        <v>2195.4400000000023</v>
      </c>
      <c r="P4" s="6"/>
      <c r="Q4" s="6">
        <v>0.06</v>
      </c>
      <c r="R4" s="6"/>
      <c r="S4" s="6">
        <v>2195.5000000000023</v>
      </c>
      <c r="U4" s="5">
        <v>2011</v>
      </c>
      <c r="V4" s="4" t="s">
        <v>5</v>
      </c>
      <c r="W4" s="6"/>
      <c r="X4" s="6"/>
      <c r="Y4" s="6">
        <v>14.480999999999998</v>
      </c>
      <c r="Z4" s="6"/>
      <c r="AA4" s="6"/>
      <c r="AB4" s="6"/>
      <c r="AC4" s="6"/>
      <c r="AD4" s="6">
        <v>14.480999999999998</v>
      </c>
    </row>
    <row r="5" spans="1:30" x14ac:dyDescent="0.25">
      <c r="A5" s="5">
        <v>2011</v>
      </c>
      <c r="B5" s="11" t="s">
        <v>6</v>
      </c>
      <c r="C5" s="11">
        <v>1.3</v>
      </c>
      <c r="D5" s="11"/>
      <c r="E5" s="11">
        <v>24.039999999999996</v>
      </c>
      <c r="F5" s="11">
        <v>2E-3</v>
      </c>
      <c r="G5" s="11"/>
      <c r="H5" s="11"/>
      <c r="I5" s="4">
        <v>25.341999999999995</v>
      </c>
      <c r="K5" s="5">
        <v>2011</v>
      </c>
      <c r="L5" s="4" t="s">
        <v>6</v>
      </c>
      <c r="M5" s="6">
        <v>2.34</v>
      </c>
      <c r="N5" s="6"/>
      <c r="O5" s="6">
        <v>2940.8390000000036</v>
      </c>
      <c r="P5" s="6"/>
      <c r="Q5" s="6">
        <v>0.18500000000000003</v>
      </c>
      <c r="R5" s="6"/>
      <c r="S5" s="6">
        <v>2943.3640000000037</v>
      </c>
      <c r="U5" s="5">
        <v>2011</v>
      </c>
      <c r="V5" s="4" t="s">
        <v>6</v>
      </c>
      <c r="W5" s="6"/>
      <c r="X5" s="6"/>
      <c r="Y5" s="6">
        <v>14.260999999999999</v>
      </c>
      <c r="Z5" s="6"/>
      <c r="AA5" s="6">
        <v>0.02</v>
      </c>
      <c r="AB5" s="6"/>
      <c r="AC5" s="6"/>
      <c r="AD5" s="6">
        <v>14.280999999999999</v>
      </c>
    </row>
    <row r="6" spans="1:30" x14ac:dyDescent="0.25">
      <c r="A6" s="5">
        <v>2011</v>
      </c>
      <c r="B6" s="11" t="s">
        <v>7</v>
      </c>
      <c r="C6" s="11">
        <v>5.7</v>
      </c>
      <c r="D6" s="11"/>
      <c r="E6" s="11">
        <v>9.520999999999999</v>
      </c>
      <c r="F6" s="11"/>
      <c r="G6" s="11"/>
      <c r="H6" s="11"/>
      <c r="I6" s="4">
        <v>15.221</v>
      </c>
      <c r="K6" s="5">
        <v>2011</v>
      </c>
      <c r="L6" s="4" t="s">
        <v>7</v>
      </c>
      <c r="M6" s="6">
        <v>13.157</v>
      </c>
      <c r="N6" s="6"/>
      <c r="O6" s="6">
        <v>760.49399999999969</v>
      </c>
      <c r="P6" s="6"/>
      <c r="Q6" s="6">
        <v>7.0000000000000001E-3</v>
      </c>
      <c r="R6" s="6"/>
      <c r="S6" s="6">
        <v>773.65799999999967</v>
      </c>
      <c r="U6" s="5">
        <v>2011</v>
      </c>
      <c r="V6" s="4" t="s">
        <v>7</v>
      </c>
      <c r="W6" s="6"/>
      <c r="X6" s="6"/>
      <c r="Y6" s="6">
        <v>30.44</v>
      </c>
      <c r="Z6" s="6"/>
      <c r="AA6" s="6"/>
      <c r="AB6" s="6"/>
      <c r="AC6" s="6">
        <v>5</v>
      </c>
      <c r="AD6" s="6">
        <v>35.44</v>
      </c>
    </row>
    <row r="7" spans="1:30" x14ac:dyDescent="0.25">
      <c r="A7" s="5">
        <v>2011</v>
      </c>
      <c r="B7" s="11" t="s">
        <v>8</v>
      </c>
      <c r="C7" s="11">
        <v>3.7680000000000007</v>
      </c>
      <c r="D7" s="11"/>
      <c r="E7" s="11">
        <v>20.855</v>
      </c>
      <c r="F7" s="11"/>
      <c r="G7" s="11"/>
      <c r="H7" s="11"/>
      <c r="I7" s="4">
        <v>24.623000000000001</v>
      </c>
      <c r="K7" s="5">
        <v>2011</v>
      </c>
      <c r="L7" s="4" t="s">
        <v>8</v>
      </c>
      <c r="M7" s="6"/>
      <c r="N7" s="6"/>
      <c r="O7" s="6">
        <v>449.2059999999999</v>
      </c>
      <c r="P7" s="6"/>
      <c r="Q7" s="6">
        <v>0.1</v>
      </c>
      <c r="R7" s="6">
        <v>9.67</v>
      </c>
      <c r="S7" s="6">
        <v>458.97599999999994</v>
      </c>
      <c r="U7" s="5">
        <v>2011</v>
      </c>
      <c r="V7" s="4" t="s">
        <v>8</v>
      </c>
      <c r="W7" s="6"/>
      <c r="X7" s="6"/>
      <c r="Y7" s="6">
        <v>36.404000000000003</v>
      </c>
      <c r="Z7" s="6"/>
      <c r="AA7" s="6">
        <v>5.0000000000000001E-3</v>
      </c>
      <c r="AB7" s="6"/>
      <c r="AC7" s="6">
        <v>2.11</v>
      </c>
      <c r="AD7" s="6">
        <v>38.519000000000005</v>
      </c>
    </row>
    <row r="8" spans="1:30" x14ac:dyDescent="0.25">
      <c r="A8" s="5">
        <v>2011</v>
      </c>
      <c r="B8" s="11" t="s">
        <v>9</v>
      </c>
      <c r="C8" s="11">
        <v>2.4</v>
      </c>
      <c r="D8" s="11">
        <v>7.6680000000000001</v>
      </c>
      <c r="E8" s="11">
        <v>22.04</v>
      </c>
      <c r="F8" s="11"/>
      <c r="G8" s="11"/>
      <c r="H8" s="11"/>
      <c r="I8" s="4">
        <v>32.107999999999997</v>
      </c>
      <c r="K8" s="5">
        <v>2011</v>
      </c>
      <c r="L8" s="4" t="s">
        <v>9</v>
      </c>
      <c r="M8" s="6"/>
      <c r="N8" s="6">
        <v>0.7</v>
      </c>
      <c r="O8" s="6">
        <v>31.177</v>
      </c>
      <c r="P8" s="6"/>
      <c r="Q8" s="6">
        <v>3.6999999999999998E-2</v>
      </c>
      <c r="R8" s="6">
        <v>8.629999999999999</v>
      </c>
      <c r="S8" s="6">
        <v>40.543999999999997</v>
      </c>
      <c r="U8" s="5">
        <v>2011</v>
      </c>
      <c r="V8" s="4" t="s">
        <v>9</v>
      </c>
      <c r="W8" s="6"/>
      <c r="X8" s="6"/>
      <c r="Y8" s="6">
        <v>0.1</v>
      </c>
      <c r="Z8" s="6"/>
      <c r="AA8" s="6"/>
      <c r="AB8" s="6"/>
      <c r="AC8" s="6"/>
      <c r="AD8" s="6">
        <v>0.1</v>
      </c>
    </row>
    <row r="9" spans="1:30" x14ac:dyDescent="0.25">
      <c r="A9" s="5">
        <v>2011</v>
      </c>
      <c r="B9" s="11" t="s">
        <v>10</v>
      </c>
      <c r="C9" s="11">
        <v>4</v>
      </c>
      <c r="D9" s="11"/>
      <c r="E9" s="11">
        <v>28.3</v>
      </c>
      <c r="F9" s="11"/>
      <c r="G9" s="11"/>
      <c r="H9" s="11"/>
      <c r="I9" s="4">
        <v>32.299999999999997</v>
      </c>
      <c r="K9" s="5">
        <v>2011</v>
      </c>
      <c r="L9" s="4" t="s">
        <v>10</v>
      </c>
      <c r="M9" s="6">
        <v>72.124999999999972</v>
      </c>
      <c r="N9" s="6"/>
      <c r="O9" s="6">
        <v>37.494</v>
      </c>
      <c r="P9" s="6"/>
      <c r="Q9" s="6">
        <v>0.08</v>
      </c>
      <c r="R9" s="6">
        <v>8.740000000000002</v>
      </c>
      <c r="S9" s="6">
        <v>118.43899999999996</v>
      </c>
      <c r="U9" s="5">
        <v>2011</v>
      </c>
      <c r="V9" s="4" t="s">
        <v>10</v>
      </c>
      <c r="W9" s="6"/>
      <c r="X9" s="6"/>
      <c r="Y9" s="6">
        <v>0.35</v>
      </c>
      <c r="Z9" s="6"/>
      <c r="AA9" s="6"/>
      <c r="AB9" s="6"/>
      <c r="AC9" s="6"/>
      <c r="AD9" s="6">
        <v>0.35</v>
      </c>
    </row>
    <row r="10" spans="1:30" x14ac:dyDescent="0.25">
      <c r="A10" s="5">
        <v>2011</v>
      </c>
      <c r="B10" s="11" t="s">
        <v>11</v>
      </c>
      <c r="C10" s="11"/>
      <c r="D10" s="11"/>
      <c r="E10" s="11">
        <v>9</v>
      </c>
      <c r="F10" s="11"/>
      <c r="G10" s="11"/>
      <c r="H10" s="11"/>
      <c r="I10" s="4">
        <v>9</v>
      </c>
      <c r="K10" s="5">
        <v>2011</v>
      </c>
      <c r="L10" s="4" t="s">
        <v>11</v>
      </c>
      <c r="M10" s="6"/>
      <c r="N10" s="6">
        <v>0.28000000000000003</v>
      </c>
      <c r="O10" s="6">
        <v>13.725</v>
      </c>
      <c r="P10" s="6"/>
      <c r="Q10" s="6"/>
      <c r="R10" s="6">
        <v>11.045999999999999</v>
      </c>
      <c r="S10" s="6">
        <v>25.050999999999998</v>
      </c>
      <c r="U10" s="5">
        <v>2011</v>
      </c>
      <c r="V10" s="4" t="s">
        <v>11</v>
      </c>
      <c r="W10" s="6"/>
      <c r="X10" s="6"/>
      <c r="Y10" s="6">
        <v>0.08</v>
      </c>
      <c r="Z10" s="6"/>
      <c r="AA10" s="6"/>
      <c r="AB10" s="6">
        <v>0.15</v>
      </c>
      <c r="AC10" s="6"/>
      <c r="AD10" s="6">
        <v>0.22999999999999998</v>
      </c>
    </row>
    <row r="11" spans="1:30" x14ac:dyDescent="0.25">
      <c r="A11" s="5">
        <v>2011</v>
      </c>
      <c r="B11" s="11" t="s">
        <v>12</v>
      </c>
      <c r="C11" s="11">
        <v>8.847999999999999</v>
      </c>
      <c r="D11" s="11"/>
      <c r="E11" s="11">
        <v>31.05</v>
      </c>
      <c r="F11" s="11"/>
      <c r="G11" s="11"/>
      <c r="H11" s="11"/>
      <c r="I11" s="4">
        <v>39.897999999999996</v>
      </c>
      <c r="K11" s="5">
        <v>2011</v>
      </c>
      <c r="L11" s="4" t="s">
        <v>12</v>
      </c>
      <c r="M11" s="6">
        <v>0.6</v>
      </c>
      <c r="N11" s="6"/>
      <c r="O11" s="6">
        <v>1</v>
      </c>
      <c r="P11" s="6"/>
      <c r="Q11" s="6"/>
      <c r="R11" s="6">
        <v>13.190000000000001</v>
      </c>
      <c r="S11" s="6">
        <v>14.790000000000001</v>
      </c>
      <c r="U11" s="5">
        <v>2011</v>
      </c>
      <c r="V11" s="4" t="s">
        <v>12</v>
      </c>
      <c r="W11" s="6"/>
      <c r="X11" s="6"/>
      <c r="Y11" s="6">
        <v>1.0269999999999999</v>
      </c>
      <c r="Z11" s="6"/>
      <c r="AA11" s="6"/>
      <c r="AB11" s="6">
        <v>0.2</v>
      </c>
      <c r="AC11" s="6"/>
      <c r="AD11" s="6">
        <v>1.2269999999999999</v>
      </c>
    </row>
    <row r="12" spans="1:30" x14ac:dyDescent="0.25">
      <c r="A12" s="5">
        <v>2011</v>
      </c>
      <c r="B12" s="11" t="s">
        <v>13</v>
      </c>
      <c r="C12" s="11">
        <v>11.273999999999999</v>
      </c>
      <c r="D12" s="11"/>
      <c r="E12" s="11">
        <v>6.1749999999999998</v>
      </c>
      <c r="F12" s="11"/>
      <c r="G12" s="11"/>
      <c r="H12" s="11"/>
      <c r="I12" s="4">
        <v>17.448999999999998</v>
      </c>
      <c r="K12" s="5">
        <v>2011</v>
      </c>
      <c r="L12" s="4" t="s">
        <v>13</v>
      </c>
      <c r="M12" s="6">
        <v>4.4600000000000009</v>
      </c>
      <c r="N12" s="6"/>
      <c r="O12" s="6">
        <v>334.41300000000007</v>
      </c>
      <c r="P12" s="6"/>
      <c r="Q12" s="6"/>
      <c r="R12" s="6">
        <v>0.2</v>
      </c>
      <c r="S12" s="6">
        <v>339.07300000000004</v>
      </c>
      <c r="U12" s="5">
        <v>2011</v>
      </c>
      <c r="V12" s="4" t="s">
        <v>13</v>
      </c>
      <c r="W12" s="6">
        <v>0.08</v>
      </c>
      <c r="X12" s="6"/>
      <c r="Y12" s="6">
        <v>11.129</v>
      </c>
      <c r="Z12" s="6"/>
      <c r="AA12" s="6"/>
      <c r="AB12" s="6">
        <v>0.18</v>
      </c>
      <c r="AC12" s="6"/>
      <c r="AD12" s="6">
        <v>11.388999999999999</v>
      </c>
    </row>
    <row r="13" spans="1:30" x14ac:dyDescent="0.25">
      <c r="A13" s="5">
        <v>2011</v>
      </c>
      <c r="B13" s="11" t="s">
        <v>14</v>
      </c>
      <c r="C13" s="11">
        <v>11.271999999999998</v>
      </c>
      <c r="D13" s="11"/>
      <c r="E13" s="11">
        <v>2.0070000000000001</v>
      </c>
      <c r="F13" s="11"/>
      <c r="G13" s="11"/>
      <c r="H13" s="11"/>
      <c r="I13" s="4">
        <v>13.278999999999998</v>
      </c>
      <c r="K13" s="5">
        <v>2011</v>
      </c>
      <c r="L13" s="4" t="s">
        <v>14</v>
      </c>
      <c r="M13" s="6"/>
      <c r="N13" s="6">
        <v>0.27</v>
      </c>
      <c r="O13" s="6">
        <v>22.953000000000003</v>
      </c>
      <c r="P13" s="6"/>
      <c r="Q13" s="6">
        <v>0.10500000000000001</v>
      </c>
      <c r="R13" s="6"/>
      <c r="S13" s="6">
        <v>23.328000000000003</v>
      </c>
      <c r="U13" s="5">
        <v>2011</v>
      </c>
      <c r="V13" s="4" t="s">
        <v>14</v>
      </c>
      <c r="W13" s="6"/>
      <c r="X13" s="6"/>
      <c r="Y13" s="6">
        <v>5.6520000000000001</v>
      </c>
      <c r="Z13" s="6"/>
      <c r="AA13" s="6">
        <v>0.01</v>
      </c>
      <c r="AB13" s="6"/>
      <c r="AC13" s="6"/>
      <c r="AD13" s="6">
        <v>5.6619999999999999</v>
      </c>
    </row>
    <row r="14" spans="1:30" x14ac:dyDescent="0.25">
      <c r="A14" s="5">
        <v>2011</v>
      </c>
      <c r="B14" s="11" t="s">
        <v>15</v>
      </c>
      <c r="C14" s="11"/>
      <c r="D14" s="11"/>
      <c r="E14" s="11">
        <v>15.978999999999999</v>
      </c>
      <c r="F14" s="11"/>
      <c r="G14" s="11"/>
      <c r="H14" s="11"/>
      <c r="I14" s="4">
        <v>15.978999999999999</v>
      </c>
      <c r="K14" s="5">
        <v>2011</v>
      </c>
      <c r="L14" s="4" t="s">
        <v>15</v>
      </c>
      <c r="M14" s="6">
        <v>0.2</v>
      </c>
      <c r="N14" s="6">
        <v>7.4999999999999997E-2</v>
      </c>
      <c r="O14" s="6">
        <v>35.194000000000003</v>
      </c>
      <c r="P14" s="6"/>
      <c r="Q14" s="6">
        <v>0.15500000000000003</v>
      </c>
      <c r="R14" s="6"/>
      <c r="S14" s="6">
        <v>35.624000000000002</v>
      </c>
      <c r="U14" s="5">
        <v>2011</v>
      </c>
      <c r="V14" s="4" t="s">
        <v>15</v>
      </c>
      <c r="W14" s="6"/>
      <c r="X14" s="6"/>
      <c r="Y14" s="6">
        <v>6.0770000000000008</v>
      </c>
      <c r="Z14" s="6"/>
      <c r="AA14" s="6"/>
      <c r="AB14" s="6"/>
      <c r="AC14" s="6"/>
      <c r="AD14" s="6">
        <v>6.0770000000000008</v>
      </c>
    </row>
    <row r="15" spans="1:30" x14ac:dyDescent="0.25">
      <c r="A15" s="5">
        <v>2012</v>
      </c>
      <c r="B15" s="11" t="s">
        <v>4</v>
      </c>
      <c r="C15" s="11">
        <v>8.2919999999999998</v>
      </c>
      <c r="D15" s="11">
        <v>6.5000000000000002E-2</v>
      </c>
      <c r="E15" s="11">
        <v>52.315000000000005</v>
      </c>
      <c r="F15" s="11"/>
      <c r="G15" s="11"/>
      <c r="H15" s="11"/>
      <c r="I15" s="4">
        <v>60.672000000000004</v>
      </c>
      <c r="K15" s="5">
        <v>2012</v>
      </c>
      <c r="L15" s="4" t="s">
        <v>4</v>
      </c>
      <c r="M15" s="6">
        <v>12.63</v>
      </c>
      <c r="N15" s="6"/>
      <c r="O15" s="6">
        <v>3.9499999999999997</v>
      </c>
      <c r="P15" s="6"/>
      <c r="Q15" s="6"/>
      <c r="R15" s="6"/>
      <c r="S15" s="6">
        <v>16.580000000000002</v>
      </c>
      <c r="U15" s="5">
        <v>2012</v>
      </c>
      <c r="V15" s="4" t="s">
        <v>4</v>
      </c>
      <c r="W15" s="6"/>
      <c r="X15" s="6"/>
      <c r="Y15" s="6">
        <v>3.05</v>
      </c>
      <c r="Z15" s="6"/>
      <c r="AA15" s="6"/>
      <c r="AB15" s="6"/>
      <c r="AC15" s="6"/>
      <c r="AD15" s="6">
        <v>3.05</v>
      </c>
    </row>
    <row r="16" spans="1:30" x14ac:dyDescent="0.25">
      <c r="A16" s="5">
        <v>2012</v>
      </c>
      <c r="B16" s="11" t="s">
        <v>5</v>
      </c>
      <c r="C16" s="11">
        <v>4.76</v>
      </c>
      <c r="D16" s="11"/>
      <c r="E16" s="11">
        <v>21</v>
      </c>
      <c r="F16" s="11"/>
      <c r="G16" s="11"/>
      <c r="H16" s="11"/>
      <c r="I16" s="4">
        <v>25.759999999999998</v>
      </c>
      <c r="K16" s="5">
        <v>2012</v>
      </c>
      <c r="L16" s="4" t="s">
        <v>5</v>
      </c>
      <c r="M16" s="6">
        <v>18.920000000000002</v>
      </c>
      <c r="N16" s="6"/>
      <c r="O16" s="6">
        <v>18.766000000000002</v>
      </c>
      <c r="P16" s="6"/>
      <c r="Q16" s="6">
        <v>0.6170000000000001</v>
      </c>
      <c r="R16" s="6"/>
      <c r="S16" s="6">
        <v>38.303000000000004</v>
      </c>
      <c r="U16" s="5">
        <v>2012</v>
      </c>
      <c r="V16" s="4" t="s">
        <v>5</v>
      </c>
      <c r="W16" s="6"/>
      <c r="X16" s="6"/>
      <c r="Y16" s="6">
        <v>6</v>
      </c>
      <c r="Z16" s="6"/>
      <c r="AA16" s="6"/>
      <c r="AB16" s="6"/>
      <c r="AC16" s="6"/>
      <c r="AD16" s="6">
        <v>6</v>
      </c>
    </row>
    <row r="17" spans="1:30" x14ac:dyDescent="0.25">
      <c r="A17" s="5">
        <v>2012</v>
      </c>
      <c r="B17" s="11" t="s">
        <v>6</v>
      </c>
      <c r="C17" s="11">
        <v>6.375</v>
      </c>
      <c r="D17" s="11"/>
      <c r="E17" s="11">
        <v>17.795000000000002</v>
      </c>
      <c r="F17" s="11"/>
      <c r="G17" s="11"/>
      <c r="H17" s="11"/>
      <c r="I17" s="4">
        <v>24.17</v>
      </c>
      <c r="K17" s="5">
        <v>2012</v>
      </c>
      <c r="L17" s="4" t="s">
        <v>6</v>
      </c>
      <c r="M17" s="6">
        <v>7</v>
      </c>
      <c r="N17" s="6"/>
      <c r="O17" s="6">
        <v>11476.488999999992</v>
      </c>
      <c r="P17" s="6"/>
      <c r="Q17" s="6">
        <v>0.10700000000000001</v>
      </c>
      <c r="R17" s="6">
        <v>2</v>
      </c>
      <c r="S17" s="6">
        <v>11485.595999999992</v>
      </c>
      <c r="U17" s="5">
        <v>2012</v>
      </c>
      <c r="V17" s="4" t="s">
        <v>6</v>
      </c>
      <c r="W17" s="6"/>
      <c r="X17" s="6"/>
      <c r="Y17" s="6">
        <v>81.835000000000008</v>
      </c>
      <c r="Z17" s="6"/>
      <c r="AA17" s="6"/>
      <c r="AB17" s="6"/>
      <c r="AC17" s="6"/>
      <c r="AD17" s="6">
        <v>81.835000000000008</v>
      </c>
    </row>
    <row r="18" spans="1:30" x14ac:dyDescent="0.25">
      <c r="A18" s="5">
        <v>2012</v>
      </c>
      <c r="B18" s="11" t="s">
        <v>7</v>
      </c>
      <c r="C18" s="11">
        <v>33.72</v>
      </c>
      <c r="D18" s="11">
        <v>0.54</v>
      </c>
      <c r="E18" s="11">
        <v>29.535</v>
      </c>
      <c r="F18" s="11"/>
      <c r="G18" s="11"/>
      <c r="H18" s="11"/>
      <c r="I18" s="4">
        <v>63.795000000000002</v>
      </c>
      <c r="K18" s="5">
        <v>2012</v>
      </c>
      <c r="L18" s="4" t="s">
        <v>7</v>
      </c>
      <c r="M18" s="6">
        <v>0.8</v>
      </c>
      <c r="N18" s="6">
        <v>0.2</v>
      </c>
      <c r="O18" s="6">
        <v>2142.1739999999991</v>
      </c>
      <c r="P18" s="6"/>
      <c r="Q18" s="6">
        <v>0.23800000000000002</v>
      </c>
      <c r="R18" s="6"/>
      <c r="S18" s="6">
        <v>2143.4119999999989</v>
      </c>
      <c r="U18" s="5">
        <v>2012</v>
      </c>
      <c r="V18" s="4" t="s">
        <v>7</v>
      </c>
      <c r="W18" s="6"/>
      <c r="X18" s="6">
        <v>0.09</v>
      </c>
      <c r="Y18" s="6">
        <v>161.46900000000002</v>
      </c>
      <c r="Z18" s="6"/>
      <c r="AA18" s="6"/>
      <c r="AB18" s="6"/>
      <c r="AC18" s="6"/>
      <c r="AD18" s="6">
        <v>161.55900000000003</v>
      </c>
    </row>
    <row r="19" spans="1:30" x14ac:dyDescent="0.25">
      <c r="A19" s="5">
        <v>2012</v>
      </c>
      <c r="B19" s="11" t="s">
        <v>8</v>
      </c>
      <c r="C19" s="11">
        <v>3.2</v>
      </c>
      <c r="D19" s="11"/>
      <c r="E19" s="11">
        <v>18.318999999999999</v>
      </c>
      <c r="F19" s="11"/>
      <c r="G19" s="11"/>
      <c r="H19" s="11"/>
      <c r="I19" s="4">
        <v>21.518999999999998</v>
      </c>
      <c r="K19" s="5">
        <v>2012</v>
      </c>
      <c r="L19" s="4" t="s">
        <v>8</v>
      </c>
      <c r="M19" s="6">
        <v>2.8559999999999999</v>
      </c>
      <c r="N19" s="6"/>
      <c r="O19" s="6">
        <v>250.119</v>
      </c>
      <c r="P19" s="6"/>
      <c r="Q19" s="6"/>
      <c r="R19" s="6">
        <v>0.45</v>
      </c>
      <c r="S19" s="6">
        <v>253.42499999999998</v>
      </c>
      <c r="U19" s="5">
        <v>2012</v>
      </c>
      <c r="V19" s="4" t="s">
        <v>8</v>
      </c>
      <c r="W19" s="6"/>
      <c r="X19" s="6"/>
      <c r="Y19" s="6">
        <v>24.164999999999999</v>
      </c>
      <c r="Z19" s="6"/>
      <c r="AA19" s="6"/>
      <c r="AB19" s="6">
        <v>0.25</v>
      </c>
      <c r="AC19" s="6"/>
      <c r="AD19" s="6">
        <v>24.414999999999999</v>
      </c>
    </row>
    <row r="20" spans="1:30" x14ac:dyDescent="0.25">
      <c r="A20" s="5">
        <v>2012</v>
      </c>
      <c r="B20" s="11" t="s">
        <v>9</v>
      </c>
      <c r="C20" s="11">
        <v>1</v>
      </c>
      <c r="D20" s="11"/>
      <c r="E20" s="11">
        <v>23.238</v>
      </c>
      <c r="F20" s="11"/>
      <c r="G20" s="11"/>
      <c r="H20" s="11"/>
      <c r="I20" s="4">
        <v>24.238</v>
      </c>
      <c r="K20" s="5">
        <v>2012</v>
      </c>
      <c r="L20" s="4" t="s">
        <v>9</v>
      </c>
      <c r="M20" s="6"/>
      <c r="N20" s="6"/>
      <c r="O20" s="6">
        <v>11.824999999999998</v>
      </c>
      <c r="P20" s="6"/>
      <c r="Q20" s="6"/>
      <c r="R20" s="6"/>
      <c r="S20" s="6">
        <v>11.824999999999998</v>
      </c>
      <c r="U20" s="5">
        <v>2012</v>
      </c>
      <c r="V20" s="4" t="s">
        <v>9</v>
      </c>
      <c r="W20" s="6"/>
      <c r="X20" s="6"/>
      <c r="Y20" s="6">
        <v>0.87600000000000011</v>
      </c>
      <c r="Z20" s="6"/>
      <c r="AA20" s="6"/>
      <c r="AB20" s="6"/>
      <c r="AC20" s="6"/>
      <c r="AD20" s="6">
        <v>0.87600000000000011</v>
      </c>
    </row>
    <row r="21" spans="1:30" x14ac:dyDescent="0.25">
      <c r="A21" s="5">
        <v>2012</v>
      </c>
      <c r="B21" s="11" t="s">
        <v>10</v>
      </c>
      <c r="C21" s="11"/>
      <c r="D21" s="11"/>
      <c r="E21" s="11">
        <v>4.7809999999999988</v>
      </c>
      <c r="F21" s="11"/>
      <c r="G21" s="11"/>
      <c r="H21" s="11"/>
      <c r="I21" s="4">
        <v>4.7809999999999988</v>
      </c>
      <c r="K21" s="5">
        <v>2012</v>
      </c>
      <c r="L21" s="4" t="s">
        <v>10</v>
      </c>
      <c r="M21" s="6"/>
      <c r="N21" s="6"/>
      <c r="O21" s="6">
        <v>102.047</v>
      </c>
      <c r="P21" s="6"/>
      <c r="Q21" s="6">
        <v>0.16499999999999998</v>
      </c>
      <c r="R21" s="6"/>
      <c r="S21" s="6">
        <v>102.212</v>
      </c>
      <c r="U21" s="5">
        <v>2012</v>
      </c>
      <c r="V21" s="4" t="s">
        <v>10</v>
      </c>
      <c r="W21" s="6"/>
      <c r="X21" s="6"/>
      <c r="Y21" s="6">
        <v>1.327</v>
      </c>
      <c r="Z21" s="6"/>
      <c r="AA21" s="6"/>
      <c r="AB21" s="6"/>
      <c r="AC21" s="6"/>
      <c r="AD21" s="6">
        <v>1.327</v>
      </c>
    </row>
    <row r="22" spans="1:30" x14ac:dyDescent="0.25">
      <c r="A22" s="5">
        <v>2012</v>
      </c>
      <c r="B22" s="11" t="s">
        <v>11</v>
      </c>
      <c r="C22" s="11">
        <v>2.5499999999999998</v>
      </c>
      <c r="D22" s="11">
        <v>0.36</v>
      </c>
      <c r="E22" s="11">
        <v>17.663</v>
      </c>
      <c r="F22" s="11"/>
      <c r="G22" s="11"/>
      <c r="H22" s="11"/>
      <c r="I22" s="4">
        <v>20.573</v>
      </c>
      <c r="K22" s="5">
        <v>2012</v>
      </c>
      <c r="L22" s="4" t="s">
        <v>11</v>
      </c>
      <c r="M22" s="6"/>
      <c r="N22" s="6"/>
      <c r="O22" s="6">
        <v>8.7379999999999995</v>
      </c>
      <c r="P22" s="6">
        <v>0.2</v>
      </c>
      <c r="Q22" s="6">
        <v>0.15</v>
      </c>
      <c r="R22" s="6"/>
      <c r="S22" s="6">
        <v>9.0879999999999992</v>
      </c>
      <c r="U22" s="5">
        <v>2012</v>
      </c>
      <c r="V22" s="4" t="s">
        <v>11</v>
      </c>
      <c r="W22" s="6"/>
      <c r="X22" s="6"/>
      <c r="Y22" s="6">
        <v>0.27100000000000002</v>
      </c>
      <c r="Z22" s="6">
        <v>0.1</v>
      </c>
      <c r="AA22" s="6"/>
      <c r="AB22" s="6"/>
      <c r="AC22" s="6"/>
      <c r="AD22" s="6">
        <v>0.371</v>
      </c>
    </row>
    <row r="23" spans="1:30" x14ac:dyDescent="0.25">
      <c r="A23" s="5">
        <v>2012</v>
      </c>
      <c r="B23" s="11" t="s">
        <v>12</v>
      </c>
      <c r="C23" s="11">
        <v>2</v>
      </c>
      <c r="D23" s="11"/>
      <c r="E23" s="11">
        <v>25.092999999999996</v>
      </c>
      <c r="F23" s="11"/>
      <c r="G23" s="11"/>
      <c r="H23" s="11"/>
      <c r="I23" s="4">
        <v>27.092999999999996</v>
      </c>
      <c r="K23" s="5">
        <v>2012</v>
      </c>
      <c r="L23" s="4" t="s">
        <v>12</v>
      </c>
      <c r="M23" s="6">
        <v>6.4499999999999993</v>
      </c>
      <c r="N23" s="6"/>
      <c r="O23" s="6">
        <v>0.309</v>
      </c>
      <c r="P23" s="6">
        <v>0.5</v>
      </c>
      <c r="Q23" s="6">
        <v>6.0000000000000001E-3</v>
      </c>
      <c r="R23" s="6"/>
      <c r="S23" s="6">
        <v>7.2649999999999997</v>
      </c>
      <c r="U23" s="5">
        <v>2012</v>
      </c>
      <c r="V23" s="4" t="s">
        <v>12</v>
      </c>
      <c r="W23" s="6"/>
      <c r="X23" s="6"/>
      <c r="Y23" s="6">
        <v>0.16700000000000001</v>
      </c>
      <c r="Z23" s="6"/>
      <c r="AA23" s="6"/>
      <c r="AB23" s="6"/>
      <c r="AC23" s="6"/>
      <c r="AD23" s="6">
        <v>0.16700000000000001</v>
      </c>
    </row>
    <row r="24" spans="1:30" x14ac:dyDescent="0.25">
      <c r="A24" s="5">
        <v>2012</v>
      </c>
      <c r="B24" s="11" t="s">
        <v>13</v>
      </c>
      <c r="C24" s="11">
        <v>3.8210000000000002</v>
      </c>
      <c r="D24" s="11">
        <v>5.5999999999999994E-2</v>
      </c>
      <c r="E24" s="11">
        <v>13.987000000000002</v>
      </c>
      <c r="F24" s="11"/>
      <c r="G24" s="11"/>
      <c r="H24" s="11"/>
      <c r="I24" s="4">
        <v>17.864000000000001</v>
      </c>
      <c r="K24" s="5">
        <v>2012</v>
      </c>
      <c r="L24" s="4" t="s">
        <v>13</v>
      </c>
      <c r="M24" s="6">
        <v>6.8</v>
      </c>
      <c r="N24" s="6"/>
      <c r="O24" s="6">
        <v>912.46399999999983</v>
      </c>
      <c r="P24" s="6"/>
      <c r="Q24" s="6">
        <v>0.3</v>
      </c>
      <c r="R24" s="6"/>
      <c r="S24" s="6">
        <v>919.56399999999974</v>
      </c>
      <c r="U24" s="5">
        <v>2012</v>
      </c>
      <c r="V24" s="4" t="s">
        <v>13</v>
      </c>
      <c r="W24" s="6"/>
      <c r="X24" s="6"/>
      <c r="Y24" s="6">
        <v>114.621</v>
      </c>
      <c r="Z24" s="6"/>
      <c r="AA24" s="6"/>
      <c r="AB24" s="6"/>
      <c r="AC24" s="6"/>
      <c r="AD24" s="6">
        <v>114.621</v>
      </c>
    </row>
    <row r="25" spans="1:30" x14ac:dyDescent="0.25">
      <c r="A25" s="5">
        <v>2012</v>
      </c>
      <c r="B25" s="11" t="s">
        <v>14</v>
      </c>
      <c r="C25" s="11">
        <v>7.976</v>
      </c>
      <c r="D25" s="11"/>
      <c r="E25" s="11">
        <v>0.54200000000000004</v>
      </c>
      <c r="F25" s="11"/>
      <c r="G25" s="11"/>
      <c r="H25" s="11"/>
      <c r="I25" s="4">
        <v>8.5180000000000007</v>
      </c>
      <c r="K25" s="5">
        <v>2012</v>
      </c>
      <c r="L25" s="4" t="s">
        <v>14</v>
      </c>
      <c r="M25" s="6">
        <v>5.4399999999999995</v>
      </c>
      <c r="N25" s="6"/>
      <c r="O25" s="6">
        <v>331.87500000000006</v>
      </c>
      <c r="P25" s="6"/>
      <c r="Q25" s="6">
        <v>0.28000000000000003</v>
      </c>
      <c r="R25" s="6"/>
      <c r="S25" s="6">
        <v>337.59500000000003</v>
      </c>
      <c r="U25" s="5">
        <v>2012</v>
      </c>
      <c r="V25" s="4" t="s">
        <v>14</v>
      </c>
      <c r="W25" s="6"/>
      <c r="X25" s="6"/>
      <c r="Y25" s="6">
        <v>30.235000000000003</v>
      </c>
      <c r="Z25" s="6"/>
      <c r="AA25" s="6"/>
      <c r="AB25" s="6"/>
      <c r="AC25" s="6"/>
      <c r="AD25" s="6">
        <v>30.235000000000003</v>
      </c>
    </row>
    <row r="26" spans="1:30" x14ac:dyDescent="0.25">
      <c r="A26" s="5">
        <v>2012</v>
      </c>
      <c r="B26" s="11" t="s">
        <v>15</v>
      </c>
      <c r="C26" s="11"/>
      <c r="D26" s="11"/>
      <c r="E26" s="11">
        <v>1.2549999999999999</v>
      </c>
      <c r="F26" s="11"/>
      <c r="G26" s="11"/>
      <c r="H26" s="11"/>
      <c r="I26" s="4">
        <v>1.2549999999999999</v>
      </c>
      <c r="K26" s="5">
        <v>2012</v>
      </c>
      <c r="L26" s="4" t="s">
        <v>15</v>
      </c>
      <c r="M26" s="6">
        <v>0.3</v>
      </c>
      <c r="N26" s="6">
        <v>0.1</v>
      </c>
      <c r="O26" s="6">
        <v>679.36800000000017</v>
      </c>
      <c r="P26" s="6"/>
      <c r="Q26" s="6">
        <v>0.42000000000000004</v>
      </c>
      <c r="R26" s="6"/>
      <c r="S26" s="6">
        <v>680.1880000000001</v>
      </c>
      <c r="U26" s="5">
        <v>2012</v>
      </c>
      <c r="V26" s="4" t="s">
        <v>15</v>
      </c>
      <c r="W26" s="6"/>
      <c r="X26" s="6"/>
      <c r="Y26" s="6">
        <v>0.92600000000000005</v>
      </c>
      <c r="Z26" s="6"/>
      <c r="AA26" s="6"/>
      <c r="AB26" s="6"/>
      <c r="AC26" s="6"/>
      <c r="AD26" s="6">
        <v>0.92600000000000005</v>
      </c>
    </row>
    <row r="27" spans="1:30" x14ac:dyDescent="0.25">
      <c r="A27" s="5">
        <v>2013</v>
      </c>
      <c r="B27" s="11" t="s">
        <v>4</v>
      </c>
      <c r="C27" s="11">
        <v>1.8199999999999998</v>
      </c>
      <c r="D27" s="11"/>
      <c r="E27" s="11">
        <v>30.503</v>
      </c>
      <c r="F27" s="11"/>
      <c r="G27" s="11"/>
      <c r="H27" s="11"/>
      <c r="I27" s="4">
        <v>32.323</v>
      </c>
      <c r="K27" s="5">
        <v>2013</v>
      </c>
      <c r="L27" s="4" t="s">
        <v>4</v>
      </c>
      <c r="M27" s="6">
        <v>7.53</v>
      </c>
      <c r="N27" s="6"/>
      <c r="O27" s="6">
        <v>5.165</v>
      </c>
      <c r="P27" s="6"/>
      <c r="Q27" s="6"/>
      <c r="R27" s="6"/>
      <c r="S27" s="6">
        <v>12.695</v>
      </c>
      <c r="U27" s="5">
        <v>2013</v>
      </c>
      <c r="V27" s="4" t="s">
        <v>4</v>
      </c>
      <c r="W27" s="6"/>
      <c r="X27" s="6"/>
      <c r="Y27" s="6">
        <v>3.1510000000000002</v>
      </c>
      <c r="Z27" s="6"/>
      <c r="AA27" s="6"/>
      <c r="AB27" s="6"/>
      <c r="AC27" s="6"/>
      <c r="AD27" s="6">
        <v>3.1510000000000002</v>
      </c>
    </row>
    <row r="28" spans="1:30" x14ac:dyDescent="0.25">
      <c r="A28" s="5">
        <v>2013</v>
      </c>
      <c r="B28" s="11" t="s">
        <v>5</v>
      </c>
      <c r="C28" s="11">
        <v>6.9790000000000001</v>
      </c>
      <c r="D28" s="11">
        <v>2.5000000000000001E-2</v>
      </c>
      <c r="E28" s="11">
        <v>5.5669999999999993</v>
      </c>
      <c r="F28" s="11"/>
      <c r="G28" s="11"/>
      <c r="H28" s="11"/>
      <c r="I28" s="4">
        <v>12.571</v>
      </c>
      <c r="K28" s="5">
        <v>2013</v>
      </c>
      <c r="L28" s="4" t="s">
        <v>5</v>
      </c>
      <c r="M28" s="6">
        <v>0.30000000000000004</v>
      </c>
      <c r="N28" s="6">
        <v>0.11</v>
      </c>
      <c r="O28" s="6"/>
      <c r="P28" s="6"/>
      <c r="Q28" s="6"/>
      <c r="R28" s="6"/>
      <c r="S28" s="6">
        <v>0.41000000000000003</v>
      </c>
      <c r="U28" s="5">
        <v>2013</v>
      </c>
      <c r="V28" s="4" t="s">
        <v>5</v>
      </c>
      <c r="W28" s="6">
        <v>0.3</v>
      </c>
      <c r="X28" s="6"/>
      <c r="Y28" s="6"/>
      <c r="Z28" s="6"/>
      <c r="AA28" s="6"/>
      <c r="AB28" s="6"/>
      <c r="AC28" s="6"/>
      <c r="AD28" s="6">
        <v>0.3</v>
      </c>
    </row>
    <row r="29" spans="1:30" x14ac:dyDescent="0.25">
      <c r="A29" s="5">
        <v>2013</v>
      </c>
      <c r="B29" s="11" t="s">
        <v>6</v>
      </c>
      <c r="C29" s="11">
        <v>0.1</v>
      </c>
      <c r="D29" s="11">
        <v>3.5999999999999997E-2</v>
      </c>
      <c r="E29" s="11">
        <v>57.34</v>
      </c>
      <c r="F29" s="11"/>
      <c r="G29" s="11"/>
      <c r="H29" s="11"/>
      <c r="I29" s="4">
        <v>57.476000000000006</v>
      </c>
      <c r="K29" s="5">
        <v>2013</v>
      </c>
      <c r="L29" s="4" t="s">
        <v>6</v>
      </c>
      <c r="M29" s="6">
        <v>2.2999999999999998</v>
      </c>
      <c r="N29" s="6">
        <v>0.1</v>
      </c>
      <c r="O29" s="6">
        <v>8442.4650000000056</v>
      </c>
      <c r="P29" s="6"/>
      <c r="Q29" s="6"/>
      <c r="R29" s="6">
        <v>2.177</v>
      </c>
      <c r="S29" s="6">
        <v>8447.0420000000049</v>
      </c>
      <c r="U29" s="5">
        <v>2013</v>
      </c>
      <c r="V29" s="4" t="s">
        <v>6</v>
      </c>
      <c r="W29" s="6">
        <v>0.6</v>
      </c>
      <c r="X29" s="6">
        <v>0.12</v>
      </c>
      <c r="Y29" s="6">
        <v>713.63900000000012</v>
      </c>
      <c r="Z29" s="6"/>
      <c r="AA29" s="6"/>
      <c r="AB29" s="6"/>
      <c r="AC29" s="6"/>
      <c r="AD29" s="6">
        <v>714.35900000000015</v>
      </c>
    </row>
    <row r="30" spans="1:30" x14ac:dyDescent="0.25">
      <c r="A30" s="5">
        <v>2013</v>
      </c>
      <c r="B30" s="11" t="s">
        <v>7</v>
      </c>
      <c r="C30" s="11">
        <v>3.6799999999999997</v>
      </c>
      <c r="D30" s="11">
        <v>0.35</v>
      </c>
      <c r="E30" s="11"/>
      <c r="F30" s="11"/>
      <c r="G30" s="11"/>
      <c r="H30" s="11"/>
      <c r="I30" s="4">
        <v>4.0299999999999994</v>
      </c>
      <c r="K30" s="5">
        <v>2013</v>
      </c>
      <c r="L30" s="4" t="s">
        <v>7</v>
      </c>
      <c r="M30" s="6">
        <v>1.65</v>
      </c>
      <c r="N30" s="6">
        <v>0.32500000000000001</v>
      </c>
      <c r="O30" s="6">
        <v>194.08100000000002</v>
      </c>
      <c r="P30" s="6">
        <v>0.05</v>
      </c>
      <c r="Q30" s="6">
        <v>0.11000000000000001</v>
      </c>
      <c r="R30" s="6"/>
      <c r="S30" s="6">
        <v>196.21600000000004</v>
      </c>
      <c r="U30" s="5">
        <v>2013</v>
      </c>
      <c r="V30" s="4" t="s">
        <v>7</v>
      </c>
      <c r="W30" s="6">
        <v>0.77</v>
      </c>
      <c r="X30" s="6"/>
      <c r="Y30" s="6">
        <v>81.465000000000018</v>
      </c>
      <c r="Z30" s="6">
        <v>0.04</v>
      </c>
      <c r="AA30" s="6">
        <v>6.0000000000000001E-3</v>
      </c>
      <c r="AB30" s="6"/>
      <c r="AC30" s="6"/>
      <c r="AD30" s="6">
        <v>82.28100000000002</v>
      </c>
    </row>
    <row r="31" spans="1:30" x14ac:dyDescent="0.25">
      <c r="A31" s="5">
        <v>2013</v>
      </c>
      <c r="B31" s="11" t="s">
        <v>8</v>
      </c>
      <c r="C31" s="11">
        <v>11.350000000000001</v>
      </c>
      <c r="D31" s="11"/>
      <c r="E31" s="11">
        <v>1E-3</v>
      </c>
      <c r="F31" s="11"/>
      <c r="G31" s="11"/>
      <c r="H31" s="11"/>
      <c r="I31" s="4">
        <v>11.351000000000001</v>
      </c>
      <c r="K31" s="5">
        <v>2013</v>
      </c>
      <c r="L31" s="4" t="s">
        <v>8</v>
      </c>
      <c r="M31" s="6">
        <v>1.1299999999999999</v>
      </c>
      <c r="N31" s="6">
        <v>0.1</v>
      </c>
      <c r="O31" s="6">
        <v>78.650000000000006</v>
      </c>
      <c r="P31" s="6"/>
      <c r="Q31" s="6">
        <v>6.0000000000000001E-3</v>
      </c>
      <c r="R31" s="6"/>
      <c r="S31" s="6">
        <v>79.88600000000001</v>
      </c>
      <c r="U31" s="5">
        <v>2013</v>
      </c>
      <c r="V31" s="4" t="s">
        <v>8</v>
      </c>
      <c r="W31" s="6"/>
      <c r="X31" s="6">
        <v>3.5000000000000003E-2</v>
      </c>
      <c r="Y31" s="6">
        <v>103.661</v>
      </c>
      <c r="Z31" s="6"/>
      <c r="AA31" s="6"/>
      <c r="AB31" s="6"/>
      <c r="AC31" s="6"/>
      <c r="AD31" s="6">
        <v>103.696</v>
      </c>
    </row>
    <row r="32" spans="1:30" x14ac:dyDescent="0.25">
      <c r="A32" s="5">
        <v>2013</v>
      </c>
      <c r="B32" s="11" t="s">
        <v>9</v>
      </c>
      <c r="C32" s="11">
        <v>0.36</v>
      </c>
      <c r="D32" s="11"/>
      <c r="E32" s="11"/>
      <c r="F32" s="11"/>
      <c r="G32" s="11"/>
      <c r="H32" s="11"/>
      <c r="I32" s="4">
        <v>0.36</v>
      </c>
      <c r="K32" s="5">
        <v>2013</v>
      </c>
      <c r="L32" s="4" t="s">
        <v>9</v>
      </c>
      <c r="M32" s="6">
        <v>4.9940000000000007</v>
      </c>
      <c r="N32" s="6"/>
      <c r="O32" s="6">
        <v>44.744000000000007</v>
      </c>
      <c r="P32" s="6"/>
      <c r="Q32" s="6">
        <v>0.37</v>
      </c>
      <c r="R32" s="6"/>
      <c r="S32" s="6">
        <v>50.108000000000004</v>
      </c>
      <c r="U32" s="5">
        <v>2013</v>
      </c>
      <c r="V32" s="4" t="s">
        <v>9</v>
      </c>
      <c r="W32" s="6"/>
      <c r="X32" s="6"/>
      <c r="Y32" s="6">
        <v>40.599000000000004</v>
      </c>
      <c r="Z32" s="6"/>
      <c r="AA32" s="6">
        <v>7.0000000000000001E-3</v>
      </c>
      <c r="AB32" s="6"/>
      <c r="AC32" s="6"/>
      <c r="AD32" s="6">
        <v>40.606000000000002</v>
      </c>
    </row>
    <row r="33" spans="1:30" x14ac:dyDescent="0.25">
      <c r="A33" s="5">
        <v>2013</v>
      </c>
      <c r="B33" s="11" t="s">
        <v>10</v>
      </c>
      <c r="C33" s="11">
        <v>0.19499999999999998</v>
      </c>
      <c r="D33" s="11"/>
      <c r="E33" s="11"/>
      <c r="F33" s="11"/>
      <c r="G33" s="11"/>
      <c r="H33" s="11"/>
      <c r="I33" s="4">
        <v>0.19499999999999998</v>
      </c>
      <c r="K33" s="5">
        <v>2013</v>
      </c>
      <c r="L33" s="4" t="s">
        <v>10</v>
      </c>
      <c r="M33" s="6">
        <v>4.1610000000000005</v>
      </c>
      <c r="N33" s="6"/>
      <c r="O33" s="6">
        <v>322.02100000000002</v>
      </c>
      <c r="P33" s="6"/>
      <c r="Q33" s="6">
        <v>0.21200000000000002</v>
      </c>
      <c r="R33" s="6"/>
      <c r="S33" s="6">
        <v>326.39400000000001</v>
      </c>
      <c r="U33" s="5">
        <v>2013</v>
      </c>
      <c r="V33" s="4" t="s">
        <v>10</v>
      </c>
      <c r="W33" s="6"/>
      <c r="X33" s="6"/>
      <c r="Y33" s="6">
        <v>2.8770000000000002</v>
      </c>
      <c r="Z33" s="6"/>
      <c r="AA33" s="6">
        <v>0.03</v>
      </c>
      <c r="AB33" s="6"/>
      <c r="AC33" s="6"/>
      <c r="AD33" s="6">
        <v>2.907</v>
      </c>
    </row>
    <row r="34" spans="1:30" x14ac:dyDescent="0.25">
      <c r="A34" s="5">
        <v>2013</v>
      </c>
      <c r="B34" s="11" t="s">
        <v>11</v>
      </c>
      <c r="C34" s="11">
        <v>14.98</v>
      </c>
      <c r="D34" s="11"/>
      <c r="E34" s="11"/>
      <c r="F34" s="11"/>
      <c r="G34" s="11"/>
      <c r="H34" s="11"/>
      <c r="I34" s="4">
        <v>14.98</v>
      </c>
      <c r="K34" s="5">
        <v>2013</v>
      </c>
      <c r="L34" s="4" t="s">
        <v>11</v>
      </c>
      <c r="M34" s="6">
        <v>2.9260000000000006</v>
      </c>
      <c r="N34" s="6"/>
      <c r="O34" s="6"/>
      <c r="P34" s="6"/>
      <c r="Q34" s="6">
        <v>0.16</v>
      </c>
      <c r="R34" s="6"/>
      <c r="S34" s="6">
        <v>3.0860000000000007</v>
      </c>
      <c r="U34" s="5">
        <v>2013</v>
      </c>
      <c r="V34" s="4" t="s">
        <v>13</v>
      </c>
      <c r="W34" s="6"/>
      <c r="X34" s="6"/>
      <c r="Y34" s="6">
        <v>9.7290000000000028</v>
      </c>
      <c r="Z34" s="6"/>
      <c r="AA34" s="6"/>
      <c r="AB34" s="6">
        <v>1</v>
      </c>
      <c r="AC34" s="6"/>
      <c r="AD34" s="6">
        <v>10.729000000000003</v>
      </c>
    </row>
    <row r="35" spans="1:30" x14ac:dyDescent="0.25">
      <c r="A35" s="5">
        <v>2013</v>
      </c>
      <c r="B35" s="11" t="s">
        <v>14</v>
      </c>
      <c r="C35" s="11">
        <v>8.8000000000000007</v>
      </c>
      <c r="D35" s="11"/>
      <c r="E35" s="11"/>
      <c r="F35" s="11"/>
      <c r="G35" s="11"/>
      <c r="H35" s="11"/>
      <c r="I35" s="4">
        <v>8.8000000000000007</v>
      </c>
      <c r="K35" s="5">
        <v>2013</v>
      </c>
      <c r="L35" s="4" t="s">
        <v>12</v>
      </c>
      <c r="M35" s="6">
        <v>7.2610000000000001</v>
      </c>
      <c r="N35" s="6"/>
      <c r="O35" s="6"/>
      <c r="P35" s="6"/>
      <c r="Q35" s="6">
        <v>0.16</v>
      </c>
      <c r="R35" s="6"/>
      <c r="S35" s="6">
        <v>7.4210000000000003</v>
      </c>
      <c r="U35" s="5">
        <v>2013</v>
      </c>
      <c r="V35" s="4" t="s">
        <v>14</v>
      </c>
      <c r="W35" s="6"/>
      <c r="X35" s="6"/>
      <c r="Y35" s="6">
        <v>28.740999999999996</v>
      </c>
      <c r="Z35" s="6"/>
      <c r="AA35" s="6"/>
      <c r="AB35" s="6"/>
      <c r="AC35" s="6"/>
      <c r="AD35" s="6">
        <v>28.740999999999996</v>
      </c>
    </row>
    <row r="36" spans="1:30" x14ac:dyDescent="0.25">
      <c r="A36" s="5">
        <v>2014</v>
      </c>
      <c r="B36" s="11" t="s">
        <v>4</v>
      </c>
      <c r="C36" s="11">
        <v>1.2700000000000002</v>
      </c>
      <c r="D36" s="11"/>
      <c r="E36" s="11">
        <v>2620.9649999999988</v>
      </c>
      <c r="F36" s="11"/>
      <c r="G36" s="11"/>
      <c r="H36" s="11"/>
      <c r="I36" s="4">
        <v>2622.2349999999988</v>
      </c>
      <c r="K36" s="5">
        <v>2013</v>
      </c>
      <c r="L36" s="4" t="s">
        <v>13</v>
      </c>
      <c r="M36" s="6">
        <v>12.882</v>
      </c>
      <c r="N36" s="6">
        <v>0.05</v>
      </c>
      <c r="O36" s="6">
        <v>259.77100000000002</v>
      </c>
      <c r="P36" s="6"/>
      <c r="Q36" s="6"/>
      <c r="R36" s="6">
        <v>2</v>
      </c>
      <c r="S36" s="6">
        <v>274.70300000000003</v>
      </c>
      <c r="U36" s="5">
        <v>2014</v>
      </c>
      <c r="V36" s="4" t="s">
        <v>6</v>
      </c>
      <c r="W36" s="6"/>
      <c r="X36" s="6"/>
      <c r="Y36" s="6">
        <v>427.16699999999986</v>
      </c>
      <c r="Z36" s="6">
        <v>0.02</v>
      </c>
      <c r="AA36" s="6"/>
      <c r="AB36" s="6"/>
      <c r="AC36" s="6"/>
      <c r="AD36" s="6">
        <v>427.18699999999984</v>
      </c>
    </row>
    <row r="37" spans="1:30" x14ac:dyDescent="0.25">
      <c r="A37" s="5">
        <v>2014</v>
      </c>
      <c r="B37" s="11" t="s">
        <v>5</v>
      </c>
      <c r="C37" s="11">
        <v>2.21</v>
      </c>
      <c r="D37" s="11"/>
      <c r="E37" s="11">
        <v>1141.519</v>
      </c>
      <c r="F37" s="11"/>
      <c r="G37" s="11"/>
      <c r="H37" s="11"/>
      <c r="I37" s="4">
        <v>1143.729</v>
      </c>
      <c r="K37" s="5">
        <v>2013</v>
      </c>
      <c r="L37" s="4" t="s">
        <v>14</v>
      </c>
      <c r="M37" s="6">
        <v>11.678000000000001</v>
      </c>
      <c r="N37" s="6"/>
      <c r="O37" s="6">
        <v>322.13199999999995</v>
      </c>
      <c r="P37" s="6"/>
      <c r="Q37" s="6"/>
      <c r="R37" s="6"/>
      <c r="S37" s="6">
        <v>333.80999999999995</v>
      </c>
      <c r="U37" s="5">
        <v>2014</v>
      </c>
      <c r="V37" s="4" t="s">
        <v>7</v>
      </c>
      <c r="W37" s="6"/>
      <c r="X37" s="6"/>
      <c r="Y37" s="6">
        <v>317.97199999999992</v>
      </c>
      <c r="Z37" s="6"/>
      <c r="AA37" s="6">
        <v>6.0000000000000001E-3</v>
      </c>
      <c r="AB37" s="6"/>
      <c r="AC37" s="6"/>
      <c r="AD37" s="6">
        <v>317.97799999999989</v>
      </c>
    </row>
    <row r="38" spans="1:30" x14ac:dyDescent="0.25">
      <c r="A38" s="5">
        <v>2014</v>
      </c>
      <c r="B38" s="11" t="s">
        <v>6</v>
      </c>
      <c r="C38" s="11">
        <v>0.15</v>
      </c>
      <c r="D38" s="11"/>
      <c r="E38" s="11"/>
      <c r="F38" s="11"/>
      <c r="G38" s="11"/>
      <c r="H38" s="11"/>
      <c r="I38" s="4">
        <v>0.15</v>
      </c>
      <c r="K38" s="5">
        <v>2013</v>
      </c>
      <c r="L38" s="4" t="s">
        <v>15</v>
      </c>
      <c r="M38" s="6">
        <v>8.76</v>
      </c>
      <c r="N38" s="6"/>
      <c r="O38" s="6"/>
      <c r="P38" s="6"/>
      <c r="Q38" s="6">
        <v>0.16700000000000001</v>
      </c>
      <c r="R38" s="6">
        <v>2</v>
      </c>
      <c r="S38" s="6">
        <v>10.927</v>
      </c>
      <c r="U38" s="5">
        <v>2014</v>
      </c>
      <c r="V38" s="4" t="s">
        <v>8</v>
      </c>
      <c r="W38" s="6"/>
      <c r="X38" s="6"/>
      <c r="Y38" s="6">
        <v>2.93</v>
      </c>
      <c r="Z38" s="6"/>
      <c r="AA38" s="6"/>
      <c r="AB38" s="6"/>
      <c r="AC38" s="6"/>
      <c r="AD38" s="6">
        <v>2.93</v>
      </c>
    </row>
    <row r="39" spans="1:30" x14ac:dyDescent="0.25">
      <c r="A39" s="5">
        <v>2014</v>
      </c>
      <c r="B39" s="11" t="s">
        <v>7</v>
      </c>
      <c r="C39" s="11">
        <v>2.1</v>
      </c>
      <c r="D39" s="11"/>
      <c r="E39" s="11"/>
      <c r="F39" s="11"/>
      <c r="G39" s="11"/>
      <c r="H39" s="11"/>
      <c r="I39" s="4">
        <v>2.1</v>
      </c>
      <c r="K39" s="5">
        <v>2014</v>
      </c>
      <c r="L39" s="4" t="s">
        <v>4</v>
      </c>
      <c r="M39" s="6">
        <v>10.978999999999999</v>
      </c>
      <c r="N39" s="6"/>
      <c r="O39" s="6"/>
      <c r="P39" s="6"/>
      <c r="Q39" s="6">
        <v>0.11700000000000001</v>
      </c>
      <c r="R39" s="6"/>
      <c r="S39" s="6">
        <v>11.096</v>
      </c>
      <c r="U39" s="5">
        <v>2014</v>
      </c>
      <c r="V39" s="4" t="s">
        <v>13</v>
      </c>
      <c r="W39" s="6"/>
      <c r="X39" s="6"/>
      <c r="Y39" s="6">
        <v>4.4080000000000004</v>
      </c>
      <c r="Z39" s="6"/>
      <c r="AA39" s="6"/>
      <c r="AB39" s="6"/>
      <c r="AC39" s="6"/>
      <c r="AD39" s="6">
        <v>4.4080000000000004</v>
      </c>
    </row>
    <row r="40" spans="1:30" x14ac:dyDescent="0.25">
      <c r="A40" s="5">
        <v>2014</v>
      </c>
      <c r="B40" s="11" t="s">
        <v>8</v>
      </c>
      <c r="C40" s="11">
        <v>2.5000000000000001E-2</v>
      </c>
      <c r="D40" s="11"/>
      <c r="E40" s="11"/>
      <c r="F40" s="11"/>
      <c r="G40" s="11"/>
      <c r="H40" s="11"/>
      <c r="I40" s="4">
        <v>2.5000000000000001E-2</v>
      </c>
      <c r="K40" s="5">
        <v>2014</v>
      </c>
      <c r="L40" s="4" t="s">
        <v>5</v>
      </c>
      <c r="M40" s="6">
        <v>1.6600000000000001</v>
      </c>
      <c r="N40" s="6"/>
      <c r="O40" s="6"/>
      <c r="P40" s="6"/>
      <c r="Q40" s="6"/>
      <c r="R40" s="6"/>
      <c r="S40" s="6">
        <v>1.6600000000000001</v>
      </c>
      <c r="U40" s="5">
        <v>2015</v>
      </c>
      <c r="V40" s="4" t="s">
        <v>6</v>
      </c>
      <c r="W40" s="6"/>
      <c r="X40" s="6"/>
      <c r="Y40" s="6">
        <v>111.57500000000002</v>
      </c>
      <c r="Z40" s="6"/>
      <c r="AA40" s="6"/>
      <c r="AB40" s="6"/>
      <c r="AC40" s="6"/>
      <c r="AD40" s="6">
        <v>111.57500000000002</v>
      </c>
    </row>
    <row r="41" spans="1:30" x14ac:dyDescent="0.25">
      <c r="A41" s="5">
        <v>2014</v>
      </c>
      <c r="B41" s="11" t="s">
        <v>10</v>
      </c>
      <c r="C41" s="11">
        <v>1.96</v>
      </c>
      <c r="D41" s="11"/>
      <c r="E41" s="11"/>
      <c r="F41" s="11"/>
      <c r="G41" s="11"/>
      <c r="H41" s="11"/>
      <c r="I41" s="4">
        <v>1.96</v>
      </c>
      <c r="K41" s="5">
        <v>2014</v>
      </c>
      <c r="L41" s="4" t="s">
        <v>6</v>
      </c>
      <c r="M41" s="6">
        <v>3.6079999999999997</v>
      </c>
      <c r="N41" s="6"/>
      <c r="O41" s="6">
        <v>11153.025000000014</v>
      </c>
      <c r="P41" s="6">
        <v>0.05</v>
      </c>
      <c r="Q41" s="6">
        <v>0.15</v>
      </c>
      <c r="R41" s="6"/>
      <c r="S41" s="6">
        <v>11156.833000000013</v>
      </c>
      <c r="U41" s="5">
        <v>2015</v>
      </c>
      <c r="V41" s="4" t="s">
        <v>7</v>
      </c>
      <c r="W41" s="6"/>
      <c r="X41" s="6"/>
      <c r="Y41" s="6">
        <v>52.989999999999995</v>
      </c>
      <c r="Z41" s="6"/>
      <c r="AA41" s="6"/>
      <c r="AB41" s="6"/>
      <c r="AC41" s="6"/>
      <c r="AD41" s="6">
        <v>52.989999999999995</v>
      </c>
    </row>
    <row r="42" spans="1:30" x14ac:dyDescent="0.25">
      <c r="A42" s="5">
        <v>2014</v>
      </c>
      <c r="B42" s="11" t="s">
        <v>11</v>
      </c>
      <c r="C42" s="11">
        <v>6.5</v>
      </c>
      <c r="D42" s="11"/>
      <c r="E42" s="11"/>
      <c r="F42" s="11"/>
      <c r="G42" s="11"/>
      <c r="H42" s="11"/>
      <c r="I42" s="4">
        <v>6.5</v>
      </c>
      <c r="K42" s="5">
        <v>2014</v>
      </c>
      <c r="L42" s="4" t="s">
        <v>7</v>
      </c>
      <c r="M42" s="6">
        <v>19.003999999999998</v>
      </c>
      <c r="N42" s="6"/>
      <c r="O42" s="6">
        <v>1590.7469999999998</v>
      </c>
      <c r="P42" s="6"/>
      <c r="Q42" s="6">
        <v>0.15000000000000002</v>
      </c>
      <c r="R42" s="6"/>
      <c r="S42" s="6">
        <v>1609.9009999999998</v>
      </c>
      <c r="U42" s="5">
        <v>2015</v>
      </c>
      <c r="V42" s="4" t="s">
        <v>8</v>
      </c>
      <c r="W42" s="6"/>
      <c r="X42" s="6"/>
      <c r="Y42" s="6">
        <v>1.762</v>
      </c>
      <c r="Z42" s="6"/>
      <c r="AA42" s="6"/>
      <c r="AB42" s="6"/>
      <c r="AC42" s="6"/>
      <c r="AD42" s="6">
        <v>1.762</v>
      </c>
    </row>
    <row r="43" spans="1:30" x14ac:dyDescent="0.25">
      <c r="A43" s="5">
        <v>2014</v>
      </c>
      <c r="B43" s="11" t="s">
        <v>12</v>
      </c>
      <c r="C43" s="11">
        <v>3.3</v>
      </c>
      <c r="D43" s="11"/>
      <c r="E43" s="11"/>
      <c r="F43" s="11"/>
      <c r="G43" s="11"/>
      <c r="H43" s="11"/>
      <c r="I43" s="4">
        <v>3.3</v>
      </c>
      <c r="K43" s="5">
        <v>2014</v>
      </c>
      <c r="L43" s="4" t="s">
        <v>8</v>
      </c>
      <c r="M43" s="6">
        <v>71.900999999999996</v>
      </c>
      <c r="N43" s="6"/>
      <c r="O43" s="6">
        <v>47.372</v>
      </c>
      <c r="P43" s="6"/>
      <c r="Q43" s="6">
        <v>0.15</v>
      </c>
      <c r="R43" s="6"/>
      <c r="S43" s="6">
        <v>119.423</v>
      </c>
      <c r="U43" s="5">
        <v>2015</v>
      </c>
      <c r="V43" s="4" t="s">
        <v>9</v>
      </c>
      <c r="W43" s="6"/>
      <c r="X43" s="6"/>
      <c r="Y43" s="6">
        <v>0.153</v>
      </c>
      <c r="Z43" s="6"/>
      <c r="AA43" s="6">
        <v>0.16200000000000001</v>
      </c>
      <c r="AB43" s="6"/>
      <c r="AC43" s="6"/>
      <c r="AD43" s="6">
        <v>0.315</v>
      </c>
    </row>
    <row r="44" spans="1:30" x14ac:dyDescent="0.25">
      <c r="A44" s="5">
        <v>2015</v>
      </c>
      <c r="B44" s="11" t="s">
        <v>4</v>
      </c>
      <c r="C44" s="11">
        <v>4.3250000000000002</v>
      </c>
      <c r="D44" s="11"/>
      <c r="E44" s="11">
        <v>9.31</v>
      </c>
      <c r="F44" s="11"/>
      <c r="G44" s="11"/>
      <c r="H44" s="11"/>
      <c r="I44" s="4">
        <v>13.635000000000002</v>
      </c>
      <c r="K44" s="5">
        <v>2014</v>
      </c>
      <c r="L44" s="4" t="s">
        <v>9</v>
      </c>
      <c r="M44" s="6">
        <v>11.824000000000002</v>
      </c>
      <c r="N44" s="6"/>
      <c r="O44" s="6">
        <v>16.861999999999998</v>
      </c>
      <c r="P44" s="6"/>
      <c r="Q44" s="6">
        <v>0.18</v>
      </c>
      <c r="R44" s="6"/>
      <c r="S44" s="6">
        <v>28.866</v>
      </c>
      <c r="U44" s="5">
        <v>2015</v>
      </c>
      <c r="V44" s="4" t="s">
        <v>14</v>
      </c>
      <c r="W44" s="6"/>
      <c r="X44" s="6"/>
      <c r="Y44" s="6">
        <v>97.948999999999998</v>
      </c>
      <c r="Z44" s="6"/>
      <c r="AA44" s="6"/>
      <c r="AB44" s="6"/>
      <c r="AC44" s="6"/>
      <c r="AD44" s="6">
        <v>97.948999999999998</v>
      </c>
    </row>
    <row r="45" spans="1:30" x14ac:dyDescent="0.25">
      <c r="A45" s="5">
        <v>2015</v>
      </c>
      <c r="B45" s="11" t="s">
        <v>5</v>
      </c>
      <c r="C45" s="11">
        <v>11.376999999999999</v>
      </c>
      <c r="D45" s="11"/>
      <c r="E45" s="11">
        <v>26.149999999999995</v>
      </c>
      <c r="F45" s="11"/>
      <c r="G45" s="11"/>
      <c r="H45" s="11"/>
      <c r="I45" s="4">
        <v>37.526999999999994</v>
      </c>
      <c r="K45" s="5">
        <v>2014</v>
      </c>
      <c r="L45" s="4" t="s">
        <v>10</v>
      </c>
      <c r="M45" s="6"/>
      <c r="N45" s="6"/>
      <c r="O45" s="6">
        <v>21.882000000000001</v>
      </c>
      <c r="P45" s="6"/>
      <c r="Q45" s="6">
        <v>0.18</v>
      </c>
      <c r="R45" s="6">
        <v>7</v>
      </c>
      <c r="S45" s="6">
        <v>29.062000000000001</v>
      </c>
      <c r="U45" s="5">
        <v>2015</v>
      </c>
      <c r="V45" s="4" t="s">
        <v>15</v>
      </c>
      <c r="W45" s="6"/>
      <c r="X45" s="6"/>
      <c r="Y45" s="6">
        <v>11.39</v>
      </c>
      <c r="Z45" s="6"/>
      <c r="AA45" s="6"/>
      <c r="AB45" s="6"/>
      <c r="AC45" s="6"/>
      <c r="AD45" s="6">
        <v>11.39</v>
      </c>
    </row>
    <row r="46" spans="1:30" x14ac:dyDescent="0.25">
      <c r="A46" s="5">
        <v>2015</v>
      </c>
      <c r="B46" s="11" t="s">
        <v>6</v>
      </c>
      <c r="C46" s="11">
        <v>16.91</v>
      </c>
      <c r="D46" s="11"/>
      <c r="E46" s="11">
        <v>17.525000000000002</v>
      </c>
      <c r="F46" s="11"/>
      <c r="G46" s="11"/>
      <c r="H46" s="11"/>
      <c r="I46" s="4">
        <v>34.435000000000002</v>
      </c>
      <c r="K46" s="5">
        <v>2014</v>
      </c>
      <c r="L46" s="4" t="s">
        <v>11</v>
      </c>
      <c r="M46" s="6"/>
      <c r="N46" s="6"/>
      <c r="O46" s="6"/>
      <c r="P46" s="6"/>
      <c r="Q46" s="6">
        <v>0.16</v>
      </c>
      <c r="R46" s="6"/>
      <c r="S46" s="6">
        <v>0.16</v>
      </c>
      <c r="U46" s="5">
        <v>2016</v>
      </c>
      <c r="V46" s="4" t="s">
        <v>6</v>
      </c>
      <c r="W46" s="6"/>
      <c r="X46" s="6"/>
      <c r="Y46" s="6">
        <v>158.476</v>
      </c>
      <c r="Z46" s="6"/>
      <c r="AA46" s="6"/>
      <c r="AB46" s="6"/>
      <c r="AC46" s="6"/>
      <c r="AD46" s="6">
        <v>158.476</v>
      </c>
    </row>
    <row r="47" spans="1:30" x14ac:dyDescent="0.25">
      <c r="A47" s="5">
        <v>2015</v>
      </c>
      <c r="B47" s="11" t="s">
        <v>7</v>
      </c>
      <c r="C47" s="11">
        <v>4.05</v>
      </c>
      <c r="D47" s="11"/>
      <c r="E47" s="11">
        <v>28.544</v>
      </c>
      <c r="F47" s="11"/>
      <c r="G47" s="11"/>
      <c r="H47" s="11"/>
      <c r="I47" s="4">
        <v>32.594000000000001</v>
      </c>
      <c r="K47" s="5">
        <v>2014</v>
      </c>
      <c r="L47" s="4" t="s">
        <v>12</v>
      </c>
      <c r="M47" s="6"/>
      <c r="N47" s="6"/>
      <c r="O47" s="6"/>
      <c r="P47" s="6"/>
      <c r="Q47" s="6">
        <v>0.14799999999999999</v>
      </c>
      <c r="R47" s="6"/>
      <c r="S47" s="6">
        <v>0.14799999999999999</v>
      </c>
      <c r="U47" s="5">
        <v>2016</v>
      </c>
      <c r="V47" s="4" t="s">
        <v>8</v>
      </c>
      <c r="W47" s="6"/>
      <c r="X47" s="6"/>
      <c r="Y47" s="6"/>
      <c r="Z47" s="6">
        <v>0.1</v>
      </c>
      <c r="AA47" s="6"/>
      <c r="AB47" s="6"/>
      <c r="AC47" s="6"/>
      <c r="AD47" s="6">
        <v>0.1</v>
      </c>
    </row>
    <row r="48" spans="1:30" x14ac:dyDescent="0.25">
      <c r="A48" s="5">
        <v>2015</v>
      </c>
      <c r="B48" s="11" t="s">
        <v>8</v>
      </c>
      <c r="C48" s="11">
        <v>3.9</v>
      </c>
      <c r="D48" s="11"/>
      <c r="E48" s="11">
        <v>3.6500000000000004</v>
      </c>
      <c r="F48" s="11"/>
      <c r="G48" s="11"/>
      <c r="H48" s="11"/>
      <c r="I48" s="4">
        <v>7.5500000000000007</v>
      </c>
      <c r="K48" s="5">
        <v>2014</v>
      </c>
      <c r="L48" s="4" t="s">
        <v>13</v>
      </c>
      <c r="M48" s="6"/>
      <c r="N48" s="6"/>
      <c r="O48" s="6">
        <v>712.25900000000001</v>
      </c>
      <c r="P48" s="6"/>
      <c r="Q48" s="6">
        <v>0.187</v>
      </c>
      <c r="R48" s="6"/>
      <c r="S48" s="6">
        <v>712.44600000000003</v>
      </c>
      <c r="U48" s="5">
        <v>2016</v>
      </c>
      <c r="V48" s="4" t="s">
        <v>9</v>
      </c>
      <c r="W48" s="6"/>
      <c r="X48" s="6"/>
      <c r="Y48" s="6"/>
      <c r="Z48" s="6"/>
      <c r="AA48" s="6">
        <v>0.14599999999999999</v>
      </c>
      <c r="AB48" s="6"/>
      <c r="AC48" s="6"/>
      <c r="AD48" s="6">
        <v>0.14599999999999999</v>
      </c>
    </row>
    <row r="49" spans="1:30" x14ac:dyDescent="0.25">
      <c r="A49" s="5">
        <v>2015</v>
      </c>
      <c r="B49" s="11" t="s">
        <v>9</v>
      </c>
      <c r="C49" s="11">
        <v>2.4000000000000004</v>
      </c>
      <c r="D49" s="11"/>
      <c r="E49" s="11">
        <v>41.497999999999998</v>
      </c>
      <c r="F49" s="11"/>
      <c r="G49" s="11"/>
      <c r="H49" s="11"/>
      <c r="I49" s="4">
        <v>43.897999999999996</v>
      </c>
      <c r="K49" s="5">
        <v>2014</v>
      </c>
      <c r="L49" s="4" t="s">
        <v>14</v>
      </c>
      <c r="M49" s="6"/>
      <c r="N49" s="6"/>
      <c r="O49" s="6">
        <v>53.790999999999997</v>
      </c>
      <c r="P49" s="6"/>
      <c r="Q49" s="6">
        <v>0.16600000000000001</v>
      </c>
      <c r="R49" s="6"/>
      <c r="S49" s="6">
        <v>53.956999999999994</v>
      </c>
      <c r="U49" s="5">
        <v>2016</v>
      </c>
      <c r="V49" s="4" t="s">
        <v>10</v>
      </c>
      <c r="W49" s="6"/>
      <c r="X49" s="6"/>
      <c r="Y49" s="6"/>
      <c r="Z49" s="6"/>
      <c r="AA49" s="6">
        <v>0.02</v>
      </c>
      <c r="AB49" s="6"/>
      <c r="AC49" s="6"/>
      <c r="AD49" s="6">
        <v>0.02</v>
      </c>
    </row>
    <row r="50" spans="1:30" x14ac:dyDescent="0.25">
      <c r="A50" s="5">
        <v>2015</v>
      </c>
      <c r="B50" s="11" t="s">
        <v>10</v>
      </c>
      <c r="C50" s="11">
        <v>3.7</v>
      </c>
      <c r="D50" s="11"/>
      <c r="E50" s="11">
        <v>21.770000000000003</v>
      </c>
      <c r="F50" s="11"/>
      <c r="G50" s="11"/>
      <c r="H50" s="11"/>
      <c r="I50" s="4">
        <v>25.470000000000002</v>
      </c>
      <c r="K50" s="5">
        <v>2014</v>
      </c>
      <c r="L50" s="4" t="s">
        <v>15</v>
      </c>
      <c r="M50" s="6">
        <v>0.91499999999999992</v>
      </c>
      <c r="N50" s="6"/>
      <c r="O50" s="6"/>
      <c r="P50" s="6"/>
      <c r="Q50" s="6">
        <v>0.17499999999999999</v>
      </c>
      <c r="R50" s="6"/>
      <c r="S50" s="6">
        <v>1.0899999999999999</v>
      </c>
      <c r="U50" s="5">
        <v>2016</v>
      </c>
      <c r="V50" s="4" t="s">
        <v>13</v>
      </c>
      <c r="W50" s="6"/>
      <c r="X50" s="6"/>
      <c r="Y50" s="6"/>
      <c r="Z50" s="6"/>
      <c r="AA50" s="6">
        <v>2E-3</v>
      </c>
      <c r="AB50" s="6"/>
      <c r="AC50" s="6"/>
      <c r="AD50" s="6">
        <v>2E-3</v>
      </c>
    </row>
    <row r="51" spans="1:30" x14ac:dyDescent="0.25">
      <c r="A51" s="5">
        <v>2015</v>
      </c>
      <c r="B51" s="11" t="s">
        <v>11</v>
      </c>
      <c r="C51" s="11">
        <v>1.06</v>
      </c>
      <c r="D51" s="11"/>
      <c r="E51" s="11">
        <v>39.665999999999997</v>
      </c>
      <c r="F51" s="11"/>
      <c r="G51" s="11"/>
      <c r="H51" s="11"/>
      <c r="I51" s="4">
        <v>40.725999999999999</v>
      </c>
      <c r="K51" s="5">
        <v>2015</v>
      </c>
      <c r="L51" s="4" t="s">
        <v>4</v>
      </c>
      <c r="M51" s="6">
        <v>5.5399999999999991</v>
      </c>
      <c r="N51" s="6"/>
      <c r="O51" s="6"/>
      <c r="P51" s="6"/>
      <c r="Q51" s="6">
        <v>0.17</v>
      </c>
      <c r="R51" s="6"/>
      <c r="S51" s="6">
        <v>5.7099999999999991</v>
      </c>
      <c r="U51" s="5">
        <v>2016</v>
      </c>
      <c r="V51" s="4" t="s">
        <v>14</v>
      </c>
      <c r="W51" s="6"/>
      <c r="X51" s="6"/>
      <c r="Y51" s="6">
        <v>43.36399999999999</v>
      </c>
      <c r="Z51" s="6"/>
      <c r="AA51" s="6"/>
      <c r="AB51" s="6"/>
      <c r="AC51" s="6"/>
      <c r="AD51" s="6">
        <v>43.36399999999999</v>
      </c>
    </row>
    <row r="52" spans="1:30" x14ac:dyDescent="0.25">
      <c r="A52" s="5">
        <v>2015</v>
      </c>
      <c r="B52" s="11" t="s">
        <v>12</v>
      </c>
      <c r="C52" s="11">
        <v>5.0999999999999996</v>
      </c>
      <c r="D52" s="11"/>
      <c r="E52" s="11">
        <v>4.5</v>
      </c>
      <c r="F52" s="11"/>
      <c r="G52" s="11"/>
      <c r="H52" s="11"/>
      <c r="I52" s="4">
        <v>9.6</v>
      </c>
      <c r="K52" s="5">
        <v>2015</v>
      </c>
      <c r="L52" s="4" t="s">
        <v>5</v>
      </c>
      <c r="M52" s="6">
        <v>5.0939999999999985</v>
      </c>
      <c r="N52" s="6"/>
      <c r="O52" s="6"/>
      <c r="P52" s="6"/>
      <c r="Q52" s="6">
        <v>0.126</v>
      </c>
      <c r="R52" s="6"/>
      <c r="S52" s="6">
        <v>5.2199999999999989</v>
      </c>
      <c r="U52" s="5">
        <v>2017</v>
      </c>
      <c r="V52" s="4" t="s">
        <v>5</v>
      </c>
      <c r="W52" s="6"/>
      <c r="X52" s="6"/>
      <c r="Y52" s="6"/>
      <c r="Z52" s="6">
        <v>0.25</v>
      </c>
      <c r="AA52" s="6"/>
      <c r="AB52" s="6"/>
      <c r="AC52" s="6"/>
      <c r="AD52" s="6">
        <v>0.25</v>
      </c>
    </row>
    <row r="53" spans="1:30" x14ac:dyDescent="0.25">
      <c r="A53" s="5">
        <v>2015</v>
      </c>
      <c r="B53" s="11" t="s">
        <v>13</v>
      </c>
      <c r="C53" s="11">
        <v>2.1</v>
      </c>
      <c r="D53" s="11"/>
      <c r="E53" s="11">
        <v>7.98</v>
      </c>
      <c r="F53" s="11"/>
      <c r="G53" s="11"/>
      <c r="H53" s="11"/>
      <c r="I53" s="4">
        <v>10.08</v>
      </c>
      <c r="K53" s="5">
        <v>2015</v>
      </c>
      <c r="L53" s="4" t="s">
        <v>6</v>
      </c>
      <c r="M53" s="6">
        <v>2.5919999999999996</v>
      </c>
      <c r="N53" s="6"/>
      <c r="O53" s="6">
        <v>5044.4679999999953</v>
      </c>
      <c r="P53" s="6"/>
      <c r="Q53" s="6">
        <v>0.17799999999999999</v>
      </c>
      <c r="R53" s="6"/>
      <c r="S53" s="6">
        <v>5047.2379999999948</v>
      </c>
      <c r="U53" s="5">
        <v>2017</v>
      </c>
      <c r="V53" s="4" t="s">
        <v>6</v>
      </c>
      <c r="W53" s="6"/>
      <c r="X53" s="6"/>
      <c r="Y53" s="6">
        <v>45.084999999999987</v>
      </c>
      <c r="Z53" s="6">
        <v>0.05</v>
      </c>
      <c r="AA53" s="6"/>
      <c r="AB53" s="6"/>
      <c r="AC53" s="6"/>
      <c r="AD53" s="6">
        <v>45.134999999999984</v>
      </c>
    </row>
    <row r="54" spans="1:30" x14ac:dyDescent="0.25">
      <c r="A54" s="5">
        <v>2015</v>
      </c>
      <c r="B54" s="11" t="s">
        <v>14</v>
      </c>
      <c r="C54" s="11">
        <v>2.1</v>
      </c>
      <c r="D54" s="11"/>
      <c r="E54" s="11"/>
      <c r="F54" s="11"/>
      <c r="G54" s="11"/>
      <c r="H54" s="11"/>
      <c r="I54" s="4">
        <v>2.1</v>
      </c>
      <c r="K54" s="5">
        <v>2015</v>
      </c>
      <c r="L54" s="4" t="s">
        <v>7</v>
      </c>
      <c r="M54" s="6">
        <v>1.26</v>
      </c>
      <c r="N54" s="6"/>
      <c r="O54" s="6">
        <v>347.02500000000003</v>
      </c>
      <c r="P54" s="6"/>
      <c r="Q54" s="6">
        <v>0.20199999999999999</v>
      </c>
      <c r="R54" s="6"/>
      <c r="S54" s="6">
        <v>348.48700000000002</v>
      </c>
      <c r="U54" s="5">
        <v>2017</v>
      </c>
      <c r="V54" s="4" t="s">
        <v>7</v>
      </c>
      <c r="W54" s="6"/>
      <c r="X54" s="6"/>
      <c r="Y54" s="6">
        <v>1.9890000000000001</v>
      </c>
      <c r="Z54" s="6"/>
      <c r="AA54" s="6"/>
      <c r="AB54" s="6"/>
      <c r="AC54" s="6"/>
      <c r="AD54" s="6">
        <v>1.9890000000000001</v>
      </c>
    </row>
    <row r="55" spans="1:30" x14ac:dyDescent="0.25">
      <c r="A55" s="5">
        <v>2015</v>
      </c>
      <c r="B55" s="11" t="s">
        <v>15</v>
      </c>
      <c r="C55" s="11">
        <v>1.35</v>
      </c>
      <c r="D55" s="11"/>
      <c r="E55" s="11"/>
      <c r="F55" s="11"/>
      <c r="G55" s="11"/>
      <c r="H55" s="11"/>
      <c r="I55" s="4">
        <v>1.35</v>
      </c>
      <c r="K55" s="5">
        <v>2015</v>
      </c>
      <c r="L55" s="4" t="s">
        <v>8</v>
      </c>
      <c r="M55" s="6">
        <v>0.02</v>
      </c>
      <c r="N55" s="6"/>
      <c r="O55" s="6">
        <v>487.89000000000004</v>
      </c>
      <c r="P55" s="6"/>
      <c r="Q55" s="6"/>
      <c r="R55" s="6"/>
      <c r="S55" s="6">
        <v>487.91</v>
      </c>
      <c r="U55" s="5">
        <v>2017</v>
      </c>
      <c r="V55" s="4" t="s">
        <v>8</v>
      </c>
      <c r="W55" s="6"/>
      <c r="X55" s="6"/>
      <c r="Y55" s="6">
        <v>0.151</v>
      </c>
      <c r="Z55" s="6">
        <v>0.02</v>
      </c>
      <c r="AA55" s="6">
        <v>0.17700000000000002</v>
      </c>
      <c r="AB55" s="6"/>
      <c r="AC55" s="6"/>
      <c r="AD55" s="6">
        <v>0.34799999999999998</v>
      </c>
    </row>
    <row r="56" spans="1:30" x14ac:dyDescent="0.25">
      <c r="A56" s="5">
        <v>2016</v>
      </c>
      <c r="B56" s="11" t="s">
        <v>4</v>
      </c>
      <c r="C56" s="11">
        <v>0.65</v>
      </c>
      <c r="D56" s="11"/>
      <c r="E56" s="11">
        <v>39.041999999999994</v>
      </c>
      <c r="F56" s="11"/>
      <c r="G56" s="11"/>
      <c r="H56" s="11"/>
      <c r="I56" s="4">
        <v>39.691999999999993</v>
      </c>
      <c r="K56" s="5">
        <v>2015</v>
      </c>
      <c r="L56" s="4" t="s">
        <v>9</v>
      </c>
      <c r="M56" s="6">
        <v>6.58</v>
      </c>
      <c r="N56" s="6"/>
      <c r="O56" s="6">
        <v>214.52700000000002</v>
      </c>
      <c r="P56" s="6"/>
      <c r="Q56" s="6">
        <v>0.54699999999999993</v>
      </c>
      <c r="R56" s="6"/>
      <c r="S56" s="6">
        <v>221.65400000000002</v>
      </c>
      <c r="U56" s="5">
        <v>2017</v>
      </c>
      <c r="V56" s="4" t="s">
        <v>9</v>
      </c>
      <c r="W56" s="6"/>
      <c r="X56" s="6"/>
      <c r="Y56" s="6">
        <v>0.5</v>
      </c>
      <c r="Z56" s="6"/>
      <c r="AA56" s="6"/>
      <c r="AB56" s="6"/>
      <c r="AC56" s="6"/>
      <c r="AD56" s="6">
        <v>0.5</v>
      </c>
    </row>
    <row r="57" spans="1:30" x14ac:dyDescent="0.25">
      <c r="A57" s="5">
        <v>2016</v>
      </c>
      <c r="B57" s="11" t="s">
        <v>6</v>
      </c>
      <c r="C57" s="11">
        <v>7.51</v>
      </c>
      <c r="D57" s="11"/>
      <c r="E57" s="11"/>
      <c r="F57" s="11"/>
      <c r="G57" s="11"/>
      <c r="H57" s="11"/>
      <c r="I57" s="4">
        <v>7.51</v>
      </c>
      <c r="K57" s="5">
        <v>2015</v>
      </c>
      <c r="L57" s="4" t="s">
        <v>10</v>
      </c>
      <c r="M57" s="6">
        <v>4.32</v>
      </c>
      <c r="N57" s="6"/>
      <c r="O57" s="6">
        <v>77.154999999999987</v>
      </c>
      <c r="P57" s="6"/>
      <c r="Q57" s="6"/>
      <c r="R57" s="6"/>
      <c r="S57" s="6">
        <v>81.474999999999994</v>
      </c>
      <c r="U57" s="5">
        <v>2017</v>
      </c>
      <c r="V57" s="4" t="s">
        <v>14</v>
      </c>
      <c r="W57" s="6"/>
      <c r="X57" s="6"/>
      <c r="Y57" s="6">
        <v>44.01700000000001</v>
      </c>
      <c r="Z57" s="6"/>
      <c r="AA57" s="6"/>
      <c r="AB57" s="6"/>
      <c r="AC57" s="6"/>
      <c r="AD57" s="6">
        <v>44.01700000000001</v>
      </c>
    </row>
    <row r="58" spans="1:30" x14ac:dyDescent="0.25">
      <c r="A58" s="5">
        <v>2016</v>
      </c>
      <c r="B58" s="11" t="s">
        <v>8</v>
      </c>
      <c r="C58" s="11">
        <v>2.08</v>
      </c>
      <c r="D58" s="11"/>
      <c r="E58" s="11">
        <v>12.25</v>
      </c>
      <c r="F58" s="11"/>
      <c r="G58" s="11"/>
      <c r="H58" s="11">
        <v>0.05</v>
      </c>
      <c r="I58" s="4">
        <v>14.38</v>
      </c>
      <c r="K58" s="5">
        <v>2015</v>
      </c>
      <c r="L58" s="4" t="s">
        <v>11</v>
      </c>
      <c r="M58" s="6">
        <v>17.2</v>
      </c>
      <c r="N58" s="6"/>
      <c r="O58" s="6">
        <v>42.905000000000008</v>
      </c>
      <c r="P58" s="6"/>
      <c r="Q58" s="6"/>
      <c r="R58" s="6"/>
      <c r="S58" s="6">
        <v>60.105000000000004</v>
      </c>
      <c r="U58" s="5">
        <v>2018</v>
      </c>
      <c r="V58" s="4" t="s">
        <v>6</v>
      </c>
      <c r="W58" s="6"/>
      <c r="X58" s="6"/>
      <c r="Y58" s="6">
        <v>63.26</v>
      </c>
      <c r="Z58" s="6"/>
      <c r="AA58" s="6"/>
      <c r="AB58" s="6"/>
      <c r="AC58" s="6"/>
      <c r="AD58" s="6">
        <v>63.26</v>
      </c>
    </row>
    <row r="59" spans="1:30" x14ac:dyDescent="0.25">
      <c r="A59" s="5">
        <v>2016</v>
      </c>
      <c r="B59" s="11" t="s">
        <v>9</v>
      </c>
      <c r="C59" s="11"/>
      <c r="D59" s="11"/>
      <c r="E59" s="11">
        <v>15.6</v>
      </c>
      <c r="F59" s="11"/>
      <c r="G59" s="11"/>
      <c r="H59" s="11"/>
      <c r="I59" s="4">
        <v>15.6</v>
      </c>
      <c r="K59" s="5">
        <v>2015</v>
      </c>
      <c r="L59" s="4" t="s">
        <v>12</v>
      </c>
      <c r="M59" s="6">
        <v>9.09</v>
      </c>
      <c r="N59" s="6"/>
      <c r="O59" s="6"/>
      <c r="P59" s="6"/>
      <c r="Q59" s="6"/>
      <c r="R59" s="6"/>
      <c r="S59" s="6">
        <v>9.09</v>
      </c>
      <c r="U59" s="5">
        <v>2018</v>
      </c>
      <c r="V59" s="4" t="s">
        <v>7</v>
      </c>
      <c r="W59" s="6"/>
      <c r="X59" s="6"/>
      <c r="Y59" s="6">
        <v>4.3369999999999997</v>
      </c>
      <c r="Z59" s="6"/>
      <c r="AA59" s="6"/>
      <c r="AB59" s="6"/>
      <c r="AC59" s="6"/>
      <c r="AD59" s="6">
        <v>4.3369999999999997</v>
      </c>
    </row>
    <row r="60" spans="1:30" x14ac:dyDescent="0.25">
      <c r="A60" s="5">
        <v>2016</v>
      </c>
      <c r="B60" s="11" t="s">
        <v>11</v>
      </c>
      <c r="C60" s="11"/>
      <c r="D60" s="11"/>
      <c r="E60" s="11">
        <v>6.25</v>
      </c>
      <c r="F60" s="11"/>
      <c r="G60" s="11"/>
      <c r="H60" s="11"/>
      <c r="I60" s="4">
        <v>6.25</v>
      </c>
      <c r="K60" s="5">
        <v>2015</v>
      </c>
      <c r="L60" s="4" t="s">
        <v>13</v>
      </c>
      <c r="M60" s="6">
        <v>26.064</v>
      </c>
      <c r="N60" s="6"/>
      <c r="O60" s="6"/>
      <c r="P60" s="6"/>
      <c r="Q60" s="6">
        <v>0.36</v>
      </c>
      <c r="R60" s="6"/>
      <c r="S60" s="6">
        <v>26.423999999999999</v>
      </c>
      <c r="U60" s="5">
        <v>2018</v>
      </c>
      <c r="V60" s="4" t="s">
        <v>9</v>
      </c>
      <c r="W60" s="6"/>
      <c r="X60" s="6"/>
      <c r="Y60" s="6">
        <v>12.433999999999999</v>
      </c>
      <c r="Z60" s="6"/>
      <c r="AA60" s="6"/>
      <c r="AB60" s="6"/>
      <c r="AC60" s="6"/>
      <c r="AD60" s="6">
        <v>12.433999999999999</v>
      </c>
    </row>
    <row r="61" spans="1:30" x14ac:dyDescent="0.25">
      <c r="A61" s="5">
        <v>2016</v>
      </c>
      <c r="B61" s="11" t="s">
        <v>13</v>
      </c>
      <c r="C61" s="11">
        <v>0.16</v>
      </c>
      <c r="D61" s="11"/>
      <c r="E61" s="11"/>
      <c r="F61" s="11"/>
      <c r="G61" s="11"/>
      <c r="H61" s="11"/>
      <c r="I61" s="4">
        <v>0.16</v>
      </c>
      <c r="K61" s="5">
        <v>2015</v>
      </c>
      <c r="L61" s="4" t="s">
        <v>14</v>
      </c>
      <c r="M61" s="6">
        <v>4.2699999999999996</v>
      </c>
      <c r="N61" s="6"/>
      <c r="O61" s="6">
        <v>928.05199999999979</v>
      </c>
      <c r="P61" s="6"/>
      <c r="Q61" s="6"/>
      <c r="R61" s="6"/>
      <c r="S61" s="6">
        <v>932.32199999999978</v>
      </c>
      <c r="U61" s="5">
        <v>2018</v>
      </c>
      <c r="V61" s="4" t="s">
        <v>13</v>
      </c>
      <c r="W61" s="6"/>
      <c r="X61" s="6"/>
      <c r="Y61" s="6"/>
      <c r="Z61" s="6"/>
      <c r="AA61" s="6">
        <v>2</v>
      </c>
      <c r="AB61" s="6"/>
      <c r="AC61" s="6"/>
      <c r="AD61" s="6">
        <v>2</v>
      </c>
    </row>
    <row r="62" spans="1:30" x14ac:dyDescent="0.25">
      <c r="A62" s="5">
        <v>2016</v>
      </c>
      <c r="B62" s="11" t="s">
        <v>14</v>
      </c>
      <c r="C62" s="11">
        <v>0.95</v>
      </c>
      <c r="D62" s="11"/>
      <c r="E62" s="11"/>
      <c r="F62" s="11"/>
      <c r="G62" s="11"/>
      <c r="H62" s="11"/>
      <c r="I62" s="4">
        <v>0.95</v>
      </c>
      <c r="K62" s="5">
        <v>2015</v>
      </c>
      <c r="L62" s="4" t="s">
        <v>15</v>
      </c>
      <c r="M62" s="6">
        <v>3.4000000000000004</v>
      </c>
      <c r="N62" s="6"/>
      <c r="O62" s="6">
        <v>60.779999999999994</v>
      </c>
      <c r="P62" s="6"/>
      <c r="Q62" s="6"/>
      <c r="R62" s="6"/>
      <c r="S62" s="6">
        <v>64.179999999999993</v>
      </c>
      <c r="U62" s="5">
        <v>2018</v>
      </c>
      <c r="V62" s="4" t="s">
        <v>14</v>
      </c>
      <c r="W62" s="6">
        <v>0.6</v>
      </c>
      <c r="X62" s="6"/>
      <c r="Y62" s="6">
        <v>23.993000000000006</v>
      </c>
      <c r="Z62" s="6"/>
      <c r="AA62" s="6"/>
      <c r="AB62" s="6"/>
      <c r="AC62" s="6"/>
      <c r="AD62" s="6">
        <v>24.593000000000007</v>
      </c>
    </row>
    <row r="63" spans="1:30" x14ac:dyDescent="0.25">
      <c r="A63" s="5">
        <v>2016</v>
      </c>
      <c r="B63" s="11" t="s">
        <v>15</v>
      </c>
      <c r="C63" s="11">
        <v>15.05</v>
      </c>
      <c r="D63" s="11"/>
      <c r="E63" s="11"/>
      <c r="F63" s="11"/>
      <c r="G63" s="11"/>
      <c r="H63" s="11"/>
      <c r="I63" s="4">
        <v>15.05</v>
      </c>
      <c r="K63" s="5">
        <v>2016</v>
      </c>
      <c r="L63" s="4" t="s">
        <v>5</v>
      </c>
      <c r="M63" s="6">
        <v>4.1400000000000006</v>
      </c>
      <c r="N63" s="6"/>
      <c r="O63" s="6"/>
      <c r="P63" s="6"/>
      <c r="Q63" s="6">
        <v>0.12</v>
      </c>
      <c r="R63" s="6"/>
      <c r="S63" s="6">
        <v>4.2600000000000007</v>
      </c>
      <c r="U63" s="5">
        <v>2018</v>
      </c>
      <c r="V63" s="4" t="s">
        <v>15</v>
      </c>
      <c r="W63" s="6"/>
      <c r="X63" s="6"/>
      <c r="Y63" s="6">
        <v>2.9340000000000002</v>
      </c>
      <c r="Z63" s="6"/>
      <c r="AA63" s="6"/>
      <c r="AB63" s="6"/>
      <c r="AC63" s="6"/>
      <c r="AD63" s="6">
        <v>2.9340000000000002</v>
      </c>
    </row>
    <row r="64" spans="1:30" x14ac:dyDescent="0.25">
      <c r="A64" s="5">
        <v>2017</v>
      </c>
      <c r="B64" s="11" t="s">
        <v>4</v>
      </c>
      <c r="C64" s="11">
        <v>6.15</v>
      </c>
      <c r="D64" s="11"/>
      <c r="E64" s="11">
        <v>17.300000000000004</v>
      </c>
      <c r="F64" s="11"/>
      <c r="G64" s="11"/>
      <c r="H64" s="11"/>
      <c r="I64" s="4">
        <v>23.450000000000003</v>
      </c>
      <c r="K64" s="5">
        <v>2016</v>
      </c>
      <c r="L64" s="4" t="s">
        <v>6</v>
      </c>
      <c r="M64" s="6">
        <v>1.48</v>
      </c>
      <c r="N64" s="6"/>
      <c r="O64" s="6">
        <v>2090.7570000000001</v>
      </c>
      <c r="P64" s="6"/>
      <c r="Q64" s="6">
        <v>7.0000000000000007E-2</v>
      </c>
      <c r="R64" s="6"/>
      <c r="S64" s="6">
        <v>2092.3070000000002</v>
      </c>
      <c r="U64" s="5">
        <v>2019</v>
      </c>
      <c r="V64" s="4" t="s">
        <v>5</v>
      </c>
      <c r="W64" s="6"/>
      <c r="X64" s="6"/>
      <c r="Y64" s="6"/>
      <c r="Z64" s="6">
        <v>0.02</v>
      </c>
      <c r="AA64" s="6"/>
      <c r="AB64" s="6">
        <v>2</v>
      </c>
      <c r="AC64" s="6"/>
      <c r="AD64" s="6">
        <v>2.02</v>
      </c>
    </row>
    <row r="65" spans="1:40" x14ac:dyDescent="0.25">
      <c r="A65" s="5">
        <v>2017</v>
      </c>
      <c r="B65" s="11" t="s">
        <v>5</v>
      </c>
      <c r="C65" s="11">
        <v>0.65</v>
      </c>
      <c r="D65" s="11"/>
      <c r="E65" s="11"/>
      <c r="F65" s="11">
        <v>0.8</v>
      </c>
      <c r="G65" s="11"/>
      <c r="H65" s="11"/>
      <c r="I65" s="4">
        <v>1.4500000000000002</v>
      </c>
      <c r="K65" s="5">
        <v>2016</v>
      </c>
      <c r="L65" s="4" t="s">
        <v>7</v>
      </c>
      <c r="M65" s="6">
        <v>8.5500000000000007</v>
      </c>
      <c r="N65" s="6"/>
      <c r="O65" s="6">
        <v>0.36</v>
      </c>
      <c r="P65" s="6"/>
      <c r="Q65" s="6"/>
      <c r="R65" s="6"/>
      <c r="S65" s="6">
        <v>8.91</v>
      </c>
      <c r="U65" s="5">
        <v>2019</v>
      </c>
      <c r="V65" s="4" t="s">
        <v>6</v>
      </c>
      <c r="W65" s="6"/>
      <c r="X65" s="6"/>
      <c r="Y65" s="6">
        <v>136.15400000000002</v>
      </c>
      <c r="Z65" s="6"/>
      <c r="AA65" s="6"/>
      <c r="AB65" s="6"/>
      <c r="AC65" s="6"/>
      <c r="AD65" s="6">
        <v>136.15400000000002</v>
      </c>
    </row>
    <row r="66" spans="1:40" x14ac:dyDescent="0.25">
      <c r="A66" s="5">
        <v>2017</v>
      </c>
      <c r="B66" s="11" t="s">
        <v>6</v>
      </c>
      <c r="C66" s="11">
        <v>2.3250000000000002</v>
      </c>
      <c r="D66" s="11"/>
      <c r="E66" s="11"/>
      <c r="F66" s="11">
        <v>0.1</v>
      </c>
      <c r="G66" s="11">
        <v>5</v>
      </c>
      <c r="H66" s="11"/>
      <c r="I66" s="4">
        <v>7.4250000000000007</v>
      </c>
      <c r="K66" s="5">
        <v>2016</v>
      </c>
      <c r="L66" s="4" t="s">
        <v>8</v>
      </c>
      <c r="M66" s="6">
        <v>8.6719999999999988</v>
      </c>
      <c r="N66" s="6"/>
      <c r="O66" s="6">
        <v>0.2</v>
      </c>
      <c r="P66" s="6">
        <v>0.3</v>
      </c>
      <c r="Q66" s="6">
        <v>1.7000000000000001E-2</v>
      </c>
      <c r="R66" s="6"/>
      <c r="S66" s="6">
        <v>9.1889999999999983</v>
      </c>
      <c r="U66" s="5">
        <v>2019</v>
      </c>
      <c r="V66" s="4" t="s">
        <v>7</v>
      </c>
      <c r="W66" s="6">
        <v>2.75</v>
      </c>
      <c r="X66" s="6"/>
      <c r="Y66" s="6">
        <v>36.469999999999992</v>
      </c>
      <c r="Z66" s="6"/>
      <c r="AA66" s="6"/>
      <c r="AB66" s="6"/>
      <c r="AC66" s="6"/>
      <c r="AD66" s="6">
        <v>39.219999999999992</v>
      </c>
    </row>
    <row r="67" spans="1:40" x14ac:dyDescent="0.25">
      <c r="A67" s="5">
        <v>2017</v>
      </c>
      <c r="B67" s="11" t="s">
        <v>7</v>
      </c>
      <c r="C67" s="11">
        <v>1.7</v>
      </c>
      <c r="D67" s="11"/>
      <c r="E67" s="11"/>
      <c r="F67" s="11"/>
      <c r="G67" s="11"/>
      <c r="H67" s="11"/>
      <c r="I67" s="4">
        <v>1.7</v>
      </c>
      <c r="K67" s="5">
        <v>2016</v>
      </c>
      <c r="L67" s="4" t="s">
        <v>9</v>
      </c>
      <c r="M67" s="6">
        <v>6.9220000000000006</v>
      </c>
      <c r="N67" s="6"/>
      <c r="O67" s="6">
        <v>1.5</v>
      </c>
      <c r="P67" s="6">
        <v>0.65</v>
      </c>
      <c r="Q67" s="6">
        <v>0.24299999999999999</v>
      </c>
      <c r="R67" s="6"/>
      <c r="S67" s="6">
        <v>9.3150000000000013</v>
      </c>
      <c r="U67" s="5">
        <v>2019</v>
      </c>
      <c r="V67" s="4" t="s">
        <v>8</v>
      </c>
      <c r="W67" s="6">
        <v>0.61499999999999999</v>
      </c>
      <c r="X67" s="6"/>
      <c r="Y67" s="6">
        <v>10.962</v>
      </c>
      <c r="Z67" s="6"/>
      <c r="AA67" s="6"/>
      <c r="AB67" s="6"/>
      <c r="AC67" s="6"/>
      <c r="AD67" s="6">
        <v>11.577</v>
      </c>
    </row>
    <row r="68" spans="1:40" x14ac:dyDescent="0.25">
      <c r="A68" s="5">
        <v>2017</v>
      </c>
      <c r="B68" s="11" t="s">
        <v>10</v>
      </c>
      <c r="C68" s="11">
        <v>0.15</v>
      </c>
      <c r="D68" s="11"/>
      <c r="E68" s="11"/>
      <c r="F68" s="11"/>
      <c r="G68" s="11"/>
      <c r="H68" s="11"/>
      <c r="I68" s="4">
        <v>0.15</v>
      </c>
      <c r="K68" s="5">
        <v>2016</v>
      </c>
      <c r="L68" s="4" t="s">
        <v>10</v>
      </c>
      <c r="M68" s="6">
        <v>5.9399999999999995</v>
      </c>
      <c r="N68" s="6"/>
      <c r="O68" s="6">
        <v>0.3</v>
      </c>
      <c r="P68" s="6"/>
      <c r="Q68" s="6">
        <v>4.4999999999999998E-2</v>
      </c>
      <c r="R68" s="6"/>
      <c r="S68" s="6">
        <v>6.2849999999999993</v>
      </c>
      <c r="U68" s="5">
        <v>2019</v>
      </c>
      <c r="V68" s="4" t="s">
        <v>14</v>
      </c>
      <c r="W68" s="6"/>
      <c r="X68" s="6"/>
      <c r="Y68" s="6">
        <v>125.26599999999999</v>
      </c>
      <c r="Z68" s="6"/>
      <c r="AA68" s="6"/>
      <c r="AB68" s="6"/>
      <c r="AC68" s="6"/>
      <c r="AD68" s="6">
        <v>125.26599999999999</v>
      </c>
    </row>
    <row r="69" spans="1:40" x14ac:dyDescent="0.25">
      <c r="A69" s="5">
        <v>2017</v>
      </c>
      <c r="B69" s="11" t="s">
        <v>12</v>
      </c>
      <c r="C69" s="11">
        <v>8.9</v>
      </c>
      <c r="D69" s="11"/>
      <c r="E69" s="11"/>
      <c r="F69" s="11"/>
      <c r="G69" s="11"/>
      <c r="H69" s="11"/>
      <c r="I69" s="4">
        <v>8.9</v>
      </c>
      <c r="K69" s="5">
        <v>2016</v>
      </c>
      <c r="L69" s="4" t="s">
        <v>11</v>
      </c>
      <c r="M69" s="6">
        <v>1.4</v>
      </c>
      <c r="N69" s="6"/>
      <c r="O69" s="6"/>
      <c r="P69" s="6"/>
      <c r="Q69" s="6"/>
      <c r="R69" s="6"/>
      <c r="S69" s="6">
        <v>1.4</v>
      </c>
      <c r="U69" s="5">
        <v>2019</v>
      </c>
      <c r="V69" s="4" t="s">
        <v>15</v>
      </c>
      <c r="W69" s="6"/>
      <c r="X69" s="6"/>
      <c r="Y69" s="6">
        <v>36.335999999999999</v>
      </c>
      <c r="Z69" s="6"/>
      <c r="AA69" s="6"/>
      <c r="AB69" s="6">
        <v>6.2</v>
      </c>
      <c r="AC69" s="6"/>
      <c r="AD69" s="6">
        <v>42.536000000000001</v>
      </c>
    </row>
    <row r="70" spans="1:40" x14ac:dyDescent="0.25">
      <c r="A70" s="5">
        <v>2017</v>
      </c>
      <c r="B70" s="11" t="s">
        <v>13</v>
      </c>
      <c r="C70" s="11">
        <v>3</v>
      </c>
      <c r="D70" s="11"/>
      <c r="E70" s="11"/>
      <c r="F70" s="11"/>
      <c r="G70" s="11"/>
      <c r="H70" s="11"/>
      <c r="I70" s="4">
        <v>3</v>
      </c>
      <c r="K70" s="5">
        <v>2016</v>
      </c>
      <c r="L70" s="4" t="s">
        <v>12</v>
      </c>
      <c r="M70" s="6">
        <v>14.274000000000001</v>
      </c>
      <c r="N70" s="6"/>
      <c r="O70" s="6">
        <v>0.5</v>
      </c>
      <c r="P70" s="6"/>
      <c r="Q70" s="6"/>
      <c r="R70" s="6"/>
      <c r="S70" s="6">
        <v>14.774000000000001</v>
      </c>
      <c r="U70" s="5">
        <v>2020</v>
      </c>
      <c r="V70" s="4" t="s">
        <v>6</v>
      </c>
      <c r="W70" s="6"/>
      <c r="X70" s="6"/>
      <c r="Y70" s="6">
        <v>158.77899999999997</v>
      </c>
      <c r="Z70" s="6"/>
      <c r="AA70" s="6">
        <v>0.02</v>
      </c>
      <c r="AB70" s="6"/>
      <c r="AC70" s="6"/>
      <c r="AD70" s="6">
        <v>158.79899999999998</v>
      </c>
    </row>
    <row r="71" spans="1:40" x14ac:dyDescent="0.25">
      <c r="A71" s="5">
        <v>2017</v>
      </c>
      <c r="B71" s="11" t="s">
        <v>14</v>
      </c>
      <c r="C71" s="11">
        <v>4.9139999999999997</v>
      </c>
      <c r="D71" s="11"/>
      <c r="E71" s="11"/>
      <c r="F71" s="11"/>
      <c r="G71" s="11"/>
      <c r="H71" s="11"/>
      <c r="I71" s="4">
        <v>4.9139999999999997</v>
      </c>
      <c r="K71" s="5">
        <v>2016</v>
      </c>
      <c r="L71" s="4" t="s">
        <v>13</v>
      </c>
      <c r="M71" s="6">
        <v>23.539999999999996</v>
      </c>
      <c r="N71" s="6"/>
      <c r="O71" s="6"/>
      <c r="P71" s="6">
        <v>1</v>
      </c>
      <c r="Q71" s="6">
        <v>0.14600000000000002</v>
      </c>
      <c r="R71" s="6"/>
      <c r="S71" s="6">
        <v>24.685999999999996</v>
      </c>
      <c r="U71" s="5">
        <v>2020</v>
      </c>
      <c r="V71" s="4" t="s">
        <v>7</v>
      </c>
      <c r="W71" s="6"/>
      <c r="X71" s="6"/>
      <c r="Y71" s="6">
        <v>128.95399999999998</v>
      </c>
      <c r="Z71" s="6"/>
      <c r="AA71" s="6">
        <v>0.11</v>
      </c>
      <c r="AB71" s="6"/>
      <c r="AC71" s="6"/>
      <c r="AD71" s="6">
        <v>129.06399999999999</v>
      </c>
    </row>
    <row r="72" spans="1:40" x14ac:dyDescent="0.25">
      <c r="A72" s="5">
        <v>2017</v>
      </c>
      <c r="B72" s="11" t="s">
        <v>15</v>
      </c>
      <c r="C72" s="11">
        <v>11.979999999999999</v>
      </c>
      <c r="D72" s="11"/>
      <c r="E72" s="11"/>
      <c r="F72" s="11"/>
      <c r="G72" s="11"/>
      <c r="H72" s="11"/>
      <c r="I72" s="4">
        <v>11.979999999999999</v>
      </c>
      <c r="K72" s="5">
        <v>2016</v>
      </c>
      <c r="L72" s="4" t="s">
        <v>14</v>
      </c>
      <c r="M72" s="6">
        <v>13.299999999999999</v>
      </c>
      <c r="N72" s="6"/>
      <c r="O72" s="6">
        <v>132.70999999999998</v>
      </c>
      <c r="P72" s="6"/>
      <c r="Q72" s="6"/>
      <c r="R72" s="6"/>
      <c r="S72" s="6">
        <v>146.01</v>
      </c>
      <c r="U72" s="5">
        <v>2020</v>
      </c>
      <c r="V72" s="4" t="s">
        <v>8</v>
      </c>
      <c r="W72" s="6"/>
      <c r="X72" s="6"/>
      <c r="Y72" s="6">
        <v>137.84400000000005</v>
      </c>
      <c r="Z72" s="6"/>
      <c r="AA72" s="6"/>
      <c r="AB72" s="6"/>
      <c r="AC72" s="6"/>
      <c r="AD72" s="6">
        <v>137.84400000000005</v>
      </c>
    </row>
    <row r="73" spans="1:40" x14ac:dyDescent="0.25">
      <c r="A73" s="5">
        <v>2018</v>
      </c>
      <c r="B73" s="11" t="s">
        <v>4</v>
      </c>
      <c r="C73" s="11">
        <v>13.049999999999999</v>
      </c>
      <c r="D73" s="11"/>
      <c r="E73" s="11"/>
      <c r="F73" s="11"/>
      <c r="G73" s="11"/>
      <c r="H73" s="11"/>
      <c r="I73" s="4">
        <v>13.049999999999999</v>
      </c>
      <c r="K73" s="5">
        <v>2016</v>
      </c>
      <c r="L73" s="4" t="s">
        <v>15</v>
      </c>
      <c r="M73" s="6">
        <v>6.5180000000000007</v>
      </c>
      <c r="N73" s="6"/>
      <c r="O73" s="6">
        <v>19.98</v>
      </c>
      <c r="P73" s="6"/>
      <c r="Q73" s="6"/>
      <c r="R73" s="6"/>
      <c r="S73" s="6">
        <v>26.498000000000001</v>
      </c>
      <c r="U73" s="5">
        <v>2020</v>
      </c>
      <c r="V73" s="4" t="s">
        <v>9</v>
      </c>
      <c r="W73" s="6"/>
      <c r="X73" s="6"/>
      <c r="Y73" s="6">
        <v>10.978</v>
      </c>
      <c r="Z73" s="6"/>
      <c r="AA73" s="6"/>
      <c r="AB73" s="6"/>
      <c r="AC73" s="6"/>
      <c r="AD73" s="6">
        <v>10.978</v>
      </c>
    </row>
    <row r="74" spans="1:40" x14ac:dyDescent="0.25">
      <c r="A74" s="5">
        <v>2018</v>
      </c>
      <c r="B74" s="11" t="s">
        <v>5</v>
      </c>
      <c r="C74" s="11">
        <v>0.22</v>
      </c>
      <c r="D74" s="11"/>
      <c r="E74" s="11"/>
      <c r="F74" s="11"/>
      <c r="G74" s="11"/>
      <c r="H74" s="11"/>
      <c r="I74" s="4">
        <v>0.22</v>
      </c>
      <c r="K74" s="5">
        <v>2017</v>
      </c>
      <c r="L74" s="4" t="s">
        <v>4</v>
      </c>
      <c r="M74" s="6">
        <v>21.329999999999995</v>
      </c>
      <c r="N74" s="6"/>
      <c r="O74" s="6"/>
      <c r="P74" s="6"/>
      <c r="Q74" s="6"/>
      <c r="R74" s="6"/>
      <c r="S74" s="6">
        <v>21.329999999999995</v>
      </c>
      <c r="U74" s="5">
        <v>2020</v>
      </c>
      <c r="V74" s="4" t="s">
        <v>11</v>
      </c>
      <c r="W74" s="6"/>
      <c r="X74" s="6"/>
      <c r="Y74" s="6"/>
      <c r="Z74" s="6"/>
      <c r="AA74" s="6"/>
      <c r="AB74" s="6">
        <v>15.96</v>
      </c>
      <c r="AC74" s="6"/>
      <c r="AD74" s="6">
        <v>15.96</v>
      </c>
    </row>
    <row r="75" spans="1:40" x14ac:dyDescent="0.25">
      <c r="A75" s="5">
        <v>2018</v>
      </c>
      <c r="B75" s="11" t="s">
        <v>6</v>
      </c>
      <c r="C75" s="11">
        <v>6.7500000000000009</v>
      </c>
      <c r="D75" s="11"/>
      <c r="E75" s="11"/>
      <c r="F75" s="11"/>
      <c r="G75" s="11">
        <v>12.299999999999999</v>
      </c>
      <c r="H75" s="11"/>
      <c r="I75" s="4">
        <v>19.05</v>
      </c>
      <c r="K75" s="5">
        <v>2017</v>
      </c>
      <c r="L75" s="4" t="s">
        <v>5</v>
      </c>
      <c r="M75" s="6">
        <v>17</v>
      </c>
      <c r="N75" s="6"/>
      <c r="O75" s="6"/>
      <c r="P75" s="6">
        <v>0.35</v>
      </c>
      <c r="Q75" s="6">
        <v>0.20800000000000002</v>
      </c>
      <c r="R75" s="6"/>
      <c r="S75" s="6">
        <v>17.558</v>
      </c>
      <c r="U75" s="5">
        <v>2020</v>
      </c>
      <c r="V75" s="4" t="s">
        <v>12</v>
      </c>
      <c r="W75" s="6"/>
      <c r="X75" s="6"/>
      <c r="Y75" s="6"/>
      <c r="Z75" s="6"/>
      <c r="AA75" s="6"/>
      <c r="AB75" s="6">
        <v>11.058</v>
      </c>
      <c r="AC75" s="6"/>
      <c r="AD75" s="6">
        <v>11.058</v>
      </c>
      <c r="AF75" s="23"/>
      <c r="AG75" s="23"/>
      <c r="AH75" s="23"/>
      <c r="AI75" s="23"/>
      <c r="AJ75" s="23"/>
      <c r="AK75" s="23"/>
      <c r="AL75" s="23"/>
      <c r="AM75" s="23"/>
      <c r="AN75" s="20"/>
    </row>
    <row r="76" spans="1:40" x14ac:dyDescent="0.25">
      <c r="A76" s="5">
        <v>2018</v>
      </c>
      <c r="B76" s="11" t="s">
        <v>8</v>
      </c>
      <c r="C76" s="11">
        <v>5.5</v>
      </c>
      <c r="D76" s="11"/>
      <c r="E76" s="11"/>
      <c r="F76" s="11"/>
      <c r="G76" s="11"/>
      <c r="H76" s="11"/>
      <c r="I76" s="4">
        <v>5.5</v>
      </c>
      <c r="K76" s="5">
        <v>2017</v>
      </c>
      <c r="L76" s="4" t="s">
        <v>6</v>
      </c>
      <c r="M76" s="6">
        <v>16.899999999999995</v>
      </c>
      <c r="N76" s="6"/>
      <c r="O76" s="6">
        <v>3478.9289999999969</v>
      </c>
      <c r="P76" s="6">
        <v>1.05</v>
      </c>
      <c r="Q76" s="6"/>
      <c r="R76" s="6"/>
      <c r="S76" s="6">
        <v>3496.8789999999972</v>
      </c>
      <c r="U76" s="5">
        <v>2020</v>
      </c>
      <c r="V76" s="4" t="s">
        <v>13</v>
      </c>
      <c r="W76" s="6"/>
      <c r="X76" s="6"/>
      <c r="Y76" s="6"/>
      <c r="Z76" s="6"/>
      <c r="AA76" s="6">
        <v>6.33</v>
      </c>
      <c r="AB76" s="6"/>
      <c r="AC76" s="6"/>
      <c r="AD76" s="6">
        <v>6.33</v>
      </c>
      <c r="AF76" s="23"/>
      <c r="AG76" s="23"/>
      <c r="AH76" s="23"/>
      <c r="AI76" s="23"/>
      <c r="AJ76" s="23"/>
      <c r="AK76" s="23"/>
      <c r="AL76" s="23"/>
      <c r="AM76" s="23"/>
    </row>
    <row r="77" spans="1:40" x14ac:dyDescent="0.25">
      <c r="A77" s="5">
        <v>2018</v>
      </c>
      <c r="B77" s="11" t="s">
        <v>11</v>
      </c>
      <c r="C77" s="11"/>
      <c r="D77" s="11"/>
      <c r="E77" s="11"/>
      <c r="F77" s="11"/>
      <c r="G77" s="11">
        <v>3.0000000000000001E-3</v>
      </c>
      <c r="H77" s="11"/>
      <c r="I77" s="4">
        <v>3.0000000000000001E-3</v>
      </c>
      <c r="K77" s="5">
        <v>2017</v>
      </c>
      <c r="L77" s="4" t="s">
        <v>7</v>
      </c>
      <c r="M77" s="6">
        <v>6.0979999999999999</v>
      </c>
      <c r="N77" s="6"/>
      <c r="O77" s="6">
        <v>285.33699999999988</v>
      </c>
      <c r="P77" s="6"/>
      <c r="Q77" s="6">
        <v>0.13600000000000001</v>
      </c>
      <c r="R77" s="6"/>
      <c r="S77" s="6">
        <v>291.57099999999991</v>
      </c>
      <c r="U77" s="5">
        <v>2020</v>
      </c>
      <c r="V77" s="4" t="s">
        <v>14</v>
      </c>
      <c r="W77" s="6"/>
      <c r="X77" s="6"/>
      <c r="Y77" s="6">
        <v>3.3660000000000001</v>
      </c>
      <c r="Z77" s="6"/>
      <c r="AA77" s="6">
        <v>0.38899999999999996</v>
      </c>
      <c r="AB77" s="6"/>
      <c r="AC77" s="6"/>
      <c r="AD77" s="6">
        <v>3.7549999999999999</v>
      </c>
      <c r="AF77" s="23"/>
      <c r="AG77" s="23"/>
      <c r="AH77" s="23"/>
      <c r="AI77" s="23"/>
      <c r="AJ77" s="23"/>
      <c r="AK77" s="23"/>
      <c r="AL77" s="23"/>
      <c r="AM77" s="23"/>
    </row>
    <row r="78" spans="1:40" x14ac:dyDescent="0.25">
      <c r="A78" s="5">
        <v>2018</v>
      </c>
      <c r="B78" s="11" t="s">
        <v>12</v>
      </c>
      <c r="C78" s="11">
        <v>6.6999999999999993</v>
      </c>
      <c r="D78" s="11"/>
      <c r="E78" s="11"/>
      <c r="F78" s="11"/>
      <c r="G78" s="11">
        <v>8.0000000000000002E-3</v>
      </c>
      <c r="H78" s="11"/>
      <c r="I78" s="4">
        <v>6.7079999999999993</v>
      </c>
      <c r="K78" s="5">
        <v>2017</v>
      </c>
      <c r="L78" s="4" t="s">
        <v>8</v>
      </c>
      <c r="M78" s="6">
        <v>3.7399999999999998</v>
      </c>
      <c r="N78" s="6"/>
      <c r="O78" s="6">
        <v>120.45899999999999</v>
      </c>
      <c r="P78" s="6">
        <v>2.02</v>
      </c>
      <c r="Q78" s="6">
        <v>0.55000000000000004</v>
      </c>
      <c r="R78" s="6"/>
      <c r="S78" s="6">
        <v>126.76899999999998</v>
      </c>
      <c r="U78" s="5">
        <v>2020</v>
      </c>
      <c r="V78" s="4" t="s">
        <v>15</v>
      </c>
      <c r="W78" s="6"/>
      <c r="X78" s="6"/>
      <c r="Y78" s="6"/>
      <c r="Z78" s="6"/>
      <c r="AA78" s="6"/>
      <c r="AB78" s="6">
        <v>3</v>
      </c>
      <c r="AC78" s="6"/>
      <c r="AD78" s="6">
        <v>3</v>
      </c>
      <c r="AF78" s="23"/>
      <c r="AG78" s="23"/>
      <c r="AH78" s="23"/>
      <c r="AI78" s="23"/>
      <c r="AJ78" s="23"/>
      <c r="AK78" s="23"/>
      <c r="AL78" s="23"/>
      <c r="AM78" s="23"/>
    </row>
    <row r="79" spans="1:40" x14ac:dyDescent="0.25">
      <c r="A79" s="5">
        <v>2018</v>
      </c>
      <c r="B79" s="11" t="s">
        <v>13</v>
      </c>
      <c r="C79" s="11">
        <v>0.35</v>
      </c>
      <c r="D79" s="11"/>
      <c r="E79" s="11"/>
      <c r="F79" s="11"/>
      <c r="G79" s="11"/>
      <c r="H79" s="11"/>
      <c r="I79" s="4">
        <v>0.35</v>
      </c>
      <c r="K79" s="5">
        <v>2017</v>
      </c>
      <c r="L79" s="4" t="s">
        <v>9</v>
      </c>
      <c r="M79" s="6">
        <v>4.2079999999999993</v>
      </c>
      <c r="N79" s="6"/>
      <c r="O79" s="6">
        <v>45.182000000000002</v>
      </c>
      <c r="P79" s="6"/>
      <c r="Q79" s="6"/>
      <c r="R79" s="6"/>
      <c r="S79" s="6">
        <v>49.39</v>
      </c>
      <c r="U79" s="5">
        <v>2021</v>
      </c>
      <c r="V79" s="4" t="s">
        <v>6</v>
      </c>
      <c r="W79" s="6"/>
      <c r="X79" s="6"/>
      <c r="Y79" s="6">
        <v>211.93699999999995</v>
      </c>
      <c r="Z79" s="6"/>
      <c r="AA79" s="6"/>
      <c r="AB79" s="6">
        <v>1.1499999999999999</v>
      </c>
      <c r="AC79" s="6"/>
      <c r="AD79" s="6">
        <v>213.08699999999996</v>
      </c>
      <c r="AF79" s="23"/>
      <c r="AG79" s="23"/>
      <c r="AH79" s="23"/>
      <c r="AI79" s="23"/>
      <c r="AJ79" s="23"/>
      <c r="AK79" s="23"/>
      <c r="AL79" s="23"/>
      <c r="AM79" s="23"/>
    </row>
    <row r="80" spans="1:40" x14ac:dyDescent="0.25">
      <c r="A80" s="5">
        <v>2018</v>
      </c>
      <c r="B80" s="11" t="s">
        <v>15</v>
      </c>
      <c r="C80" s="11">
        <v>0.75</v>
      </c>
      <c r="D80" s="11"/>
      <c r="E80" s="11"/>
      <c r="F80" s="11"/>
      <c r="G80" s="11"/>
      <c r="H80" s="11"/>
      <c r="I80" s="4">
        <v>0.75</v>
      </c>
      <c r="K80" s="5">
        <v>2017</v>
      </c>
      <c r="L80" s="4" t="s">
        <v>10</v>
      </c>
      <c r="M80" s="6">
        <v>3.6</v>
      </c>
      <c r="N80" s="6"/>
      <c r="O80" s="6">
        <v>47.148000000000003</v>
      </c>
      <c r="P80" s="6"/>
      <c r="Q80" s="6"/>
      <c r="R80" s="6">
        <v>0.51</v>
      </c>
      <c r="S80" s="6">
        <v>51.258000000000003</v>
      </c>
      <c r="U80" s="5">
        <v>2021</v>
      </c>
      <c r="V80" s="4" t="s">
        <v>7</v>
      </c>
      <c r="W80" s="6"/>
      <c r="X80" s="6"/>
      <c r="Y80" s="6">
        <v>334.92199999999997</v>
      </c>
      <c r="Z80" s="6"/>
      <c r="AA80" s="6"/>
      <c r="AB80" s="6"/>
      <c r="AC80" s="6"/>
      <c r="AD80" s="6">
        <v>334.92199999999997</v>
      </c>
      <c r="AF80" s="23"/>
      <c r="AG80" s="23"/>
      <c r="AH80" s="23"/>
      <c r="AI80" s="23"/>
      <c r="AJ80" s="23"/>
      <c r="AK80" s="23"/>
      <c r="AL80" s="23"/>
      <c r="AM80" s="23"/>
    </row>
    <row r="81" spans="1:39" x14ac:dyDescent="0.25">
      <c r="A81" s="5">
        <v>2019</v>
      </c>
      <c r="B81" s="11" t="s">
        <v>4</v>
      </c>
      <c r="C81" s="11">
        <v>5.1500000000000012</v>
      </c>
      <c r="D81" s="11"/>
      <c r="E81" s="11"/>
      <c r="F81" s="11"/>
      <c r="G81" s="11">
        <v>16.350000000000001</v>
      </c>
      <c r="H81" s="11"/>
      <c r="I81" s="4">
        <v>21.500000000000004</v>
      </c>
      <c r="K81" s="5">
        <v>2017</v>
      </c>
      <c r="L81" s="4" t="s">
        <v>11</v>
      </c>
      <c r="M81" s="6">
        <v>4.4700000000000006</v>
      </c>
      <c r="N81" s="6"/>
      <c r="O81" s="6"/>
      <c r="P81" s="6"/>
      <c r="Q81" s="6"/>
      <c r="R81" s="6"/>
      <c r="S81" s="6">
        <v>4.4700000000000006</v>
      </c>
      <c r="U81" s="5">
        <v>2021</v>
      </c>
      <c r="V81" s="4" t="s">
        <v>8</v>
      </c>
      <c r="W81" s="6"/>
      <c r="X81" s="6"/>
      <c r="Y81" s="6">
        <v>303.39300000000003</v>
      </c>
      <c r="Z81" s="6"/>
      <c r="AA81" s="6"/>
      <c r="AB81" s="6">
        <v>1.2</v>
      </c>
      <c r="AC81" s="6"/>
      <c r="AD81" s="6">
        <v>304.59300000000002</v>
      </c>
      <c r="AF81" s="23"/>
      <c r="AG81" s="23"/>
      <c r="AH81" s="23"/>
      <c r="AI81" s="23"/>
      <c r="AJ81" s="23"/>
      <c r="AK81" s="23"/>
      <c r="AL81" s="23"/>
      <c r="AM81" s="23"/>
    </row>
    <row r="82" spans="1:39" x14ac:dyDescent="0.25">
      <c r="A82" s="5">
        <v>2019</v>
      </c>
      <c r="B82" s="11" t="s">
        <v>5</v>
      </c>
      <c r="C82" s="11">
        <v>0.85000000000000009</v>
      </c>
      <c r="D82" s="11"/>
      <c r="E82" s="11"/>
      <c r="F82" s="11"/>
      <c r="G82" s="11"/>
      <c r="H82" s="11"/>
      <c r="I82" s="4">
        <v>0.85000000000000009</v>
      </c>
      <c r="K82" s="5">
        <v>2017</v>
      </c>
      <c r="L82" s="4" t="s">
        <v>12</v>
      </c>
      <c r="M82" s="6">
        <v>12.280000000000001</v>
      </c>
      <c r="N82" s="6"/>
      <c r="O82" s="6"/>
      <c r="P82" s="6"/>
      <c r="Q82" s="6"/>
      <c r="R82" s="6"/>
      <c r="S82" s="6">
        <v>12.280000000000001</v>
      </c>
      <c r="U82" s="5">
        <v>2021</v>
      </c>
      <c r="V82" s="4" t="s">
        <v>9</v>
      </c>
      <c r="W82" s="6"/>
      <c r="X82" s="6"/>
      <c r="Y82" s="6">
        <v>8.0760000000000005</v>
      </c>
      <c r="Z82" s="6"/>
      <c r="AA82" s="6"/>
      <c r="AB82" s="6"/>
      <c r="AC82" s="6"/>
      <c r="AD82" s="6">
        <v>8.0760000000000005</v>
      </c>
      <c r="AF82" s="23"/>
      <c r="AG82" s="23"/>
      <c r="AH82" s="23"/>
      <c r="AI82" s="23"/>
      <c r="AJ82" s="23"/>
      <c r="AK82" s="23"/>
      <c r="AL82" s="23"/>
      <c r="AM82" s="23"/>
    </row>
    <row r="83" spans="1:39" x14ac:dyDescent="0.25">
      <c r="A83" s="5">
        <v>2019</v>
      </c>
      <c r="B83" s="11" t="s">
        <v>6</v>
      </c>
      <c r="C83" s="11">
        <v>9.1300000000000008</v>
      </c>
      <c r="D83" s="11"/>
      <c r="E83" s="11"/>
      <c r="F83" s="11"/>
      <c r="G83" s="11"/>
      <c r="H83" s="11"/>
      <c r="I83" s="4">
        <v>9.1300000000000008</v>
      </c>
      <c r="K83" s="5">
        <v>2017</v>
      </c>
      <c r="L83" s="4" t="s">
        <v>13</v>
      </c>
      <c r="M83" s="6">
        <v>8.8740000000000006</v>
      </c>
      <c r="N83" s="6"/>
      <c r="O83" s="6"/>
      <c r="P83" s="6"/>
      <c r="Q83" s="6"/>
      <c r="R83" s="6"/>
      <c r="S83" s="6">
        <v>8.8740000000000006</v>
      </c>
      <c r="U83" s="5">
        <v>2021</v>
      </c>
      <c r="V83" s="4" t="s">
        <v>10</v>
      </c>
      <c r="W83" s="6"/>
      <c r="X83" s="6"/>
      <c r="Y83" s="6">
        <v>1.1499999999999999</v>
      </c>
      <c r="Z83" s="6"/>
      <c r="AA83" s="6"/>
      <c r="AB83" s="6"/>
      <c r="AC83" s="6"/>
      <c r="AD83" s="6">
        <v>1.1499999999999999</v>
      </c>
      <c r="AF83" s="23"/>
      <c r="AG83" s="23"/>
      <c r="AH83" s="23"/>
      <c r="AI83" s="23"/>
      <c r="AJ83" s="23"/>
      <c r="AK83" s="23"/>
      <c r="AL83" s="23"/>
      <c r="AM83" s="23"/>
    </row>
    <row r="84" spans="1:39" x14ac:dyDescent="0.25">
      <c r="A84" s="5">
        <v>2019</v>
      </c>
      <c r="B84" s="11" t="s">
        <v>7</v>
      </c>
      <c r="C84" s="11">
        <v>8.4499999999999993</v>
      </c>
      <c r="D84" s="11"/>
      <c r="E84" s="11"/>
      <c r="F84" s="11"/>
      <c r="G84" s="11"/>
      <c r="H84" s="11"/>
      <c r="I84" s="4">
        <v>8.4499999999999993</v>
      </c>
      <c r="K84" s="5">
        <v>2017</v>
      </c>
      <c r="L84" s="4" t="s">
        <v>14</v>
      </c>
      <c r="M84" s="6">
        <v>16.979999999999997</v>
      </c>
      <c r="N84" s="6"/>
      <c r="O84" s="6">
        <v>162.49800000000002</v>
      </c>
      <c r="P84" s="6"/>
      <c r="Q84" s="6"/>
      <c r="R84" s="6">
        <v>9.7000000000000003E-2</v>
      </c>
      <c r="S84" s="6">
        <v>179.57500000000002</v>
      </c>
      <c r="U84" s="5">
        <v>2021</v>
      </c>
      <c r="V84" s="4" t="s">
        <v>14</v>
      </c>
      <c r="W84" s="6"/>
      <c r="X84" s="6"/>
      <c r="Y84" s="6">
        <v>2.1629999999999998</v>
      </c>
      <c r="Z84" s="6"/>
      <c r="AA84" s="6">
        <v>0.05</v>
      </c>
      <c r="AB84" s="6"/>
      <c r="AC84" s="6"/>
      <c r="AD84" s="6">
        <v>2.2129999999999996</v>
      </c>
    </row>
    <row r="85" spans="1:39" x14ac:dyDescent="0.25">
      <c r="A85" s="5">
        <v>2019</v>
      </c>
      <c r="B85" s="11" t="s">
        <v>8</v>
      </c>
      <c r="C85" s="11">
        <v>0.7</v>
      </c>
      <c r="D85" s="11"/>
      <c r="E85" s="11"/>
      <c r="F85" s="11"/>
      <c r="G85" s="11"/>
      <c r="H85" s="11"/>
      <c r="I85" s="4">
        <v>0.7</v>
      </c>
      <c r="K85" s="5">
        <v>2017</v>
      </c>
      <c r="L85" s="4" t="s">
        <v>15</v>
      </c>
      <c r="M85" s="6">
        <v>4.7949999999999999</v>
      </c>
      <c r="N85" s="6"/>
      <c r="O85" s="6">
        <v>38.774999999999999</v>
      </c>
      <c r="P85" s="6"/>
      <c r="Q85" s="6">
        <v>0.7629999999999999</v>
      </c>
      <c r="R85" s="6"/>
      <c r="S85" s="6">
        <v>44.332999999999998</v>
      </c>
      <c r="U85" s="5">
        <v>2021</v>
      </c>
      <c r="V85" s="4" t="s">
        <v>15</v>
      </c>
      <c r="W85" s="6"/>
      <c r="X85" s="6"/>
      <c r="Y85" s="6"/>
      <c r="Z85" s="6"/>
      <c r="AA85" s="6"/>
      <c r="AB85" s="6">
        <v>12.399999999999999</v>
      </c>
      <c r="AC85" s="6"/>
      <c r="AD85" s="6">
        <v>12.399999999999999</v>
      </c>
    </row>
    <row r="86" spans="1:39" x14ac:dyDescent="0.25">
      <c r="A86" s="5">
        <v>2019</v>
      </c>
      <c r="B86" s="11" t="s">
        <v>9</v>
      </c>
      <c r="C86" s="11">
        <v>0.25</v>
      </c>
      <c r="D86" s="11"/>
      <c r="E86" s="11"/>
      <c r="F86" s="11"/>
      <c r="G86" s="11"/>
      <c r="H86" s="11"/>
      <c r="I86" s="4">
        <v>0.25</v>
      </c>
      <c r="K86" s="5">
        <v>2018</v>
      </c>
      <c r="L86" s="4" t="s">
        <v>4</v>
      </c>
      <c r="M86" s="6">
        <v>23.148999999999997</v>
      </c>
      <c r="N86" s="6"/>
      <c r="O86" s="6"/>
      <c r="P86" s="6"/>
      <c r="Q86" s="6"/>
      <c r="R86" s="6"/>
      <c r="S86" s="6">
        <v>23.148999999999997</v>
      </c>
      <c r="U86" s="5">
        <v>2022</v>
      </c>
      <c r="V86" s="4" t="s">
        <v>4</v>
      </c>
      <c r="W86" s="6"/>
      <c r="X86" s="6"/>
      <c r="Y86" s="6"/>
      <c r="Z86" s="6"/>
      <c r="AA86" s="6"/>
      <c r="AB86" s="6">
        <v>9.6999999999999993</v>
      </c>
      <c r="AC86" s="6"/>
      <c r="AD86" s="6">
        <v>9.6999999999999993</v>
      </c>
    </row>
    <row r="87" spans="1:39" x14ac:dyDescent="0.25">
      <c r="A87" s="5">
        <v>2019</v>
      </c>
      <c r="B87" s="11" t="s">
        <v>10</v>
      </c>
      <c r="C87" s="11">
        <v>0.15</v>
      </c>
      <c r="D87" s="11"/>
      <c r="E87" s="11"/>
      <c r="F87" s="11"/>
      <c r="G87" s="11"/>
      <c r="H87" s="11"/>
      <c r="I87" s="4">
        <v>0.15</v>
      </c>
      <c r="K87" s="5">
        <v>2018</v>
      </c>
      <c r="L87" s="4" t="s">
        <v>5</v>
      </c>
      <c r="M87" s="6">
        <v>4.8499999999999996</v>
      </c>
      <c r="N87" s="6"/>
      <c r="O87" s="6"/>
      <c r="P87" s="6"/>
      <c r="Q87" s="6">
        <v>0.2</v>
      </c>
      <c r="R87" s="6">
        <v>2.1000000000000001E-2</v>
      </c>
      <c r="S87" s="6">
        <v>5.0709999999999997</v>
      </c>
      <c r="U87" s="5">
        <v>2022</v>
      </c>
      <c r="V87" s="4" t="s">
        <v>5</v>
      </c>
      <c r="W87" s="6">
        <v>0.2</v>
      </c>
      <c r="X87" s="6"/>
      <c r="Y87" s="6"/>
      <c r="Z87" s="6"/>
      <c r="AA87" s="6"/>
      <c r="AB87" s="6">
        <v>42</v>
      </c>
      <c r="AC87" s="6"/>
      <c r="AD87" s="6">
        <v>42.2</v>
      </c>
    </row>
    <row r="88" spans="1:39" x14ac:dyDescent="0.25">
      <c r="A88" s="5">
        <v>2019</v>
      </c>
      <c r="B88" s="11" t="s">
        <v>14</v>
      </c>
      <c r="C88" s="11">
        <v>1.7000000000000002</v>
      </c>
      <c r="D88" s="11"/>
      <c r="E88" s="11"/>
      <c r="F88" s="11"/>
      <c r="G88" s="11"/>
      <c r="H88" s="11"/>
      <c r="I88" s="4">
        <v>1.7000000000000002</v>
      </c>
      <c r="K88" s="5">
        <v>2018</v>
      </c>
      <c r="L88" s="4" t="s">
        <v>6</v>
      </c>
      <c r="M88" s="6">
        <v>1.3399999999999999</v>
      </c>
      <c r="N88" s="6"/>
      <c r="O88" s="6">
        <v>2074.3130000000006</v>
      </c>
      <c r="P88" s="6"/>
      <c r="Q88" s="6"/>
      <c r="R88" s="6"/>
      <c r="S88" s="6">
        <v>2075.6530000000007</v>
      </c>
      <c r="U88" s="5">
        <v>2022</v>
      </c>
      <c r="V88" s="4" t="s">
        <v>6</v>
      </c>
      <c r="W88" s="6"/>
      <c r="X88" s="6"/>
      <c r="Y88" s="6">
        <v>828.84600000000012</v>
      </c>
      <c r="Z88" s="6"/>
      <c r="AA88" s="6"/>
      <c r="AB88" s="6">
        <v>128.80000000000001</v>
      </c>
      <c r="AC88" s="6"/>
      <c r="AD88" s="6">
        <v>957.64600000000019</v>
      </c>
    </row>
    <row r="89" spans="1:39" x14ac:dyDescent="0.25">
      <c r="A89" s="5">
        <v>2019</v>
      </c>
      <c r="B89" s="11" t="s">
        <v>15</v>
      </c>
      <c r="C89" s="11">
        <v>14.129999999999999</v>
      </c>
      <c r="D89" s="11"/>
      <c r="E89" s="11"/>
      <c r="F89" s="11"/>
      <c r="G89" s="11">
        <v>14.600000000000001</v>
      </c>
      <c r="H89" s="11"/>
      <c r="I89" s="4">
        <v>28.73</v>
      </c>
      <c r="K89" s="5">
        <v>2018</v>
      </c>
      <c r="L89" s="4" t="s">
        <v>7</v>
      </c>
      <c r="M89" s="6">
        <v>0.04</v>
      </c>
      <c r="N89" s="6"/>
      <c r="O89" s="6">
        <v>961.68600000000004</v>
      </c>
      <c r="P89" s="6"/>
      <c r="Q89" s="6"/>
      <c r="R89" s="6"/>
      <c r="S89" s="6">
        <v>961.726</v>
      </c>
      <c r="U89" s="5">
        <v>2022</v>
      </c>
      <c r="V89" s="4" t="s">
        <v>7</v>
      </c>
      <c r="W89" s="6"/>
      <c r="X89" s="6"/>
      <c r="Y89" s="6">
        <v>115.434</v>
      </c>
      <c r="Z89" s="6"/>
      <c r="AA89" s="6"/>
      <c r="AB89" s="6">
        <v>13</v>
      </c>
      <c r="AC89" s="6"/>
      <c r="AD89" s="6">
        <v>128.434</v>
      </c>
    </row>
    <row r="90" spans="1:39" x14ac:dyDescent="0.25">
      <c r="A90" s="5">
        <v>2020</v>
      </c>
      <c r="B90" s="11" t="s">
        <v>4</v>
      </c>
      <c r="C90" s="11">
        <v>4.7</v>
      </c>
      <c r="D90" s="11"/>
      <c r="E90" s="11">
        <v>38.075000000000003</v>
      </c>
      <c r="F90" s="11"/>
      <c r="G90" s="11"/>
      <c r="H90" s="11"/>
      <c r="I90" s="4">
        <v>42.775000000000006</v>
      </c>
      <c r="K90" s="5">
        <v>2018</v>
      </c>
      <c r="L90" s="4" t="s">
        <v>8</v>
      </c>
      <c r="M90" s="6">
        <v>1.04</v>
      </c>
      <c r="N90" s="6"/>
      <c r="O90" s="6">
        <v>182.85</v>
      </c>
      <c r="P90" s="6"/>
      <c r="Q90" s="6"/>
      <c r="R90" s="6"/>
      <c r="S90" s="6">
        <v>183.89</v>
      </c>
      <c r="U90" s="5">
        <v>2022</v>
      </c>
      <c r="V90" s="4" t="s">
        <v>8</v>
      </c>
      <c r="W90" s="6"/>
      <c r="X90" s="6"/>
      <c r="Y90" s="6">
        <v>47.933999999999997</v>
      </c>
      <c r="Z90" s="6"/>
      <c r="AA90" s="6"/>
      <c r="AB90" s="6">
        <v>136.07999999999998</v>
      </c>
      <c r="AC90" s="6"/>
      <c r="AD90" s="6">
        <v>184.01399999999998</v>
      </c>
    </row>
    <row r="91" spans="1:39" x14ac:dyDescent="0.25">
      <c r="A91" s="5">
        <v>2020</v>
      </c>
      <c r="B91" s="11" t="s">
        <v>5</v>
      </c>
      <c r="C91" s="11">
        <v>3.8000000000000003</v>
      </c>
      <c r="D91" s="11"/>
      <c r="E91" s="11"/>
      <c r="F91" s="11"/>
      <c r="G91" s="11"/>
      <c r="H91" s="11"/>
      <c r="I91" s="4">
        <v>3.8000000000000003</v>
      </c>
      <c r="K91" s="5">
        <v>2018</v>
      </c>
      <c r="L91" s="4" t="s">
        <v>9</v>
      </c>
      <c r="M91" s="6"/>
      <c r="N91" s="6"/>
      <c r="O91" s="6">
        <v>238.03299999999999</v>
      </c>
      <c r="P91" s="6"/>
      <c r="Q91" s="6"/>
      <c r="R91" s="6">
        <v>0.09</v>
      </c>
      <c r="S91" s="6">
        <v>238.12299999999999</v>
      </c>
      <c r="U91" s="5">
        <v>2022</v>
      </c>
      <c r="V91" s="4" t="s">
        <v>9</v>
      </c>
      <c r="W91" s="6"/>
      <c r="X91" s="6"/>
      <c r="Y91" s="6">
        <v>13.361000000000001</v>
      </c>
      <c r="Z91" s="6"/>
      <c r="AA91" s="6">
        <v>1</v>
      </c>
      <c r="AB91" s="6">
        <v>55.3</v>
      </c>
      <c r="AC91" s="6"/>
      <c r="AD91" s="6">
        <v>69.661000000000001</v>
      </c>
    </row>
    <row r="92" spans="1:39" x14ac:dyDescent="0.25">
      <c r="A92" s="5">
        <v>2020</v>
      </c>
      <c r="B92" s="11" t="s">
        <v>6</v>
      </c>
      <c r="C92" s="11">
        <v>2.4</v>
      </c>
      <c r="D92" s="11"/>
      <c r="E92" s="11"/>
      <c r="F92" s="11"/>
      <c r="G92" s="11"/>
      <c r="H92" s="11"/>
      <c r="I92" s="4">
        <v>2.4</v>
      </c>
      <c r="K92" s="5">
        <v>2018</v>
      </c>
      <c r="L92" s="4" t="s">
        <v>11</v>
      </c>
      <c r="M92" s="6">
        <v>10.7</v>
      </c>
      <c r="N92" s="6"/>
      <c r="O92" s="6"/>
      <c r="P92" s="6"/>
      <c r="Q92" s="6"/>
      <c r="R92" s="6">
        <v>3.5000000000000003E-2</v>
      </c>
      <c r="S92" s="6">
        <v>10.734999999999999</v>
      </c>
      <c r="U92" s="5">
        <v>2022</v>
      </c>
      <c r="V92" s="4" t="s">
        <v>11</v>
      </c>
      <c r="W92" s="6"/>
      <c r="X92" s="6"/>
      <c r="Y92" s="6">
        <v>1.8720000000000001</v>
      </c>
      <c r="Z92" s="6"/>
      <c r="AA92" s="6"/>
      <c r="AB92" s="6"/>
      <c r="AC92" s="6"/>
      <c r="AD92" s="6">
        <v>1.8720000000000001</v>
      </c>
    </row>
    <row r="93" spans="1:39" x14ac:dyDescent="0.25">
      <c r="A93" s="5">
        <v>2020</v>
      </c>
      <c r="B93" s="11" t="s">
        <v>7</v>
      </c>
      <c r="C93" s="11">
        <v>3.1999999999999997</v>
      </c>
      <c r="D93" s="11"/>
      <c r="E93" s="11"/>
      <c r="F93" s="11"/>
      <c r="G93" s="11"/>
      <c r="H93" s="11"/>
      <c r="I93" s="4">
        <v>3.1999999999999997</v>
      </c>
      <c r="K93" s="5">
        <v>2018</v>
      </c>
      <c r="L93" s="4" t="s">
        <v>12</v>
      </c>
      <c r="M93" s="6"/>
      <c r="N93" s="6"/>
      <c r="O93" s="6"/>
      <c r="P93" s="6"/>
      <c r="Q93" s="6"/>
      <c r="R93" s="6">
        <v>0.20399999999999999</v>
      </c>
      <c r="S93" s="6">
        <v>0.20399999999999999</v>
      </c>
      <c r="U93" s="5">
        <v>2023</v>
      </c>
      <c r="V93" s="4" t="s">
        <v>4</v>
      </c>
      <c r="W93" s="6"/>
      <c r="X93" s="6"/>
      <c r="Y93" s="6"/>
      <c r="Z93" s="6"/>
      <c r="AA93" s="6"/>
      <c r="AB93" s="6">
        <v>68.599999999999994</v>
      </c>
      <c r="AC93" s="6"/>
      <c r="AD93" s="6">
        <v>68.599999999999994</v>
      </c>
    </row>
    <row r="94" spans="1:39" x14ac:dyDescent="0.25">
      <c r="A94" s="5">
        <v>2020</v>
      </c>
      <c r="B94" s="11" t="s">
        <v>8</v>
      </c>
      <c r="C94" s="11">
        <v>7.3</v>
      </c>
      <c r="D94" s="11"/>
      <c r="E94" s="11"/>
      <c r="F94" s="11"/>
      <c r="G94" s="11"/>
      <c r="H94" s="11"/>
      <c r="I94" s="4">
        <v>7.3</v>
      </c>
      <c r="K94" s="5">
        <v>2018</v>
      </c>
      <c r="L94" s="4" t="s">
        <v>13</v>
      </c>
      <c r="M94" s="6">
        <v>2.5000000000000001E-2</v>
      </c>
      <c r="N94" s="6"/>
      <c r="O94" s="6"/>
      <c r="P94" s="6"/>
      <c r="Q94" s="6"/>
      <c r="R94" s="6"/>
      <c r="S94" s="6">
        <v>2.5000000000000001E-2</v>
      </c>
      <c r="U94" s="5">
        <v>2023</v>
      </c>
      <c r="V94" s="4" t="s">
        <v>5</v>
      </c>
      <c r="W94" s="6"/>
      <c r="X94" s="6"/>
      <c r="Y94" s="6"/>
      <c r="Z94" s="6"/>
      <c r="AA94" s="6"/>
      <c r="AB94" s="6">
        <v>1.5</v>
      </c>
      <c r="AC94" s="6"/>
      <c r="AD94" s="6">
        <v>1.5</v>
      </c>
    </row>
    <row r="95" spans="1:39" x14ac:dyDescent="0.25">
      <c r="A95" s="5">
        <v>2020</v>
      </c>
      <c r="B95" s="5" t="s">
        <v>9</v>
      </c>
      <c r="C95" s="5">
        <v>10.600000000000001</v>
      </c>
      <c r="D95" s="5"/>
      <c r="E95" s="5"/>
      <c r="F95" s="5"/>
      <c r="G95" s="5"/>
      <c r="H95" s="5"/>
      <c r="I95" s="4">
        <v>10.600000000000001</v>
      </c>
      <c r="K95" s="5">
        <v>2018</v>
      </c>
      <c r="L95" s="4" t="s">
        <v>14</v>
      </c>
      <c r="M95" s="6"/>
      <c r="N95" s="6"/>
      <c r="O95" s="6">
        <v>338.29800000000006</v>
      </c>
      <c r="P95" s="6"/>
      <c r="Q95" s="6">
        <v>0.52500000000000002</v>
      </c>
      <c r="R95" s="6">
        <v>2.8000000000000001E-2</v>
      </c>
      <c r="S95" s="6">
        <v>338.85100000000006</v>
      </c>
      <c r="U95" s="5">
        <v>2023</v>
      </c>
      <c r="V95" s="4" t="s">
        <v>6</v>
      </c>
      <c r="W95" s="6"/>
      <c r="X95" s="6"/>
      <c r="Y95" s="6">
        <v>307.90300000000002</v>
      </c>
      <c r="Z95" s="6"/>
      <c r="AA95" s="6"/>
      <c r="AB95" s="6"/>
      <c r="AC95" s="6"/>
      <c r="AD95" s="6">
        <v>307.90300000000002</v>
      </c>
    </row>
    <row r="96" spans="1:39" x14ac:dyDescent="0.25">
      <c r="A96" s="5">
        <v>2020</v>
      </c>
      <c r="B96" s="5" t="s">
        <v>10</v>
      </c>
      <c r="C96" s="5">
        <v>5.2</v>
      </c>
      <c r="D96" s="5"/>
      <c r="E96" s="5"/>
      <c r="F96" s="5"/>
      <c r="G96" s="5"/>
      <c r="H96" s="5"/>
      <c r="I96" s="4">
        <v>5.2</v>
      </c>
      <c r="K96" s="5">
        <v>2018</v>
      </c>
      <c r="L96" s="4" t="s">
        <v>15</v>
      </c>
      <c r="M96" s="6"/>
      <c r="N96" s="6"/>
      <c r="O96" s="6">
        <v>76.146000000000015</v>
      </c>
      <c r="P96" s="6"/>
      <c r="Q96" s="6"/>
      <c r="R96" s="6">
        <v>9.8000000000000004E-2</v>
      </c>
      <c r="S96" s="6">
        <v>76.244000000000014</v>
      </c>
      <c r="U96" s="5">
        <v>2023</v>
      </c>
      <c r="V96" s="4" t="s">
        <v>7</v>
      </c>
      <c r="W96" s="6"/>
      <c r="X96" s="6"/>
      <c r="Y96" s="6">
        <v>73.090999999999994</v>
      </c>
      <c r="Z96" s="6"/>
      <c r="AA96" s="6"/>
      <c r="AB96" s="6">
        <v>2</v>
      </c>
      <c r="AC96" s="6"/>
      <c r="AD96" s="6">
        <v>75.090999999999994</v>
      </c>
    </row>
    <row r="97" spans="1:30" x14ac:dyDescent="0.25">
      <c r="A97" s="5">
        <v>2020</v>
      </c>
      <c r="B97" s="5" t="s">
        <v>11</v>
      </c>
      <c r="C97" s="5">
        <v>11.530000000000001</v>
      </c>
      <c r="D97" s="5"/>
      <c r="E97" s="5"/>
      <c r="F97" s="5"/>
      <c r="G97" s="5"/>
      <c r="H97" s="5"/>
      <c r="I97" s="4">
        <v>11.530000000000001</v>
      </c>
      <c r="K97" s="5">
        <v>2019</v>
      </c>
      <c r="L97" s="4" t="s">
        <v>4</v>
      </c>
      <c r="M97" s="6">
        <v>15.68</v>
      </c>
      <c r="N97" s="6"/>
      <c r="O97" s="6"/>
      <c r="P97" s="6"/>
      <c r="Q97" s="6"/>
      <c r="R97" s="6">
        <v>0.03</v>
      </c>
      <c r="S97" s="6">
        <v>15.709999999999999</v>
      </c>
      <c r="U97" s="5">
        <v>2023</v>
      </c>
      <c r="V97" s="4" t="s">
        <v>8</v>
      </c>
      <c r="W97" s="6"/>
      <c r="X97" s="6"/>
      <c r="Y97" s="6">
        <v>63.683</v>
      </c>
      <c r="Z97" s="6"/>
      <c r="AA97" s="6">
        <v>0.21500000000000002</v>
      </c>
      <c r="AB97" s="6"/>
      <c r="AC97" s="6"/>
      <c r="AD97" s="6">
        <v>63.898000000000003</v>
      </c>
    </row>
    <row r="98" spans="1:30" x14ac:dyDescent="0.25">
      <c r="A98" s="5">
        <v>2020</v>
      </c>
      <c r="B98" s="5" t="s">
        <v>12</v>
      </c>
      <c r="C98" s="5">
        <v>1.45</v>
      </c>
      <c r="D98" s="5"/>
      <c r="E98" s="5"/>
      <c r="F98" s="5"/>
      <c r="G98" s="5"/>
      <c r="H98" s="5"/>
      <c r="I98" s="4">
        <v>1.45</v>
      </c>
      <c r="K98" s="5">
        <v>2019</v>
      </c>
      <c r="L98" s="4" t="s">
        <v>5</v>
      </c>
      <c r="M98" s="6">
        <v>15.834</v>
      </c>
      <c r="N98" s="6"/>
      <c r="O98" s="6">
        <v>4.8499999999999996</v>
      </c>
      <c r="P98" s="6">
        <v>0.02</v>
      </c>
      <c r="Q98" s="6"/>
      <c r="R98" s="6">
        <v>4.4999999999999998E-2</v>
      </c>
      <c r="S98" s="6">
        <v>20.748999999999999</v>
      </c>
      <c r="U98" s="5">
        <v>2023</v>
      </c>
      <c r="V98" s="4" t="s">
        <v>9</v>
      </c>
      <c r="W98" s="6"/>
      <c r="X98" s="6"/>
      <c r="Y98" s="6">
        <v>3.7719999999999998</v>
      </c>
      <c r="Z98" s="6"/>
      <c r="AA98" s="6"/>
      <c r="AB98" s="6"/>
      <c r="AC98" s="6"/>
      <c r="AD98" s="6">
        <v>3.7719999999999998</v>
      </c>
    </row>
    <row r="99" spans="1:30" x14ac:dyDescent="0.25">
      <c r="A99" s="5">
        <v>2020</v>
      </c>
      <c r="B99" s="5" t="s">
        <v>14</v>
      </c>
      <c r="C99" s="5">
        <v>0.8</v>
      </c>
      <c r="D99" s="5"/>
      <c r="E99" s="5"/>
      <c r="F99" s="5"/>
      <c r="G99" s="5"/>
      <c r="H99" s="5"/>
      <c r="I99" s="4">
        <v>0.8</v>
      </c>
      <c r="K99" s="5">
        <v>2019</v>
      </c>
      <c r="L99" s="4" t="s">
        <v>6</v>
      </c>
      <c r="M99" s="6">
        <v>19.030000000000005</v>
      </c>
      <c r="N99" s="6"/>
      <c r="O99" s="6">
        <v>1569.5550000000001</v>
      </c>
      <c r="P99" s="6"/>
      <c r="Q99" s="6">
        <v>0.15</v>
      </c>
      <c r="R99" s="6"/>
      <c r="S99" s="6">
        <v>1588.7350000000001</v>
      </c>
      <c r="U99" s="5">
        <v>2023</v>
      </c>
      <c r="V99" s="4" t="s">
        <v>11</v>
      </c>
      <c r="W99" s="6"/>
      <c r="X99" s="6">
        <v>0.25</v>
      </c>
      <c r="Y99" s="6"/>
      <c r="Z99" s="6"/>
      <c r="AA99" s="6"/>
      <c r="AB99" s="6"/>
      <c r="AC99" s="6"/>
      <c r="AD99" s="6">
        <v>0.25</v>
      </c>
    </row>
    <row r="100" spans="1:30" x14ac:dyDescent="0.25">
      <c r="A100" s="5">
        <v>2020</v>
      </c>
      <c r="B100" s="5" t="s">
        <v>15</v>
      </c>
      <c r="C100" s="5">
        <v>2.63</v>
      </c>
      <c r="D100" s="5"/>
      <c r="E100" s="5"/>
      <c r="F100" s="5"/>
      <c r="G100" s="5"/>
      <c r="H100" s="5"/>
      <c r="I100" s="4">
        <v>2.63</v>
      </c>
      <c r="K100" s="5">
        <v>2019</v>
      </c>
      <c r="L100" s="4" t="s">
        <v>7</v>
      </c>
      <c r="M100" s="6">
        <v>18.509999999999998</v>
      </c>
      <c r="N100" s="6"/>
      <c r="O100" s="6">
        <v>193.25</v>
      </c>
      <c r="P100" s="6"/>
      <c r="Q100" s="6">
        <v>0.27</v>
      </c>
      <c r="R100" s="6"/>
      <c r="S100" s="6">
        <v>212.03</v>
      </c>
      <c r="U100" s="5">
        <v>2023</v>
      </c>
      <c r="V100" s="4" t="s">
        <v>14</v>
      </c>
      <c r="W100" s="6"/>
      <c r="X100" s="6"/>
      <c r="Y100" s="6">
        <v>30.785</v>
      </c>
      <c r="Z100" s="6"/>
      <c r="AA100" s="6"/>
      <c r="AB100" s="6"/>
      <c r="AC100" s="6"/>
      <c r="AD100" s="6">
        <v>30.785</v>
      </c>
    </row>
    <row r="101" spans="1:30" x14ac:dyDescent="0.25">
      <c r="A101" s="5">
        <v>2021</v>
      </c>
      <c r="B101" s="5" t="s">
        <v>4</v>
      </c>
      <c r="C101" s="5">
        <v>5.67</v>
      </c>
      <c r="D101" s="5"/>
      <c r="E101" s="5">
        <v>32.260000000000005</v>
      </c>
      <c r="F101" s="5"/>
      <c r="G101" s="5"/>
      <c r="H101" s="5"/>
      <c r="I101" s="4">
        <v>37.930000000000007</v>
      </c>
      <c r="K101" s="5">
        <v>2019</v>
      </c>
      <c r="L101" s="4" t="s">
        <v>8</v>
      </c>
      <c r="M101" s="6">
        <v>10.25</v>
      </c>
      <c r="N101" s="6"/>
      <c r="O101" s="6">
        <v>52.613</v>
      </c>
      <c r="P101" s="6"/>
      <c r="Q101" s="6"/>
      <c r="R101" s="6"/>
      <c r="S101" s="6">
        <v>62.863</v>
      </c>
      <c r="U101" s="5">
        <v>2023</v>
      </c>
      <c r="V101" s="4" t="s">
        <v>15</v>
      </c>
      <c r="W101" s="6"/>
      <c r="X101" s="6"/>
      <c r="Y101" s="6">
        <v>0.11</v>
      </c>
      <c r="Z101" s="6"/>
      <c r="AA101" s="6">
        <v>0.11000000000000001</v>
      </c>
      <c r="AB101" s="6"/>
      <c r="AC101" s="6"/>
      <c r="AD101" s="6">
        <v>0.22000000000000003</v>
      </c>
    </row>
    <row r="102" spans="1:30" x14ac:dyDescent="0.25">
      <c r="A102" s="5">
        <v>2021</v>
      </c>
      <c r="B102" s="5" t="s">
        <v>5</v>
      </c>
      <c r="C102" s="5">
        <v>4.5</v>
      </c>
      <c r="D102" s="5"/>
      <c r="E102" s="5"/>
      <c r="F102" s="5"/>
      <c r="G102" s="5"/>
      <c r="H102" s="5"/>
      <c r="I102" s="4">
        <v>4.5</v>
      </c>
      <c r="K102" s="5">
        <v>2019</v>
      </c>
      <c r="L102" s="4" t="s">
        <v>9</v>
      </c>
      <c r="M102" s="6"/>
      <c r="N102" s="6"/>
      <c r="O102" s="6"/>
      <c r="P102" s="6"/>
      <c r="Q102" s="6">
        <v>0.28000000000000003</v>
      </c>
      <c r="R102" s="6">
        <v>6.5000000000000002E-2</v>
      </c>
      <c r="S102" s="6">
        <v>0.34500000000000003</v>
      </c>
      <c r="U102" s="5">
        <v>2024</v>
      </c>
      <c r="V102" s="4" t="s">
        <v>6</v>
      </c>
      <c r="W102" s="6"/>
      <c r="X102" s="6"/>
      <c r="Y102" s="6">
        <v>476.37199999999996</v>
      </c>
      <c r="Z102" s="6"/>
      <c r="AA102" s="6"/>
      <c r="AB102" s="6"/>
      <c r="AC102" s="6"/>
      <c r="AD102" s="6">
        <v>476.37199999999996</v>
      </c>
    </row>
    <row r="103" spans="1:30" x14ac:dyDescent="0.25">
      <c r="A103" s="5">
        <v>2021</v>
      </c>
      <c r="B103" s="5" t="s">
        <v>6</v>
      </c>
      <c r="C103" s="5">
        <v>5.2</v>
      </c>
      <c r="D103" s="5"/>
      <c r="E103" s="5"/>
      <c r="F103" s="5"/>
      <c r="G103" s="5"/>
      <c r="H103" s="5"/>
      <c r="I103" s="4">
        <v>5.2</v>
      </c>
      <c r="K103" s="5">
        <v>2019</v>
      </c>
      <c r="L103" s="4" t="s">
        <v>10</v>
      </c>
      <c r="M103" s="6"/>
      <c r="N103" s="6"/>
      <c r="O103" s="6"/>
      <c r="P103" s="6"/>
      <c r="Q103" s="6"/>
      <c r="R103" s="6">
        <v>0.16</v>
      </c>
      <c r="S103" s="6">
        <v>0.16</v>
      </c>
      <c r="U103" s="5">
        <v>2024</v>
      </c>
      <c r="V103" s="4" t="s">
        <v>7</v>
      </c>
      <c r="W103" s="6"/>
      <c r="X103" s="6"/>
      <c r="Y103" s="6">
        <v>48.621999999999993</v>
      </c>
      <c r="Z103" s="6"/>
      <c r="AA103" s="6">
        <v>8.5000000000000006E-2</v>
      </c>
      <c r="AB103" s="6"/>
      <c r="AC103" s="6"/>
      <c r="AD103" s="6">
        <v>48.706999999999994</v>
      </c>
    </row>
    <row r="104" spans="1:30" x14ac:dyDescent="0.25">
      <c r="A104" s="5">
        <v>2021</v>
      </c>
      <c r="B104" s="5" t="s">
        <v>7</v>
      </c>
      <c r="C104" s="5">
        <v>9.83</v>
      </c>
      <c r="D104" s="5"/>
      <c r="E104" s="5"/>
      <c r="F104" s="5"/>
      <c r="G104" s="5"/>
      <c r="H104" s="5"/>
      <c r="I104" s="4">
        <v>9.83</v>
      </c>
      <c r="K104" s="5">
        <v>2019</v>
      </c>
      <c r="L104" s="4" t="s">
        <v>11</v>
      </c>
      <c r="M104" s="6"/>
      <c r="N104" s="6"/>
      <c r="O104" s="6">
        <v>0.72</v>
      </c>
      <c r="P104" s="6"/>
      <c r="Q104" s="6"/>
      <c r="R104" s="6"/>
      <c r="S104" s="6">
        <v>0.72</v>
      </c>
      <c r="U104" s="5">
        <v>2024</v>
      </c>
      <c r="V104" s="4" t="s">
        <v>8</v>
      </c>
      <c r="W104" s="6"/>
      <c r="X104" s="6"/>
      <c r="Y104" s="6">
        <v>53.420999999999999</v>
      </c>
      <c r="Z104" s="6"/>
      <c r="AA104" s="6"/>
      <c r="AB104" s="6">
        <v>8.5</v>
      </c>
      <c r="AC104" s="6"/>
      <c r="AD104" s="6">
        <v>61.920999999999999</v>
      </c>
    </row>
    <row r="105" spans="1:30" x14ac:dyDescent="0.25">
      <c r="A105" s="5">
        <v>2021</v>
      </c>
      <c r="B105" s="5" t="s">
        <v>8</v>
      </c>
      <c r="C105" s="5">
        <v>0.87</v>
      </c>
      <c r="D105" s="5"/>
      <c r="E105" s="5"/>
      <c r="F105" s="5"/>
      <c r="G105" s="5">
        <v>0.85</v>
      </c>
      <c r="H105" s="5"/>
      <c r="I105" s="4">
        <v>1.72</v>
      </c>
      <c r="K105" s="5">
        <v>2019</v>
      </c>
      <c r="L105" s="4" t="s">
        <v>12</v>
      </c>
      <c r="M105" s="6">
        <v>0.05</v>
      </c>
      <c r="N105" s="6"/>
      <c r="O105" s="6"/>
      <c r="P105" s="6"/>
      <c r="Q105" s="6"/>
      <c r="R105" s="6"/>
      <c r="S105" s="6">
        <v>0.05</v>
      </c>
      <c r="U105" s="5">
        <v>2024</v>
      </c>
      <c r="V105" s="4" t="s">
        <v>9</v>
      </c>
      <c r="W105" s="6"/>
      <c r="X105" s="6"/>
      <c r="Y105" s="6"/>
      <c r="Z105" s="6"/>
      <c r="AA105" s="6"/>
      <c r="AB105" s="6">
        <v>6.7</v>
      </c>
      <c r="AC105" s="6"/>
      <c r="AD105" s="6">
        <v>6.7</v>
      </c>
    </row>
    <row r="106" spans="1:30" x14ac:dyDescent="0.25">
      <c r="A106" s="5">
        <v>2021</v>
      </c>
      <c r="B106" s="5" t="s">
        <v>9</v>
      </c>
      <c r="C106" s="5">
        <v>3.2</v>
      </c>
      <c r="D106" s="5"/>
      <c r="E106" s="5"/>
      <c r="F106" s="5"/>
      <c r="G106" s="5"/>
      <c r="H106" s="5"/>
      <c r="I106" s="4">
        <v>3.2</v>
      </c>
      <c r="K106" s="5">
        <v>2019</v>
      </c>
      <c r="L106" s="4" t="s">
        <v>13</v>
      </c>
      <c r="M106" s="6">
        <v>0.5</v>
      </c>
      <c r="N106" s="6"/>
      <c r="O106" s="6"/>
      <c r="P106" s="6"/>
      <c r="Q106" s="6"/>
      <c r="R106" s="6"/>
      <c r="S106" s="6">
        <v>0.5</v>
      </c>
      <c r="U106" s="5">
        <v>2024</v>
      </c>
      <c r="V106" s="4" t="s">
        <v>10</v>
      </c>
      <c r="W106" s="6"/>
      <c r="X106" s="6"/>
      <c r="Y106" s="6">
        <v>24.994</v>
      </c>
      <c r="Z106" s="6"/>
      <c r="AA106" s="6"/>
      <c r="AB106" s="6">
        <v>20</v>
      </c>
      <c r="AC106" s="6"/>
      <c r="AD106" s="6">
        <v>44.994</v>
      </c>
    </row>
    <row r="107" spans="1:30" x14ac:dyDescent="0.25">
      <c r="A107" s="5">
        <v>2021</v>
      </c>
      <c r="B107" s="5" t="s">
        <v>10</v>
      </c>
      <c r="C107" s="5">
        <v>9.3999999999999986</v>
      </c>
      <c r="D107" s="5"/>
      <c r="E107" s="5"/>
      <c r="F107" s="5"/>
      <c r="G107" s="5"/>
      <c r="H107" s="5"/>
      <c r="I107" s="4">
        <v>9.3999999999999986</v>
      </c>
      <c r="K107" s="5">
        <v>2019</v>
      </c>
      <c r="L107" s="4" t="s">
        <v>14</v>
      </c>
      <c r="M107" s="6"/>
      <c r="N107" s="6"/>
      <c r="O107" s="6">
        <v>112.13699999999999</v>
      </c>
      <c r="P107" s="6"/>
      <c r="Q107" s="6"/>
      <c r="R107" s="6">
        <v>0.03</v>
      </c>
      <c r="S107" s="6">
        <v>112.16699999999999</v>
      </c>
      <c r="U107" s="5">
        <v>2024</v>
      </c>
      <c r="V107" s="4" t="s">
        <v>11</v>
      </c>
      <c r="W107" s="6"/>
      <c r="X107" s="6"/>
      <c r="Y107" s="6"/>
      <c r="Z107" s="6"/>
      <c r="AA107" s="6"/>
      <c r="AB107" s="6">
        <v>20</v>
      </c>
      <c r="AC107" s="6"/>
      <c r="AD107" s="6">
        <v>20</v>
      </c>
    </row>
    <row r="108" spans="1:30" x14ac:dyDescent="0.25">
      <c r="A108" s="5">
        <v>2021</v>
      </c>
      <c r="B108" s="5" t="s">
        <v>11</v>
      </c>
      <c r="C108" s="5">
        <v>9.6000000000000014</v>
      </c>
      <c r="D108" s="5"/>
      <c r="E108" s="5"/>
      <c r="F108" s="5"/>
      <c r="G108" s="5"/>
      <c r="H108" s="5"/>
      <c r="I108" s="4">
        <v>9.6000000000000014</v>
      </c>
      <c r="K108" s="5">
        <v>2019</v>
      </c>
      <c r="L108" s="4" t="s">
        <v>15</v>
      </c>
      <c r="M108" s="6">
        <v>0.25</v>
      </c>
      <c r="N108" s="6"/>
      <c r="O108" s="6">
        <v>44.107999999999997</v>
      </c>
      <c r="P108" s="6"/>
      <c r="Q108" s="6"/>
      <c r="R108" s="6">
        <v>9</v>
      </c>
      <c r="S108" s="6">
        <v>53.357999999999997</v>
      </c>
      <c r="U108" s="5">
        <v>2024</v>
      </c>
      <c r="V108" s="4" t="s">
        <v>12</v>
      </c>
      <c r="W108" s="6"/>
      <c r="X108" s="6"/>
      <c r="Y108" s="6"/>
      <c r="Z108" s="6"/>
      <c r="AA108" s="6"/>
      <c r="AB108" s="6">
        <v>15</v>
      </c>
      <c r="AC108" s="6"/>
      <c r="AD108" s="6">
        <v>15</v>
      </c>
    </row>
    <row r="109" spans="1:30" x14ac:dyDescent="0.25">
      <c r="A109" s="5">
        <v>2021</v>
      </c>
      <c r="B109" s="5" t="s">
        <v>12</v>
      </c>
      <c r="C109" s="5">
        <v>2.5499999999999998</v>
      </c>
      <c r="D109" s="5"/>
      <c r="E109" s="5">
        <v>6</v>
      </c>
      <c r="F109" s="5"/>
      <c r="G109" s="5"/>
      <c r="H109" s="5"/>
      <c r="I109" s="4">
        <v>8.5500000000000007</v>
      </c>
      <c r="K109" s="5">
        <v>2020</v>
      </c>
      <c r="L109" s="4" t="s">
        <v>4</v>
      </c>
      <c r="M109" s="6">
        <v>2.0499999999999998</v>
      </c>
      <c r="N109" s="6"/>
      <c r="O109" s="6"/>
      <c r="P109" s="6"/>
      <c r="Q109" s="6"/>
      <c r="R109" s="6"/>
      <c r="S109" s="6">
        <v>2.0499999999999998</v>
      </c>
      <c r="U109" s="5">
        <v>2024</v>
      </c>
      <c r="V109" s="4" t="s">
        <v>14</v>
      </c>
      <c r="W109" s="6"/>
      <c r="X109" s="6"/>
      <c r="Y109" s="6">
        <v>4.5339999999999998</v>
      </c>
      <c r="Z109" s="6"/>
      <c r="AA109" s="6"/>
      <c r="AB109" s="6">
        <v>1</v>
      </c>
      <c r="AC109" s="6"/>
      <c r="AD109" s="6">
        <v>5.5339999999999998</v>
      </c>
    </row>
    <row r="110" spans="1:30" x14ac:dyDescent="0.25">
      <c r="A110" s="5">
        <v>2021</v>
      </c>
      <c r="B110" s="5" t="s">
        <v>13</v>
      </c>
      <c r="C110" s="5">
        <v>9.5</v>
      </c>
      <c r="D110" s="5"/>
      <c r="E110" s="5"/>
      <c r="F110" s="5"/>
      <c r="G110" s="5"/>
      <c r="H110" s="5"/>
      <c r="I110" s="4">
        <v>9.5</v>
      </c>
      <c r="K110" s="5">
        <v>2020</v>
      </c>
      <c r="L110" s="4" t="s">
        <v>6</v>
      </c>
      <c r="M110" s="6">
        <v>1.1000000000000001</v>
      </c>
      <c r="N110" s="6"/>
      <c r="O110" s="6">
        <v>1682.3240000000008</v>
      </c>
      <c r="P110" s="6"/>
      <c r="Q110" s="6">
        <v>0.46000000000000008</v>
      </c>
      <c r="R110" s="6"/>
      <c r="S110" s="6">
        <v>1683.8840000000007</v>
      </c>
    </row>
    <row r="111" spans="1:30" x14ac:dyDescent="0.25">
      <c r="A111" s="5">
        <v>2021</v>
      </c>
      <c r="B111" s="5" t="s">
        <v>14</v>
      </c>
      <c r="C111" s="5">
        <v>3.7</v>
      </c>
      <c r="D111" s="5"/>
      <c r="E111" s="5">
        <v>6.55</v>
      </c>
      <c r="F111" s="5"/>
      <c r="G111" s="5"/>
      <c r="H111" s="5"/>
      <c r="I111" s="4">
        <v>10.25</v>
      </c>
      <c r="K111" s="5">
        <v>2020</v>
      </c>
      <c r="L111" s="4" t="s">
        <v>7</v>
      </c>
      <c r="M111" s="6">
        <v>9.1</v>
      </c>
      <c r="N111" s="6"/>
      <c r="O111" s="6">
        <v>523.93500000000006</v>
      </c>
      <c r="P111" s="6"/>
      <c r="Q111" s="6"/>
      <c r="R111" s="6"/>
      <c r="S111" s="6">
        <v>533.03500000000008</v>
      </c>
    </row>
    <row r="112" spans="1:30" x14ac:dyDescent="0.25">
      <c r="A112" s="5">
        <v>2021</v>
      </c>
      <c r="B112" s="5" t="s">
        <v>15</v>
      </c>
      <c r="C112" s="5">
        <v>3.2549999999999999</v>
      </c>
      <c r="D112" s="5"/>
      <c r="E112" s="5">
        <v>11.145</v>
      </c>
      <c r="F112" s="5"/>
      <c r="G112" s="5"/>
      <c r="H112" s="5"/>
      <c r="I112" s="4">
        <v>14.399999999999999</v>
      </c>
      <c r="K112" s="5">
        <v>2020</v>
      </c>
      <c r="L112" s="4" t="s">
        <v>8</v>
      </c>
      <c r="M112" s="6">
        <v>15.749999999999996</v>
      </c>
      <c r="N112" s="6"/>
      <c r="O112" s="6">
        <v>99.388000000000019</v>
      </c>
      <c r="P112" s="6"/>
      <c r="Q112" s="6">
        <v>0.11</v>
      </c>
      <c r="R112" s="6"/>
      <c r="S112" s="6">
        <v>115.24800000000002</v>
      </c>
    </row>
    <row r="113" spans="1:19" x14ac:dyDescent="0.25">
      <c r="A113" s="5">
        <v>2022</v>
      </c>
      <c r="B113" s="5" t="s">
        <v>4</v>
      </c>
      <c r="C113" s="5">
        <v>6.1839999999999993</v>
      </c>
      <c r="D113" s="5"/>
      <c r="E113" s="5">
        <v>55.896000000000001</v>
      </c>
      <c r="F113" s="5">
        <v>0.25</v>
      </c>
      <c r="G113" s="5">
        <v>33.299999999999997</v>
      </c>
      <c r="H113" s="5"/>
      <c r="I113" s="4">
        <v>95.63</v>
      </c>
      <c r="K113" s="5">
        <v>2020</v>
      </c>
      <c r="L113" s="4" t="s">
        <v>9</v>
      </c>
      <c r="M113" s="6">
        <v>3.4999999999999996</v>
      </c>
      <c r="N113" s="6"/>
      <c r="O113" s="6">
        <v>2.7590000000000003</v>
      </c>
      <c r="P113" s="6"/>
      <c r="Q113" s="6"/>
      <c r="R113" s="6"/>
      <c r="S113" s="6">
        <v>6.2590000000000003</v>
      </c>
    </row>
    <row r="114" spans="1:19" x14ac:dyDescent="0.25">
      <c r="A114" s="5">
        <v>2022</v>
      </c>
      <c r="B114" s="5" t="s">
        <v>5</v>
      </c>
      <c r="C114" s="5">
        <v>3.2950000000000004</v>
      </c>
      <c r="D114" s="5"/>
      <c r="E114" s="5"/>
      <c r="F114" s="5">
        <v>0.2</v>
      </c>
      <c r="G114" s="5">
        <v>78.300000000000011</v>
      </c>
      <c r="H114" s="5"/>
      <c r="I114" s="4">
        <v>81.795000000000016</v>
      </c>
      <c r="K114" s="5">
        <v>2020</v>
      </c>
      <c r="L114" s="4" t="s">
        <v>10</v>
      </c>
      <c r="M114" s="6">
        <v>6.2</v>
      </c>
      <c r="N114" s="6"/>
      <c r="O114" s="6">
        <v>4.9550000000000001</v>
      </c>
      <c r="P114" s="6"/>
      <c r="Q114" s="6"/>
      <c r="R114" s="6"/>
      <c r="S114" s="6">
        <v>11.155000000000001</v>
      </c>
    </row>
    <row r="115" spans="1:19" x14ac:dyDescent="0.25">
      <c r="A115" s="5">
        <v>2022</v>
      </c>
      <c r="B115" s="5" t="s">
        <v>6</v>
      </c>
      <c r="C115" s="5">
        <v>2</v>
      </c>
      <c r="D115" s="5"/>
      <c r="E115" s="5"/>
      <c r="F115" s="5"/>
      <c r="G115" s="5"/>
      <c r="H115" s="5"/>
      <c r="I115" s="4">
        <v>2</v>
      </c>
      <c r="K115" s="5">
        <v>2020</v>
      </c>
      <c r="L115" s="4" t="s">
        <v>11</v>
      </c>
      <c r="M115" s="6">
        <v>1.28</v>
      </c>
      <c r="N115" s="6"/>
      <c r="O115" s="6"/>
      <c r="P115" s="6"/>
      <c r="Q115" s="6"/>
      <c r="R115" s="6"/>
      <c r="S115" s="6">
        <v>1.28</v>
      </c>
    </row>
    <row r="116" spans="1:19" x14ac:dyDescent="0.25">
      <c r="A116" s="5">
        <v>2022</v>
      </c>
      <c r="B116" s="5" t="s">
        <v>7</v>
      </c>
      <c r="C116" s="5">
        <v>5.9</v>
      </c>
      <c r="D116" s="5"/>
      <c r="E116" s="5"/>
      <c r="F116" s="5"/>
      <c r="G116" s="5"/>
      <c r="H116" s="5"/>
      <c r="I116" s="4">
        <v>5.9</v>
      </c>
      <c r="K116" s="5">
        <v>2020</v>
      </c>
      <c r="L116" s="4" t="s">
        <v>12</v>
      </c>
      <c r="M116" s="6"/>
      <c r="N116" s="6"/>
      <c r="O116" s="6"/>
      <c r="P116" s="6"/>
      <c r="Q116" s="6"/>
      <c r="R116" s="6">
        <v>0.34200000000000003</v>
      </c>
      <c r="S116" s="6">
        <v>0.34200000000000003</v>
      </c>
    </row>
    <row r="117" spans="1:19" x14ac:dyDescent="0.25">
      <c r="A117" s="5">
        <v>2022</v>
      </c>
      <c r="B117" s="5" t="s">
        <v>8</v>
      </c>
      <c r="C117" s="5">
        <v>4.2560000000000002</v>
      </c>
      <c r="D117" s="5"/>
      <c r="E117" s="5"/>
      <c r="F117" s="5"/>
      <c r="G117" s="5"/>
      <c r="H117" s="5"/>
      <c r="I117" s="4">
        <v>4.2560000000000002</v>
      </c>
      <c r="K117" s="5">
        <v>2020</v>
      </c>
      <c r="L117" s="4" t="s">
        <v>13</v>
      </c>
      <c r="M117" s="6"/>
      <c r="N117" s="6"/>
      <c r="O117" s="6">
        <v>3.7090000000000001</v>
      </c>
      <c r="P117" s="6"/>
      <c r="Q117" s="6">
        <v>39.055</v>
      </c>
      <c r="R117" s="6"/>
      <c r="S117" s="6">
        <v>42.764000000000003</v>
      </c>
    </row>
    <row r="118" spans="1:19" x14ac:dyDescent="0.25">
      <c r="A118" s="5">
        <v>2022</v>
      </c>
      <c r="B118" s="5" t="s">
        <v>9</v>
      </c>
      <c r="C118" s="5">
        <v>5.75</v>
      </c>
      <c r="D118" s="5"/>
      <c r="E118" s="5"/>
      <c r="F118" s="5"/>
      <c r="G118" s="5"/>
      <c r="H118" s="5"/>
      <c r="I118" s="4">
        <v>5.75</v>
      </c>
      <c r="K118" s="5">
        <v>2020</v>
      </c>
      <c r="L118" s="4" t="s">
        <v>14</v>
      </c>
      <c r="M118" s="6">
        <v>2.8</v>
      </c>
      <c r="N118" s="6"/>
      <c r="O118" s="6">
        <v>17.95</v>
      </c>
      <c r="P118" s="6"/>
      <c r="Q118" s="6">
        <v>36.856000000000009</v>
      </c>
      <c r="R118" s="6">
        <v>0.04</v>
      </c>
      <c r="S118" s="6">
        <v>57.646000000000008</v>
      </c>
    </row>
    <row r="119" spans="1:19" x14ac:dyDescent="0.25">
      <c r="A119" s="5">
        <v>2022</v>
      </c>
      <c r="B119" s="5" t="s">
        <v>10</v>
      </c>
      <c r="C119" s="5">
        <v>6.6</v>
      </c>
      <c r="D119" s="5"/>
      <c r="E119" s="5"/>
      <c r="F119" s="5"/>
      <c r="G119" s="5">
        <v>5.2</v>
      </c>
      <c r="H119" s="5"/>
      <c r="I119" s="4">
        <v>11.8</v>
      </c>
      <c r="K119" s="5">
        <v>2020</v>
      </c>
      <c r="L119" s="4" t="s">
        <v>15</v>
      </c>
      <c r="M119" s="6">
        <v>3.15</v>
      </c>
      <c r="N119" s="6"/>
      <c r="O119" s="6">
        <v>3.3</v>
      </c>
      <c r="P119" s="6"/>
      <c r="Q119" s="6">
        <v>5.89</v>
      </c>
      <c r="R119" s="6"/>
      <c r="S119" s="6">
        <v>12.34</v>
      </c>
    </row>
    <row r="120" spans="1:19" x14ac:dyDescent="0.25">
      <c r="A120" s="5">
        <v>2022</v>
      </c>
      <c r="B120" s="5" t="s">
        <v>11</v>
      </c>
      <c r="C120" s="5">
        <v>3.0009999999999999</v>
      </c>
      <c r="D120" s="5"/>
      <c r="E120" s="5"/>
      <c r="F120" s="5"/>
      <c r="G120" s="5">
        <v>11.7</v>
      </c>
      <c r="H120" s="5"/>
      <c r="I120" s="4">
        <v>14.700999999999999</v>
      </c>
      <c r="K120" s="5">
        <v>2021</v>
      </c>
      <c r="L120" s="4" t="s">
        <v>4</v>
      </c>
      <c r="M120" s="6">
        <v>1.7</v>
      </c>
      <c r="N120" s="6"/>
      <c r="O120" s="6">
        <v>5.2</v>
      </c>
      <c r="P120" s="6"/>
      <c r="Q120" s="6"/>
      <c r="R120" s="6"/>
      <c r="S120" s="6">
        <v>6.9</v>
      </c>
    </row>
    <row r="121" spans="1:19" x14ac:dyDescent="0.25">
      <c r="A121" s="5">
        <v>2022</v>
      </c>
      <c r="B121" s="5" t="s">
        <v>12</v>
      </c>
      <c r="C121" s="5">
        <v>1.8</v>
      </c>
      <c r="D121" s="5"/>
      <c r="E121" s="5"/>
      <c r="F121" s="5"/>
      <c r="G121" s="5"/>
      <c r="H121" s="5"/>
      <c r="I121" s="4">
        <v>1.8</v>
      </c>
      <c r="K121" s="5">
        <v>2021</v>
      </c>
      <c r="L121" s="4" t="s">
        <v>5</v>
      </c>
      <c r="M121" s="6">
        <v>1.1000000000000001</v>
      </c>
      <c r="N121" s="6"/>
      <c r="O121" s="6"/>
      <c r="P121" s="6"/>
      <c r="Q121" s="6"/>
      <c r="R121" s="6"/>
      <c r="S121" s="6">
        <v>1.1000000000000001</v>
      </c>
    </row>
    <row r="122" spans="1:19" x14ac:dyDescent="0.25">
      <c r="A122" s="5">
        <v>2022</v>
      </c>
      <c r="B122" s="5" t="s">
        <v>13</v>
      </c>
      <c r="C122" s="5"/>
      <c r="D122" s="5"/>
      <c r="E122" s="5"/>
      <c r="F122" s="5"/>
      <c r="G122" s="5">
        <v>5.2</v>
      </c>
      <c r="H122" s="5"/>
      <c r="I122" s="4">
        <v>5.2</v>
      </c>
      <c r="K122" s="5">
        <v>2021</v>
      </c>
      <c r="L122" s="4" t="s">
        <v>6</v>
      </c>
      <c r="M122" s="6">
        <v>0.8</v>
      </c>
      <c r="N122" s="6"/>
      <c r="O122" s="6">
        <v>2623.7149999999997</v>
      </c>
      <c r="P122" s="6"/>
      <c r="Q122" s="6"/>
      <c r="R122" s="6">
        <v>1.81</v>
      </c>
      <c r="S122" s="6">
        <v>2626.3249999999998</v>
      </c>
    </row>
    <row r="123" spans="1:19" x14ac:dyDescent="0.25">
      <c r="A123" s="5">
        <v>2022</v>
      </c>
      <c r="B123" s="5" t="s">
        <v>14</v>
      </c>
      <c r="C123" s="5">
        <v>8.129999999999999</v>
      </c>
      <c r="D123" s="5"/>
      <c r="E123" s="5"/>
      <c r="F123" s="5"/>
      <c r="G123" s="5">
        <v>5.5</v>
      </c>
      <c r="H123" s="5"/>
      <c r="I123" s="4">
        <v>13.629999999999999</v>
      </c>
      <c r="K123" s="5">
        <v>2021</v>
      </c>
      <c r="L123" s="4" t="s">
        <v>7</v>
      </c>
      <c r="M123" s="6">
        <v>28.3</v>
      </c>
      <c r="N123" s="6"/>
      <c r="O123" s="6">
        <v>576.1909999999998</v>
      </c>
      <c r="P123" s="6"/>
      <c r="Q123" s="6">
        <v>0.52700000000000002</v>
      </c>
      <c r="R123" s="6">
        <v>0.18</v>
      </c>
      <c r="S123" s="6">
        <v>605.19799999999975</v>
      </c>
    </row>
    <row r="124" spans="1:19" x14ac:dyDescent="0.25">
      <c r="A124" s="5">
        <v>2022</v>
      </c>
      <c r="B124" s="5" t="s">
        <v>15</v>
      </c>
      <c r="C124" s="5">
        <v>9.9249999999999972</v>
      </c>
      <c r="D124" s="5"/>
      <c r="E124" s="5">
        <v>15.649000000000001</v>
      </c>
      <c r="F124" s="5"/>
      <c r="G124" s="5">
        <v>22.8</v>
      </c>
      <c r="H124" s="5"/>
      <c r="I124" s="4">
        <v>48.373999999999995</v>
      </c>
      <c r="K124" s="5">
        <v>2021</v>
      </c>
      <c r="L124" s="4" t="s">
        <v>8</v>
      </c>
      <c r="M124" s="6">
        <v>31.45</v>
      </c>
      <c r="N124" s="6"/>
      <c r="O124" s="6">
        <v>160.16900000000001</v>
      </c>
      <c r="P124" s="6"/>
      <c r="Q124" s="6">
        <v>0.11</v>
      </c>
      <c r="R124" s="6">
        <v>1.5</v>
      </c>
      <c r="S124" s="6">
        <v>193.22900000000001</v>
      </c>
    </row>
    <row r="125" spans="1:19" x14ac:dyDescent="0.25">
      <c r="A125" s="5">
        <v>2023</v>
      </c>
      <c r="B125" s="5" t="s">
        <v>4</v>
      </c>
      <c r="C125" s="5">
        <v>4.21</v>
      </c>
      <c r="D125" s="5"/>
      <c r="E125" s="5">
        <v>40.325000000000003</v>
      </c>
      <c r="F125" s="5"/>
      <c r="G125" s="5">
        <v>94.6</v>
      </c>
      <c r="H125" s="5"/>
      <c r="I125" s="4">
        <v>139.13499999999999</v>
      </c>
      <c r="K125" s="5">
        <v>2021</v>
      </c>
      <c r="L125" s="4" t="s">
        <v>9</v>
      </c>
      <c r="M125" s="6">
        <v>127.12</v>
      </c>
      <c r="N125" s="6"/>
      <c r="O125" s="6">
        <v>14.183999999999999</v>
      </c>
      <c r="P125" s="6"/>
      <c r="Q125" s="6"/>
      <c r="R125" s="6"/>
      <c r="S125" s="6">
        <v>141.304</v>
      </c>
    </row>
    <row r="126" spans="1:19" x14ac:dyDescent="0.25">
      <c r="A126" s="5">
        <v>2023</v>
      </c>
      <c r="B126" s="5" t="s">
        <v>5</v>
      </c>
      <c r="C126" s="5">
        <v>2.75</v>
      </c>
      <c r="D126" s="5"/>
      <c r="E126" s="5">
        <v>6.3</v>
      </c>
      <c r="F126" s="5"/>
      <c r="G126" s="5"/>
      <c r="H126" s="5"/>
      <c r="I126" s="4">
        <v>9.0500000000000007</v>
      </c>
      <c r="K126" s="5">
        <v>2021</v>
      </c>
      <c r="L126" s="4" t="s">
        <v>10</v>
      </c>
      <c r="M126" s="6">
        <v>24.900000000000002</v>
      </c>
      <c r="N126" s="6"/>
      <c r="O126" s="6">
        <v>0.85</v>
      </c>
      <c r="P126" s="6"/>
      <c r="Q126" s="6"/>
      <c r="R126" s="6"/>
      <c r="S126" s="6">
        <v>25.750000000000004</v>
      </c>
    </row>
    <row r="127" spans="1:19" x14ac:dyDescent="0.25">
      <c r="A127" s="5">
        <v>2023</v>
      </c>
      <c r="B127" s="5" t="s">
        <v>6</v>
      </c>
      <c r="C127" s="5">
        <v>3.65</v>
      </c>
      <c r="D127" s="5"/>
      <c r="E127" s="5"/>
      <c r="F127" s="5"/>
      <c r="G127" s="5"/>
      <c r="H127" s="5"/>
      <c r="I127" s="4">
        <v>3.65</v>
      </c>
      <c r="K127" s="5">
        <v>2021</v>
      </c>
      <c r="L127" s="4" t="s">
        <v>11</v>
      </c>
      <c r="M127" s="6">
        <v>2.2000000000000002</v>
      </c>
      <c r="N127" s="6"/>
      <c r="O127" s="6"/>
      <c r="P127" s="6"/>
      <c r="Q127" s="6"/>
      <c r="R127" s="6"/>
      <c r="S127" s="6">
        <v>2.2000000000000002</v>
      </c>
    </row>
    <row r="128" spans="1:19" x14ac:dyDescent="0.25">
      <c r="A128" s="5">
        <v>2023</v>
      </c>
      <c r="B128" s="5" t="s">
        <v>7</v>
      </c>
      <c r="C128" s="5">
        <v>1.05</v>
      </c>
      <c r="D128" s="5"/>
      <c r="E128" s="5"/>
      <c r="F128" s="5"/>
      <c r="G128" s="5"/>
      <c r="H128" s="5"/>
      <c r="I128" s="4">
        <v>1.05</v>
      </c>
      <c r="K128" s="5">
        <v>2021</v>
      </c>
      <c r="L128" s="4" t="s">
        <v>12</v>
      </c>
      <c r="M128" s="6"/>
      <c r="N128" s="6"/>
      <c r="O128" s="6">
        <v>1.5</v>
      </c>
      <c r="P128" s="6"/>
      <c r="Q128" s="6"/>
      <c r="R128" s="6"/>
      <c r="S128" s="6">
        <v>1.5</v>
      </c>
    </row>
    <row r="129" spans="1:19" x14ac:dyDescent="0.25">
      <c r="A129" s="5">
        <v>2023</v>
      </c>
      <c r="B129" s="5" t="s">
        <v>9</v>
      </c>
      <c r="C129" s="5">
        <v>2.5</v>
      </c>
      <c r="D129" s="5"/>
      <c r="E129" s="5"/>
      <c r="F129" s="5"/>
      <c r="G129" s="5"/>
      <c r="H129" s="5"/>
      <c r="I129" s="4">
        <v>2.5</v>
      </c>
      <c r="K129" s="5">
        <v>2021</v>
      </c>
      <c r="L129" s="4" t="s">
        <v>13</v>
      </c>
      <c r="M129" s="6">
        <v>0.7</v>
      </c>
      <c r="N129" s="6"/>
      <c r="O129" s="6">
        <v>3.7450000000000001</v>
      </c>
      <c r="P129" s="6"/>
      <c r="Q129" s="6"/>
      <c r="R129" s="6"/>
      <c r="S129" s="6">
        <v>4.4450000000000003</v>
      </c>
    </row>
    <row r="130" spans="1:19" x14ac:dyDescent="0.25">
      <c r="A130" s="5">
        <v>2023</v>
      </c>
      <c r="B130" s="5" t="s">
        <v>10</v>
      </c>
      <c r="C130" s="5">
        <v>5.5</v>
      </c>
      <c r="D130" s="5"/>
      <c r="E130" s="5"/>
      <c r="F130" s="5"/>
      <c r="G130" s="5"/>
      <c r="H130" s="5"/>
      <c r="I130" s="4">
        <v>5.5</v>
      </c>
      <c r="K130" s="5">
        <v>2021</v>
      </c>
      <c r="L130" s="4" t="s">
        <v>14</v>
      </c>
      <c r="M130" s="6"/>
      <c r="N130" s="6"/>
      <c r="O130" s="6">
        <v>2.0070000000000001</v>
      </c>
      <c r="P130" s="6"/>
      <c r="Q130" s="6">
        <v>2.2099999999999995</v>
      </c>
      <c r="R130" s="6"/>
      <c r="S130" s="6">
        <v>4.2169999999999996</v>
      </c>
    </row>
    <row r="131" spans="1:19" x14ac:dyDescent="0.25">
      <c r="A131" s="5">
        <v>2023</v>
      </c>
      <c r="B131" s="5" t="s">
        <v>11</v>
      </c>
      <c r="C131" s="5">
        <v>27.65</v>
      </c>
      <c r="D131" s="5"/>
      <c r="E131" s="5"/>
      <c r="F131" s="5"/>
      <c r="G131" s="5"/>
      <c r="H131" s="5"/>
      <c r="I131" s="4">
        <v>27.65</v>
      </c>
      <c r="K131" s="5">
        <v>2021</v>
      </c>
      <c r="L131" s="4" t="s">
        <v>15</v>
      </c>
      <c r="M131" s="6">
        <v>1.2</v>
      </c>
      <c r="N131" s="6"/>
      <c r="O131" s="6">
        <v>0.8</v>
      </c>
      <c r="P131" s="6"/>
      <c r="Q131" s="6"/>
      <c r="R131" s="6">
        <v>2.5</v>
      </c>
      <c r="S131" s="6">
        <v>4.5</v>
      </c>
    </row>
    <row r="132" spans="1:19" x14ac:dyDescent="0.25">
      <c r="A132" s="5">
        <v>2023</v>
      </c>
      <c r="B132" s="5" t="s">
        <v>12</v>
      </c>
      <c r="C132" s="5">
        <v>2.2999999999999998</v>
      </c>
      <c r="D132" s="5"/>
      <c r="E132" s="5">
        <v>4.8600000000000003</v>
      </c>
      <c r="F132" s="5"/>
      <c r="G132" s="5"/>
      <c r="H132" s="5"/>
      <c r="I132" s="4">
        <v>7.16</v>
      </c>
      <c r="K132" s="5">
        <v>2022</v>
      </c>
      <c r="L132" s="4" t="s">
        <v>5</v>
      </c>
      <c r="M132" s="6">
        <v>0.6</v>
      </c>
      <c r="N132" s="6"/>
      <c r="O132" s="6">
        <v>5.0920000000000005</v>
      </c>
      <c r="P132" s="6"/>
      <c r="Q132" s="6">
        <v>0.31</v>
      </c>
      <c r="R132" s="6">
        <v>61.1</v>
      </c>
      <c r="S132" s="6">
        <v>67.102000000000004</v>
      </c>
    </row>
    <row r="133" spans="1:19" x14ac:dyDescent="0.25">
      <c r="A133" s="5">
        <v>2023</v>
      </c>
      <c r="B133" s="5" t="s">
        <v>13</v>
      </c>
      <c r="C133" s="5">
        <v>3</v>
      </c>
      <c r="D133" s="5"/>
      <c r="E133" s="5">
        <v>11.773999999999999</v>
      </c>
      <c r="F133" s="5"/>
      <c r="G133" s="5"/>
      <c r="H133" s="5"/>
      <c r="I133" s="4">
        <v>14.773999999999999</v>
      </c>
      <c r="K133" s="5">
        <v>2022</v>
      </c>
      <c r="L133" s="4" t="s">
        <v>6</v>
      </c>
      <c r="M133" s="6"/>
      <c r="N133" s="6"/>
      <c r="O133" s="6">
        <v>1775.8250000000005</v>
      </c>
      <c r="P133" s="6"/>
      <c r="Q133" s="6">
        <v>0.48</v>
      </c>
      <c r="R133" s="6">
        <v>256.2</v>
      </c>
      <c r="S133" s="6">
        <v>2032.5050000000006</v>
      </c>
    </row>
    <row r="134" spans="1:19" x14ac:dyDescent="0.25">
      <c r="A134" s="5">
        <v>2023</v>
      </c>
      <c r="B134" s="5" t="s">
        <v>14</v>
      </c>
      <c r="C134" s="5">
        <v>23.152999999999999</v>
      </c>
      <c r="D134" s="5"/>
      <c r="E134" s="5">
        <v>3.3149999999999999</v>
      </c>
      <c r="F134" s="5"/>
      <c r="G134" s="5"/>
      <c r="H134" s="5"/>
      <c r="I134" s="4">
        <v>26.468</v>
      </c>
      <c r="K134" s="5">
        <v>2022</v>
      </c>
      <c r="L134" s="4" t="s">
        <v>7</v>
      </c>
      <c r="M134" s="6"/>
      <c r="N134" s="6"/>
      <c r="O134" s="6">
        <v>41.723999999999997</v>
      </c>
      <c r="P134" s="6"/>
      <c r="Q134" s="6"/>
      <c r="R134" s="6">
        <v>8.3000000000000007</v>
      </c>
      <c r="S134" s="6">
        <v>50.024000000000001</v>
      </c>
    </row>
    <row r="135" spans="1:19" x14ac:dyDescent="0.25">
      <c r="A135" s="5">
        <v>2023</v>
      </c>
      <c r="B135" s="5" t="s">
        <v>15</v>
      </c>
      <c r="C135" s="5">
        <v>10</v>
      </c>
      <c r="D135" s="5"/>
      <c r="E135" s="5"/>
      <c r="F135" s="5"/>
      <c r="G135" s="5"/>
      <c r="H135" s="5"/>
      <c r="I135" s="4">
        <v>10</v>
      </c>
      <c r="K135" s="5">
        <v>2022</v>
      </c>
      <c r="L135" s="4" t="s">
        <v>8</v>
      </c>
      <c r="M135" s="6"/>
      <c r="N135" s="6"/>
      <c r="O135" s="6">
        <v>8.0909999999999993</v>
      </c>
      <c r="P135" s="6"/>
      <c r="Q135" s="6">
        <v>0.73</v>
      </c>
      <c r="R135" s="6">
        <v>66.900000000000006</v>
      </c>
      <c r="S135" s="6">
        <v>75.721000000000004</v>
      </c>
    </row>
    <row r="136" spans="1:19" x14ac:dyDescent="0.25">
      <c r="A136" s="5">
        <v>2024</v>
      </c>
      <c r="B136" s="5" t="s">
        <v>4</v>
      </c>
      <c r="C136" s="5">
        <v>5.0000000000000001E-3</v>
      </c>
      <c r="D136" s="5"/>
      <c r="E136" s="5">
        <v>86.320000000000007</v>
      </c>
      <c r="F136" s="5"/>
      <c r="G136" s="5"/>
      <c r="H136" s="5"/>
      <c r="I136" s="4">
        <v>86.325000000000003</v>
      </c>
      <c r="K136" s="5">
        <v>2022</v>
      </c>
      <c r="L136" s="4" t="s">
        <v>9</v>
      </c>
      <c r="M136" s="6"/>
      <c r="N136" s="6"/>
      <c r="O136" s="6">
        <v>2.754</v>
      </c>
      <c r="P136" s="6"/>
      <c r="Q136" s="6">
        <v>0.7</v>
      </c>
      <c r="R136" s="6">
        <v>66.3</v>
      </c>
      <c r="S136" s="6">
        <v>69.753999999999991</v>
      </c>
    </row>
    <row r="137" spans="1:19" x14ac:dyDescent="0.25">
      <c r="A137" s="5">
        <v>2024</v>
      </c>
      <c r="B137" s="5" t="s">
        <v>5</v>
      </c>
      <c r="C137" s="5">
        <v>0.47499999999999998</v>
      </c>
      <c r="D137" s="5"/>
      <c r="E137" s="5">
        <v>9.4979999999999993</v>
      </c>
      <c r="F137" s="5">
        <v>14.274999999999999</v>
      </c>
      <c r="G137" s="5"/>
      <c r="H137" s="5"/>
      <c r="I137" s="4">
        <v>24.247999999999998</v>
      </c>
      <c r="K137" s="5">
        <v>2022</v>
      </c>
      <c r="L137" s="4" t="s">
        <v>10</v>
      </c>
      <c r="M137" s="6">
        <v>15.399999999999999</v>
      </c>
      <c r="N137" s="6"/>
      <c r="O137" s="6">
        <v>8.25</v>
      </c>
      <c r="P137" s="6"/>
      <c r="Q137" s="6"/>
      <c r="R137" s="6">
        <v>22.7</v>
      </c>
      <c r="S137" s="6">
        <v>46.349999999999994</v>
      </c>
    </row>
    <row r="138" spans="1:19" x14ac:dyDescent="0.25">
      <c r="A138" s="5">
        <v>2024</v>
      </c>
      <c r="B138" s="5" t="s">
        <v>6</v>
      </c>
      <c r="C138" s="5">
        <v>6.31</v>
      </c>
      <c r="D138" s="5"/>
      <c r="E138" s="5">
        <v>7.02</v>
      </c>
      <c r="F138" s="5"/>
      <c r="G138" s="5"/>
      <c r="H138" s="5"/>
      <c r="I138" s="4">
        <v>13.329999999999998</v>
      </c>
      <c r="K138" s="5">
        <v>2022</v>
      </c>
      <c r="L138" s="4" t="s">
        <v>11</v>
      </c>
      <c r="M138" s="6">
        <v>11.649999999999999</v>
      </c>
      <c r="N138" s="6"/>
      <c r="O138" s="6">
        <v>6.2279999999999998</v>
      </c>
      <c r="P138" s="6"/>
      <c r="Q138" s="6"/>
      <c r="R138" s="6"/>
      <c r="S138" s="6">
        <v>17.878</v>
      </c>
    </row>
    <row r="139" spans="1:19" x14ac:dyDescent="0.25">
      <c r="A139" s="5">
        <v>2024</v>
      </c>
      <c r="B139" s="5" t="s">
        <v>7</v>
      </c>
      <c r="C139" s="5">
        <v>15.1</v>
      </c>
      <c r="D139" s="5"/>
      <c r="E139" s="5"/>
      <c r="F139" s="5"/>
      <c r="G139" s="5"/>
      <c r="H139" s="5"/>
      <c r="I139" s="4">
        <v>15.1</v>
      </c>
      <c r="K139" s="5">
        <v>2022</v>
      </c>
      <c r="L139" s="4" t="s">
        <v>13</v>
      </c>
      <c r="M139" s="6">
        <v>12.000000000000002</v>
      </c>
      <c r="N139" s="6"/>
      <c r="O139" s="6"/>
      <c r="P139" s="6"/>
      <c r="Q139" s="6"/>
      <c r="R139" s="6"/>
      <c r="S139" s="6">
        <v>12.000000000000002</v>
      </c>
    </row>
    <row r="140" spans="1:19" x14ac:dyDescent="0.25">
      <c r="A140" s="5">
        <v>2024</v>
      </c>
      <c r="B140" s="5" t="s">
        <v>8</v>
      </c>
      <c r="C140" s="5">
        <v>0.1</v>
      </c>
      <c r="D140" s="5"/>
      <c r="E140" s="5"/>
      <c r="F140" s="5"/>
      <c r="G140" s="5">
        <v>27.11</v>
      </c>
      <c r="H140" s="5"/>
      <c r="I140" s="4">
        <v>27.21</v>
      </c>
      <c r="K140" s="5">
        <v>2022</v>
      </c>
      <c r="L140" s="4" t="s">
        <v>14</v>
      </c>
      <c r="M140" s="6">
        <v>2.4</v>
      </c>
      <c r="N140" s="6"/>
      <c r="O140" s="6">
        <v>24.404999999999998</v>
      </c>
      <c r="P140" s="6"/>
      <c r="Q140" s="6"/>
      <c r="R140" s="6">
        <v>189</v>
      </c>
      <c r="S140" s="6">
        <v>215.80500000000001</v>
      </c>
    </row>
    <row r="141" spans="1:19" x14ac:dyDescent="0.25">
      <c r="A141" s="5">
        <v>2024</v>
      </c>
      <c r="B141" s="5" t="s">
        <v>9</v>
      </c>
      <c r="C141" s="5"/>
      <c r="D141" s="5"/>
      <c r="E141" s="5"/>
      <c r="F141" s="5"/>
      <c r="G141" s="5">
        <v>138.25000000000003</v>
      </c>
      <c r="H141" s="5"/>
      <c r="I141" s="4">
        <v>138.25000000000003</v>
      </c>
      <c r="K141" s="5">
        <v>2022</v>
      </c>
      <c r="L141" s="4" t="s">
        <v>15</v>
      </c>
      <c r="M141" s="6">
        <v>1.46</v>
      </c>
      <c r="N141" s="6"/>
      <c r="O141" s="6"/>
      <c r="P141" s="6"/>
      <c r="Q141" s="6">
        <v>0.03</v>
      </c>
      <c r="R141" s="6">
        <v>26.299999999999997</v>
      </c>
      <c r="S141" s="6">
        <v>27.789999999999996</v>
      </c>
    </row>
    <row r="142" spans="1:19" x14ac:dyDescent="0.25">
      <c r="A142" s="5">
        <v>2024</v>
      </c>
      <c r="B142" s="5" t="s">
        <v>10</v>
      </c>
      <c r="C142" s="5"/>
      <c r="D142" s="5"/>
      <c r="E142" s="5"/>
      <c r="F142" s="5"/>
      <c r="G142" s="5">
        <v>87.16</v>
      </c>
      <c r="H142" s="5"/>
      <c r="I142" s="4">
        <v>87.16</v>
      </c>
      <c r="K142" s="5">
        <v>2023</v>
      </c>
      <c r="L142" s="4" t="s">
        <v>4</v>
      </c>
      <c r="M142" s="6">
        <v>3.6</v>
      </c>
      <c r="N142" s="6"/>
      <c r="O142" s="6"/>
      <c r="P142" s="6"/>
      <c r="Q142" s="6"/>
      <c r="R142" s="6">
        <v>79.5</v>
      </c>
      <c r="S142" s="6">
        <v>83.1</v>
      </c>
    </row>
    <row r="143" spans="1:19" x14ac:dyDescent="0.25">
      <c r="A143" s="5">
        <v>2024</v>
      </c>
      <c r="B143" s="5" t="s">
        <v>11</v>
      </c>
      <c r="C143" s="5">
        <v>3</v>
      </c>
      <c r="D143" s="5"/>
      <c r="E143" s="5"/>
      <c r="F143" s="5"/>
      <c r="G143" s="5">
        <v>43.905000000000001</v>
      </c>
      <c r="H143" s="5"/>
      <c r="I143" s="4">
        <v>46.905000000000001</v>
      </c>
      <c r="K143" s="5">
        <v>2023</v>
      </c>
      <c r="L143" s="4" t="s">
        <v>5</v>
      </c>
      <c r="M143" s="6">
        <v>5.3</v>
      </c>
      <c r="N143" s="6"/>
      <c r="O143" s="6">
        <v>2.0350000000000001</v>
      </c>
      <c r="P143" s="6"/>
      <c r="Q143" s="6"/>
      <c r="R143" s="6">
        <v>0.2</v>
      </c>
      <c r="S143" s="6">
        <v>7.5350000000000001</v>
      </c>
    </row>
    <row r="144" spans="1:19" x14ac:dyDescent="0.25">
      <c r="A144" s="5">
        <v>2024</v>
      </c>
      <c r="B144" s="5" t="s">
        <v>12</v>
      </c>
      <c r="C144" s="5">
        <v>2.7</v>
      </c>
      <c r="D144" s="5"/>
      <c r="E144" s="5"/>
      <c r="F144" s="5"/>
      <c r="G144" s="5"/>
      <c r="H144" s="5"/>
      <c r="I144" s="4">
        <v>2.7</v>
      </c>
      <c r="K144" s="5">
        <v>2023</v>
      </c>
      <c r="L144" s="4" t="s">
        <v>6</v>
      </c>
      <c r="M144" s="6">
        <v>14</v>
      </c>
      <c r="N144" s="6"/>
      <c r="O144" s="6">
        <v>3077.8739999999998</v>
      </c>
      <c r="P144" s="6"/>
      <c r="Q144" s="6">
        <v>0.09</v>
      </c>
      <c r="R144" s="6"/>
      <c r="S144" s="6">
        <v>3091.9639999999999</v>
      </c>
    </row>
    <row r="145" spans="1:19" x14ac:dyDescent="0.25">
      <c r="A145" s="5">
        <v>2024</v>
      </c>
      <c r="B145" s="5" t="s">
        <v>14</v>
      </c>
      <c r="C145" s="5">
        <v>24.25</v>
      </c>
      <c r="D145" s="5"/>
      <c r="E145" s="5">
        <v>8.73</v>
      </c>
      <c r="F145" s="5"/>
      <c r="G145" s="5"/>
      <c r="H145" s="5"/>
      <c r="I145" s="4">
        <v>32.980000000000004</v>
      </c>
      <c r="K145" s="5">
        <v>2023</v>
      </c>
      <c r="L145" s="4" t="s">
        <v>7</v>
      </c>
      <c r="M145" s="6">
        <v>60.38000000000001</v>
      </c>
      <c r="N145" s="6"/>
      <c r="O145" s="6">
        <v>440.50299999999999</v>
      </c>
      <c r="P145" s="6"/>
      <c r="Q145" s="6"/>
      <c r="R145" s="6"/>
      <c r="S145" s="6">
        <v>500.88299999999998</v>
      </c>
    </row>
    <row r="146" spans="1:19" x14ac:dyDescent="0.25">
      <c r="A146" s="5">
        <v>2024</v>
      </c>
      <c r="B146" s="5" t="s">
        <v>15</v>
      </c>
      <c r="C146" s="5">
        <v>6.25</v>
      </c>
      <c r="D146" s="5"/>
      <c r="E146" s="5">
        <v>14.91</v>
      </c>
      <c r="F146" s="5"/>
      <c r="G146" s="5">
        <v>1.5</v>
      </c>
      <c r="H146" s="5"/>
      <c r="I146" s="4">
        <v>22.66</v>
      </c>
      <c r="K146" s="5">
        <v>2023</v>
      </c>
      <c r="L146" s="4" t="s">
        <v>8</v>
      </c>
      <c r="M146" s="6">
        <v>5.7</v>
      </c>
      <c r="N146" s="6"/>
      <c r="O146" s="6">
        <v>64.254000000000005</v>
      </c>
      <c r="P146" s="6"/>
      <c r="Q146" s="6">
        <v>0.49</v>
      </c>
      <c r="R146" s="6"/>
      <c r="S146" s="6">
        <v>70.444000000000003</v>
      </c>
    </row>
    <row r="147" spans="1:19" x14ac:dyDescent="0.25">
      <c r="K147" s="5">
        <v>2023</v>
      </c>
      <c r="L147" s="4" t="s">
        <v>9</v>
      </c>
      <c r="M147" s="6">
        <v>2</v>
      </c>
      <c r="N147" s="6"/>
      <c r="O147" s="6">
        <v>11.058</v>
      </c>
      <c r="P147" s="6"/>
      <c r="Q147" s="6"/>
      <c r="R147" s="6"/>
      <c r="S147" s="6">
        <v>13.058</v>
      </c>
    </row>
    <row r="148" spans="1:19" x14ac:dyDescent="0.25">
      <c r="K148" s="5">
        <v>2023</v>
      </c>
      <c r="L148" s="4" t="s">
        <v>10</v>
      </c>
      <c r="M148" s="6">
        <v>1</v>
      </c>
      <c r="N148" s="6"/>
      <c r="O148" s="6">
        <v>3.05</v>
      </c>
      <c r="P148" s="6"/>
      <c r="Q148" s="6"/>
      <c r="R148" s="6"/>
      <c r="S148" s="6">
        <v>4.05</v>
      </c>
    </row>
    <row r="149" spans="1:19" x14ac:dyDescent="0.25">
      <c r="K149" s="5">
        <v>2023</v>
      </c>
      <c r="L149" s="4" t="s">
        <v>11</v>
      </c>
      <c r="M149" s="6">
        <v>4.5500000000000007</v>
      </c>
      <c r="N149" s="6">
        <v>0.3</v>
      </c>
      <c r="O149" s="6">
        <v>5.0960000000000001</v>
      </c>
      <c r="P149" s="6"/>
      <c r="Q149" s="6"/>
      <c r="R149" s="6"/>
      <c r="S149" s="6">
        <v>9.9460000000000015</v>
      </c>
    </row>
    <row r="150" spans="1:19" x14ac:dyDescent="0.25">
      <c r="K150" s="5">
        <v>2023</v>
      </c>
      <c r="L150" s="4" t="s">
        <v>13</v>
      </c>
      <c r="M150" s="6">
        <v>6.2</v>
      </c>
      <c r="N150" s="6"/>
      <c r="O150" s="6"/>
      <c r="P150" s="6"/>
      <c r="Q150" s="6"/>
      <c r="R150" s="6"/>
      <c r="S150" s="6">
        <v>6.2</v>
      </c>
    </row>
    <row r="151" spans="1:19" x14ac:dyDescent="0.25">
      <c r="K151" s="5">
        <v>2023</v>
      </c>
      <c r="L151" s="4" t="s">
        <v>14</v>
      </c>
      <c r="M151" s="6">
        <v>6.45</v>
      </c>
      <c r="N151" s="6"/>
      <c r="O151" s="6">
        <v>26.405999999999999</v>
      </c>
      <c r="P151" s="6"/>
      <c r="Q151" s="6">
        <v>0.2</v>
      </c>
      <c r="R151" s="6"/>
      <c r="S151" s="6">
        <v>33.056000000000004</v>
      </c>
    </row>
    <row r="152" spans="1:19" x14ac:dyDescent="0.25">
      <c r="K152" s="5">
        <v>2023</v>
      </c>
      <c r="L152" s="4" t="s">
        <v>15</v>
      </c>
      <c r="M152" s="6">
        <v>6.3</v>
      </c>
      <c r="N152" s="6"/>
      <c r="O152" s="6">
        <v>0.99</v>
      </c>
      <c r="P152" s="6"/>
      <c r="Q152" s="6">
        <v>2.0150000000000001</v>
      </c>
      <c r="R152" s="6"/>
      <c r="S152" s="6">
        <v>9.3049999999999997</v>
      </c>
    </row>
    <row r="153" spans="1:19" x14ac:dyDescent="0.25">
      <c r="K153" s="5">
        <v>2024</v>
      </c>
      <c r="L153" s="4" t="s">
        <v>5</v>
      </c>
      <c r="M153" s="6"/>
      <c r="N153" s="6"/>
      <c r="O153" s="6">
        <v>5.452</v>
      </c>
      <c r="P153" s="6"/>
      <c r="Q153" s="6"/>
      <c r="R153" s="6"/>
      <c r="S153" s="6">
        <v>5.452</v>
      </c>
    </row>
    <row r="154" spans="1:19" x14ac:dyDescent="0.25">
      <c r="K154" s="5">
        <v>2024</v>
      </c>
      <c r="L154" s="4" t="s">
        <v>6</v>
      </c>
      <c r="M154" s="6">
        <v>3</v>
      </c>
      <c r="N154" s="6"/>
      <c r="O154" s="6">
        <v>1564.1560000000004</v>
      </c>
      <c r="P154" s="6"/>
      <c r="Q154" s="6">
        <v>0.9850000000000001</v>
      </c>
      <c r="R154" s="6"/>
      <c r="S154" s="6">
        <v>1568.1410000000003</v>
      </c>
    </row>
    <row r="155" spans="1:19" x14ac:dyDescent="0.25">
      <c r="K155" s="5">
        <v>2024</v>
      </c>
      <c r="L155" s="4" t="s">
        <v>7</v>
      </c>
      <c r="M155" s="6">
        <v>9.9499999999999993</v>
      </c>
      <c r="N155" s="6"/>
      <c r="O155" s="6">
        <v>19.850000000000001</v>
      </c>
      <c r="P155" s="6"/>
      <c r="Q155" s="6">
        <v>0.64500000000000002</v>
      </c>
      <c r="R155" s="6"/>
      <c r="S155" s="6">
        <v>30.445</v>
      </c>
    </row>
    <row r="156" spans="1:19" x14ac:dyDescent="0.25">
      <c r="K156" s="5">
        <v>2024</v>
      </c>
      <c r="L156" s="4" t="s">
        <v>8</v>
      </c>
      <c r="M156" s="6">
        <v>4.6500000000000004</v>
      </c>
      <c r="N156" s="6"/>
      <c r="O156" s="6">
        <v>32.881999999999998</v>
      </c>
      <c r="P156" s="6"/>
      <c r="Q156" s="6"/>
      <c r="R156" s="6">
        <v>12.5</v>
      </c>
      <c r="S156" s="6">
        <v>50.031999999999996</v>
      </c>
    </row>
    <row r="157" spans="1:19" x14ac:dyDescent="0.25">
      <c r="K157" s="5">
        <v>2024</v>
      </c>
      <c r="L157" s="4" t="s">
        <v>9</v>
      </c>
      <c r="M157" s="6"/>
      <c r="N157" s="6"/>
      <c r="O157" s="6"/>
      <c r="P157" s="6"/>
      <c r="Q157" s="6"/>
      <c r="R157" s="6">
        <v>20.3</v>
      </c>
      <c r="S157" s="6">
        <v>20.3</v>
      </c>
    </row>
    <row r="158" spans="1:19" x14ac:dyDescent="0.25">
      <c r="K158" s="5">
        <v>2024</v>
      </c>
      <c r="L158" s="4" t="s">
        <v>10</v>
      </c>
      <c r="M158" s="6"/>
      <c r="N158" s="6"/>
      <c r="O158" s="6">
        <v>42.427</v>
      </c>
      <c r="P158" s="6"/>
      <c r="Q158" s="6"/>
      <c r="R158" s="6">
        <v>64</v>
      </c>
      <c r="S158" s="6">
        <v>106.42699999999999</v>
      </c>
    </row>
    <row r="159" spans="1:19" x14ac:dyDescent="0.25">
      <c r="K159" s="5">
        <v>2024</v>
      </c>
      <c r="L159" s="4" t="s">
        <v>11</v>
      </c>
      <c r="M159" s="6"/>
      <c r="N159" s="6"/>
      <c r="O159" s="6"/>
      <c r="P159" s="6"/>
      <c r="Q159" s="6"/>
      <c r="R159" s="6">
        <v>31.5</v>
      </c>
      <c r="S159" s="6">
        <v>31.5</v>
      </c>
    </row>
    <row r="160" spans="1:19" x14ac:dyDescent="0.25">
      <c r="K160" s="5">
        <v>2024</v>
      </c>
      <c r="L160" s="4" t="s">
        <v>12</v>
      </c>
      <c r="M160" s="6"/>
      <c r="N160" s="6"/>
      <c r="O160" s="6"/>
      <c r="P160" s="6"/>
      <c r="Q160" s="6"/>
      <c r="R160" s="6">
        <v>24</v>
      </c>
      <c r="S160" s="6">
        <v>24</v>
      </c>
    </row>
    <row r="161" spans="11:19" x14ac:dyDescent="0.25">
      <c r="K161" s="5">
        <v>2024</v>
      </c>
      <c r="L161" s="4" t="s">
        <v>13</v>
      </c>
      <c r="M161" s="6">
        <v>2.8</v>
      </c>
      <c r="N161" s="6"/>
      <c r="O161" s="6"/>
      <c r="P161" s="6">
        <v>2.5000000000000001E-2</v>
      </c>
      <c r="Q161" s="6"/>
      <c r="R161" s="6"/>
      <c r="S161" s="6">
        <v>2.8249999999999997</v>
      </c>
    </row>
    <row r="162" spans="11:19" x14ac:dyDescent="0.25">
      <c r="K162" s="5">
        <v>2024</v>
      </c>
      <c r="L162" s="4" t="s">
        <v>14</v>
      </c>
      <c r="M162" s="6">
        <v>2</v>
      </c>
      <c r="N162" s="6"/>
      <c r="O162" s="6">
        <v>0.94599999999999995</v>
      </c>
      <c r="P162" s="6"/>
      <c r="Q162" s="6">
        <v>0.35</v>
      </c>
      <c r="R162" s="6"/>
      <c r="S162" s="6">
        <v>3.2959999999999998</v>
      </c>
    </row>
    <row r="163" spans="11:19" x14ac:dyDescent="0.25">
      <c r="K163" s="5">
        <v>2024</v>
      </c>
      <c r="L163" s="4" t="s">
        <v>15</v>
      </c>
      <c r="M163" s="6">
        <v>5.9</v>
      </c>
      <c r="N163" s="6"/>
      <c r="O163" s="6"/>
      <c r="P163" s="6"/>
      <c r="Q163" s="6"/>
      <c r="R163" s="6"/>
      <c r="S163" s="6">
        <v>5.9</v>
      </c>
    </row>
    <row r="180" spans="21:29" x14ac:dyDescent="0.25"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1:29" x14ac:dyDescent="0.25"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1:29" x14ac:dyDescent="0.25"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1:29" x14ac:dyDescent="0.25"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1:29" x14ac:dyDescent="0.25"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1:29" x14ac:dyDescent="0.25"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1:29" x14ac:dyDescent="0.25"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21:29" x14ac:dyDescent="0.25"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21:29" x14ac:dyDescent="0.25"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21:29" x14ac:dyDescent="0.25"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21:29" x14ac:dyDescent="0.25">
      <c r="U190" s="20"/>
      <c r="V190" s="20"/>
      <c r="W190" s="20"/>
      <c r="X190" s="20"/>
      <c r="Y190" s="20"/>
      <c r="Z190" s="20"/>
      <c r="AA190" s="20"/>
      <c r="AB190" s="20"/>
      <c r="AC190" s="20"/>
    </row>
    <row r="200" spans="11:19" x14ac:dyDescent="0.25"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1:19" x14ac:dyDescent="0.25">
      <c r="K201" s="22"/>
      <c r="L201" s="22"/>
      <c r="M201" s="22"/>
      <c r="N201" s="22"/>
      <c r="O201" s="22"/>
      <c r="P201" s="22"/>
      <c r="Q201" s="22"/>
    </row>
    <row r="202" spans="11:19" x14ac:dyDescent="0.25">
      <c r="K202" s="22"/>
      <c r="L202" s="22"/>
      <c r="M202" s="22"/>
      <c r="N202" s="22"/>
      <c r="O202" s="22"/>
      <c r="P202" s="22"/>
      <c r="Q202" s="22"/>
    </row>
    <row r="203" spans="11:19" x14ac:dyDescent="0.25">
      <c r="K203" s="22"/>
      <c r="L203" s="22"/>
      <c r="M203" s="22"/>
      <c r="N203" s="22"/>
      <c r="O203" s="22"/>
      <c r="P203" s="22"/>
      <c r="Q203" s="22"/>
    </row>
    <row r="204" spans="11:19" x14ac:dyDescent="0.25">
      <c r="K204" s="22"/>
      <c r="L204" s="22"/>
      <c r="M204" s="22"/>
      <c r="N204" s="22"/>
      <c r="O204" s="22"/>
      <c r="P204" s="22"/>
      <c r="Q204" s="22"/>
    </row>
    <row r="205" spans="11:19" x14ac:dyDescent="0.25">
      <c r="K205" s="22"/>
      <c r="L205" s="22"/>
      <c r="M205" s="22"/>
      <c r="N205" s="22"/>
      <c r="O205" s="22"/>
      <c r="P205" s="22"/>
      <c r="Q205" s="22"/>
    </row>
    <row r="206" spans="11:19" x14ac:dyDescent="0.25">
      <c r="K206" s="22"/>
      <c r="L206" s="22"/>
      <c r="M206" s="22"/>
      <c r="N206" s="22"/>
      <c r="O206" s="22"/>
      <c r="P206" s="22"/>
      <c r="Q206" s="22"/>
    </row>
    <row r="207" spans="11:19" x14ac:dyDescent="0.25">
      <c r="K207" s="22"/>
      <c r="L207" s="22"/>
      <c r="M207" s="22"/>
      <c r="N207" s="22"/>
      <c r="O207" s="22"/>
      <c r="P207" s="22"/>
      <c r="Q207" s="22"/>
    </row>
    <row r="208" spans="11:19" x14ac:dyDescent="0.25">
      <c r="K208" s="22"/>
      <c r="L208" s="22"/>
      <c r="M208" s="22"/>
      <c r="N208" s="22"/>
      <c r="O208" s="22"/>
      <c r="P208" s="22"/>
      <c r="Q208" s="22"/>
    </row>
    <row r="209" spans="11:17" x14ac:dyDescent="0.25">
      <c r="K209" s="22"/>
      <c r="L209" s="22"/>
      <c r="M209" s="22"/>
      <c r="N209" s="22"/>
      <c r="O209" s="22"/>
      <c r="P209" s="22"/>
      <c r="Q209" s="22"/>
    </row>
    <row r="210" spans="11:17" x14ac:dyDescent="0.25">
      <c r="K210" s="22"/>
      <c r="L210" s="22"/>
      <c r="M210" s="22"/>
      <c r="N210" s="22"/>
      <c r="O210" s="22"/>
      <c r="P210" s="22"/>
      <c r="Q2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LEER</vt:lpstr>
      <vt:lpstr>INDUSTRIAL (nacional)</vt:lpstr>
      <vt:lpstr>LANCHAS (CentroSur)</vt:lpstr>
      <vt:lpstr>BOTES (CentroSur)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GAETE</dc:creator>
  <cp:lastModifiedBy>Felipe Javier Quezada Escalona</cp:lastModifiedBy>
  <dcterms:created xsi:type="dcterms:W3CDTF">2025-04-10T13:22:56Z</dcterms:created>
  <dcterms:modified xsi:type="dcterms:W3CDTF">2025-10-30T12:26:32Z</dcterms:modified>
</cp:coreProperties>
</file>